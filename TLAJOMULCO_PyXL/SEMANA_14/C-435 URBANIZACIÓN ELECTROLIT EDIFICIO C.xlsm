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Google Drive\GCPI - TRABAJO\PyXLConstruc\TLAJOMULCO_PyXL\SEMANA_14\"/>
    </mc:Choice>
  </mc:AlternateContent>
  <xr:revisionPtr revIDLastSave="0" documentId="8_{DBEE3380-2D95-4FBA-BBD5-AC8BBF277A89}" xr6:coauthVersionLast="47" xr6:coauthVersionMax="47" xr10:uidLastSave="{00000000-0000-0000-0000-000000000000}"/>
  <bookViews>
    <workbookView xWindow="1060" yWindow="1060" windowWidth="14400" windowHeight="7360" xr2:uid="{00000000-000D-0000-FFFF-FFFF00000000}"/>
  </bookViews>
  <sheets>
    <sheet name="003" sheetId="272" r:id="rId1"/>
  </sheets>
  <functionGroups builtInGroupCount="19"/>
  <externalReferences>
    <externalReference r:id="rId2"/>
    <externalReference r:id="rId3"/>
    <externalReference r:id="rId4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'003'!$A$1:$R$125</definedName>
    <definedName name="Print_Titles" localSheetId="0">'003'!$1:$13</definedName>
  </definedNames>
  <calcPr calcId="191029"/>
</workbook>
</file>

<file path=xl/calcChain.xml><?xml version="1.0" encoding="utf-8"?>
<calcChain xmlns="http://schemas.openxmlformats.org/spreadsheetml/2006/main">
  <c r="HR72" i="272" l="1"/>
  <c r="HQ72" i="272"/>
  <c r="HP72" i="272"/>
  <c r="HO72" i="272"/>
  <c r="HN72" i="272"/>
  <c r="HM72" i="272"/>
  <c r="HL72" i="272"/>
  <c r="HK72" i="272"/>
  <c r="HJ72" i="272"/>
  <c r="HI72" i="272"/>
  <c r="HH72" i="272"/>
  <c r="HG72" i="272"/>
  <c r="HF72" i="272"/>
  <c r="HE72" i="272"/>
  <c r="HD72" i="272"/>
  <c r="HC72" i="272"/>
  <c r="HB72" i="272"/>
  <c r="HA72" i="272"/>
  <c r="GZ72" i="272"/>
  <c r="GY72" i="272"/>
  <c r="GX72" i="272"/>
  <c r="GW72" i="272"/>
  <c r="GV72" i="272"/>
  <c r="GU72" i="272"/>
  <c r="GT72" i="272"/>
  <c r="GS72" i="272"/>
  <c r="GR72" i="272"/>
  <c r="GQ72" i="272"/>
  <c r="GP72" i="272"/>
  <c r="GO72" i="272"/>
  <c r="GN72" i="272"/>
  <c r="GM72" i="272"/>
  <c r="GL72" i="272"/>
  <c r="GK72" i="272"/>
  <c r="GJ72" i="272"/>
  <c r="GI72" i="272"/>
  <c r="GH72" i="272"/>
  <c r="GG72" i="272"/>
  <c r="GF72" i="272"/>
  <c r="GE72" i="272"/>
  <c r="GD72" i="272"/>
  <c r="GC72" i="272"/>
  <c r="GB72" i="272"/>
  <c r="GA72" i="272"/>
  <c r="FZ72" i="272"/>
  <c r="FY72" i="272"/>
  <c r="FX72" i="272"/>
  <c r="FW72" i="272"/>
  <c r="FV72" i="272"/>
  <c r="FU72" i="272"/>
  <c r="FT72" i="272"/>
  <c r="FS72" i="272"/>
  <c r="FR72" i="272"/>
  <c r="FQ72" i="272"/>
  <c r="FP72" i="272"/>
  <c r="FO72" i="272"/>
  <c r="FN72" i="272"/>
  <c r="FM72" i="272"/>
  <c r="FL72" i="272"/>
  <c r="FK72" i="272"/>
  <c r="FJ72" i="272"/>
  <c r="FI72" i="272"/>
  <c r="FH72" i="272"/>
  <c r="FG72" i="272"/>
  <c r="FF72" i="272"/>
  <c r="FE72" i="272"/>
  <c r="FD72" i="272"/>
  <c r="FC72" i="272"/>
  <c r="FB72" i="272"/>
  <c r="FA72" i="272"/>
  <c r="EZ72" i="272"/>
  <c r="EY72" i="272"/>
  <c r="EX72" i="272"/>
  <c r="EW72" i="272"/>
  <c r="EV72" i="272"/>
  <c r="EU72" i="272"/>
  <c r="ET72" i="272"/>
  <c r="ES72" i="272"/>
  <c r="ER72" i="272"/>
  <c r="EQ72" i="272"/>
  <c r="EP72" i="272"/>
  <c r="EO72" i="272"/>
  <c r="EN72" i="272"/>
  <c r="EM72" i="272"/>
  <c r="EL72" i="272"/>
  <c r="EK72" i="272"/>
  <c r="EJ72" i="272"/>
  <c r="EI72" i="272"/>
  <c r="EH72" i="272"/>
  <c r="EG72" i="272"/>
  <c r="EF72" i="272"/>
  <c r="EE72" i="272"/>
  <c r="ED72" i="272"/>
  <c r="EC72" i="272"/>
  <c r="EB72" i="272"/>
  <c r="EA72" i="272"/>
  <c r="DZ72" i="272"/>
  <c r="DY72" i="272"/>
  <c r="DX72" i="272"/>
  <c r="DW72" i="272"/>
  <c r="DT72" i="272"/>
  <c r="DS72" i="272"/>
  <c r="DR72" i="272"/>
  <c r="DQ72" i="272"/>
  <c r="DP72" i="272"/>
  <c r="DO72" i="272"/>
  <c r="DN72" i="272"/>
  <c r="DM72" i="272"/>
  <c r="DL72" i="272"/>
  <c r="DK72" i="272"/>
  <c r="DJ72" i="272"/>
  <c r="DI72" i="272"/>
  <c r="DH72" i="272"/>
  <c r="DG72" i="272"/>
  <c r="DF72" i="272"/>
  <c r="DE72" i="272"/>
  <c r="DD72" i="272"/>
  <c r="DC72" i="272"/>
  <c r="DB72" i="272"/>
  <c r="DA72" i="272"/>
  <c r="CZ72" i="272"/>
  <c r="CY72" i="272"/>
  <c r="CX72" i="272"/>
  <c r="CW72" i="272"/>
  <c r="CV72" i="272"/>
  <c r="CU72" i="272"/>
  <c r="CT72" i="272"/>
  <c r="CS72" i="272"/>
  <c r="CR72" i="272"/>
  <c r="CQ72" i="272"/>
  <c r="CP72" i="272"/>
  <c r="CO72" i="272"/>
  <c r="CN72" i="272"/>
  <c r="CM72" i="272"/>
  <c r="CL72" i="272"/>
  <c r="CK72" i="272"/>
  <c r="CJ72" i="272"/>
  <c r="CI72" i="272"/>
  <c r="CH72" i="272"/>
  <c r="CG72" i="272"/>
  <c r="CF72" i="272"/>
  <c r="CE72" i="272"/>
  <c r="CD72" i="272"/>
  <c r="CC72" i="272"/>
  <c r="CB72" i="272"/>
  <c r="CA72" i="272"/>
  <c r="BZ72" i="272"/>
  <c r="BY72" i="272"/>
  <c r="BX72" i="272"/>
  <c r="BW72" i="272"/>
  <c r="BV72" i="272"/>
  <c r="BU72" i="272"/>
  <c r="BT72" i="272"/>
  <c r="BS72" i="272"/>
  <c r="BR72" i="272"/>
  <c r="BQ72" i="272"/>
  <c r="BP72" i="272"/>
  <c r="BO72" i="272"/>
  <c r="BN72" i="272"/>
  <c r="BM72" i="272"/>
  <c r="BL72" i="272"/>
  <c r="BK72" i="272"/>
  <c r="BJ72" i="272"/>
  <c r="BI72" i="272"/>
  <c r="BH72" i="272"/>
  <c r="BG72" i="272"/>
  <c r="BF72" i="272"/>
  <c r="BE72" i="272"/>
  <c r="BD72" i="272"/>
  <c r="BC72" i="272"/>
  <c r="BB72" i="272"/>
  <c r="BA72" i="272"/>
  <c r="AZ72" i="272"/>
  <c r="AY72" i="272"/>
  <c r="AX72" i="272"/>
  <c r="AW72" i="272"/>
  <c r="AV72" i="272"/>
  <c r="AU72" i="272"/>
  <c r="AT72" i="272"/>
  <c r="AS72" i="272"/>
  <c r="AR72" i="272"/>
  <c r="AQ72" i="272"/>
  <c r="AP72" i="272"/>
  <c r="AO72" i="272"/>
  <c r="AN72" i="272"/>
  <c r="AM72" i="272"/>
  <c r="AL72" i="272"/>
  <c r="AK72" i="272"/>
  <c r="AJ72" i="272"/>
  <c r="AI72" i="272"/>
  <c r="AH72" i="272"/>
  <c r="AG72" i="272"/>
  <c r="AF72" i="272"/>
  <c r="AE72" i="272"/>
  <c r="AD72" i="272"/>
  <c r="AC72" i="272"/>
  <c r="AB72" i="272"/>
  <c r="AA72" i="272"/>
  <c r="Z72" i="272"/>
  <c r="Y72" i="272"/>
  <c r="T72" i="272"/>
  <c r="U72" i="272" s="1"/>
  <c r="R72" i="272"/>
  <c r="Q72" i="272"/>
  <c r="O72" i="272"/>
  <c r="N72" i="272"/>
  <c r="M72" i="272"/>
  <c r="G72" i="272"/>
  <c r="C72" i="272"/>
  <c r="HR71" i="272"/>
  <c r="HQ71" i="272"/>
  <c r="HP71" i="272"/>
  <c r="HO71" i="272"/>
  <c r="HN71" i="272"/>
  <c r="HM71" i="272"/>
  <c r="HL71" i="272"/>
  <c r="HK71" i="272"/>
  <c r="HJ71" i="272"/>
  <c r="HI71" i="272"/>
  <c r="HH71" i="272"/>
  <c r="HG71" i="272"/>
  <c r="HF71" i="272"/>
  <c r="HE71" i="272"/>
  <c r="HD71" i="272"/>
  <c r="HC71" i="272"/>
  <c r="HB71" i="272"/>
  <c r="HA71" i="272"/>
  <c r="GZ71" i="272"/>
  <c r="GY71" i="272"/>
  <c r="GX71" i="272"/>
  <c r="GW71" i="272"/>
  <c r="GV71" i="272"/>
  <c r="GU71" i="272"/>
  <c r="GT71" i="272"/>
  <c r="GS71" i="272"/>
  <c r="GR71" i="272"/>
  <c r="GQ71" i="272"/>
  <c r="GP71" i="272"/>
  <c r="GO71" i="272"/>
  <c r="GN71" i="272"/>
  <c r="GM71" i="272"/>
  <c r="GL71" i="272"/>
  <c r="GK71" i="272"/>
  <c r="GJ71" i="272"/>
  <c r="GI71" i="272"/>
  <c r="GH71" i="272"/>
  <c r="GG71" i="272"/>
  <c r="GF71" i="272"/>
  <c r="GE71" i="272"/>
  <c r="GD71" i="272"/>
  <c r="GC71" i="272"/>
  <c r="GB71" i="272"/>
  <c r="GA71" i="272"/>
  <c r="FZ71" i="272"/>
  <c r="FY71" i="272"/>
  <c r="FX71" i="272"/>
  <c r="FW71" i="272"/>
  <c r="FV71" i="272"/>
  <c r="FU71" i="272"/>
  <c r="FT71" i="272"/>
  <c r="FS71" i="272"/>
  <c r="FR71" i="272"/>
  <c r="FQ71" i="272"/>
  <c r="FP71" i="272"/>
  <c r="FO71" i="272"/>
  <c r="FN71" i="272"/>
  <c r="FM71" i="272"/>
  <c r="FL71" i="272"/>
  <c r="FK71" i="272"/>
  <c r="FJ71" i="272"/>
  <c r="FI71" i="272"/>
  <c r="FH71" i="272"/>
  <c r="FG71" i="272"/>
  <c r="FF71" i="272"/>
  <c r="FE71" i="272"/>
  <c r="FD71" i="272"/>
  <c r="FC71" i="272"/>
  <c r="FB71" i="272"/>
  <c r="FA71" i="272"/>
  <c r="EZ71" i="272"/>
  <c r="EY71" i="272"/>
  <c r="EX71" i="272"/>
  <c r="EW71" i="272"/>
  <c r="EV71" i="272"/>
  <c r="EU71" i="272"/>
  <c r="ET71" i="272"/>
  <c r="ES71" i="272"/>
  <c r="ER71" i="272"/>
  <c r="EQ71" i="272"/>
  <c r="EP71" i="272"/>
  <c r="EO71" i="272"/>
  <c r="EN71" i="272"/>
  <c r="EM71" i="272"/>
  <c r="EL71" i="272"/>
  <c r="EK71" i="272"/>
  <c r="EJ71" i="272"/>
  <c r="EI71" i="272"/>
  <c r="EH71" i="272"/>
  <c r="EG71" i="272"/>
  <c r="EF71" i="272"/>
  <c r="EE71" i="272"/>
  <c r="ED71" i="272"/>
  <c r="EC71" i="272"/>
  <c r="EB71" i="272"/>
  <c r="EA71" i="272"/>
  <c r="DZ71" i="272"/>
  <c r="DY71" i="272"/>
  <c r="DX71" i="272"/>
  <c r="DW71" i="272"/>
  <c r="DT71" i="272"/>
  <c r="DS71" i="272"/>
  <c r="DR71" i="272"/>
  <c r="DQ71" i="272"/>
  <c r="DP71" i="272"/>
  <c r="DO71" i="272"/>
  <c r="DN71" i="272"/>
  <c r="DM71" i="272"/>
  <c r="DL71" i="272"/>
  <c r="DK71" i="272"/>
  <c r="DJ71" i="272"/>
  <c r="DI71" i="272"/>
  <c r="DH71" i="272"/>
  <c r="DG71" i="272"/>
  <c r="DF71" i="272"/>
  <c r="DE71" i="272"/>
  <c r="DD71" i="272"/>
  <c r="DC71" i="272"/>
  <c r="DB71" i="272"/>
  <c r="DA71" i="272"/>
  <c r="CZ71" i="272"/>
  <c r="CY71" i="272"/>
  <c r="CX71" i="272"/>
  <c r="CW71" i="272"/>
  <c r="CV71" i="272"/>
  <c r="CU71" i="272"/>
  <c r="CT71" i="272"/>
  <c r="CS71" i="272"/>
  <c r="CR71" i="272"/>
  <c r="CQ71" i="272"/>
  <c r="CP71" i="272"/>
  <c r="CO71" i="272"/>
  <c r="CN71" i="272"/>
  <c r="CM71" i="272"/>
  <c r="CL71" i="272"/>
  <c r="CK71" i="272"/>
  <c r="CJ71" i="272"/>
  <c r="CI71" i="272"/>
  <c r="CH71" i="272"/>
  <c r="CG71" i="272"/>
  <c r="CF71" i="272"/>
  <c r="CE71" i="272"/>
  <c r="CD71" i="272"/>
  <c r="CC71" i="272"/>
  <c r="CB71" i="272"/>
  <c r="CA71" i="272"/>
  <c r="BZ71" i="272"/>
  <c r="BY71" i="272"/>
  <c r="BX71" i="272"/>
  <c r="BW71" i="272"/>
  <c r="BV71" i="272"/>
  <c r="BU71" i="272"/>
  <c r="BT71" i="272"/>
  <c r="BS71" i="272"/>
  <c r="BR71" i="272"/>
  <c r="BQ71" i="272"/>
  <c r="BP71" i="272"/>
  <c r="BO71" i="272"/>
  <c r="BN71" i="272"/>
  <c r="BM71" i="272"/>
  <c r="BL71" i="272"/>
  <c r="BK71" i="272"/>
  <c r="BJ71" i="272"/>
  <c r="BI71" i="272"/>
  <c r="BH71" i="272"/>
  <c r="BG71" i="272"/>
  <c r="BF71" i="272"/>
  <c r="BE71" i="272"/>
  <c r="BD71" i="272"/>
  <c r="BC71" i="272"/>
  <c r="BB71" i="272"/>
  <c r="BA71" i="272"/>
  <c r="AZ71" i="272"/>
  <c r="AY71" i="272"/>
  <c r="AX71" i="272"/>
  <c r="AW71" i="272"/>
  <c r="AV71" i="272"/>
  <c r="AU71" i="272"/>
  <c r="AT71" i="272"/>
  <c r="AS71" i="272"/>
  <c r="AR71" i="272"/>
  <c r="AQ71" i="272"/>
  <c r="AP71" i="272"/>
  <c r="AO71" i="272"/>
  <c r="AN71" i="272"/>
  <c r="AM71" i="272"/>
  <c r="AL71" i="272"/>
  <c r="AK71" i="272"/>
  <c r="AJ71" i="272"/>
  <c r="AI71" i="272"/>
  <c r="AH71" i="272"/>
  <c r="AG71" i="272"/>
  <c r="AF71" i="272"/>
  <c r="AE71" i="272"/>
  <c r="AD71" i="272"/>
  <c r="AC71" i="272"/>
  <c r="AB71" i="272"/>
  <c r="AA71" i="272"/>
  <c r="Z71" i="272"/>
  <c r="Y71" i="272"/>
  <c r="T71" i="272"/>
  <c r="U71" i="272" s="1"/>
  <c r="R71" i="272"/>
  <c r="Q71" i="272"/>
  <c r="O71" i="272"/>
  <c r="N71" i="272"/>
  <c r="M71" i="272"/>
  <c r="G71" i="272"/>
  <c r="C71" i="272"/>
  <c r="HR70" i="272"/>
  <c r="HQ70" i="272"/>
  <c r="HP70" i="272"/>
  <c r="HO70" i="272"/>
  <c r="HN70" i="272"/>
  <c r="HM70" i="272"/>
  <c r="HL70" i="272"/>
  <c r="HK70" i="272"/>
  <c r="HJ70" i="272"/>
  <c r="HI70" i="272"/>
  <c r="HH70" i="272"/>
  <c r="HG70" i="272"/>
  <c r="HF70" i="272"/>
  <c r="HE70" i="272"/>
  <c r="HD70" i="272"/>
  <c r="HC70" i="272"/>
  <c r="HB70" i="272"/>
  <c r="HA70" i="272"/>
  <c r="GZ70" i="272"/>
  <c r="GY70" i="272"/>
  <c r="GX70" i="272"/>
  <c r="GW70" i="272"/>
  <c r="GV70" i="272"/>
  <c r="GU70" i="272"/>
  <c r="GT70" i="272"/>
  <c r="GS70" i="272"/>
  <c r="GR70" i="272"/>
  <c r="GQ70" i="272"/>
  <c r="GP70" i="272"/>
  <c r="GO70" i="272"/>
  <c r="GN70" i="272"/>
  <c r="GM70" i="272"/>
  <c r="GL70" i="272"/>
  <c r="GK70" i="272"/>
  <c r="GJ70" i="272"/>
  <c r="GI70" i="272"/>
  <c r="GH70" i="272"/>
  <c r="GG70" i="272"/>
  <c r="GF70" i="272"/>
  <c r="GE70" i="272"/>
  <c r="GD70" i="272"/>
  <c r="GC70" i="272"/>
  <c r="GB70" i="272"/>
  <c r="GA70" i="272"/>
  <c r="FZ70" i="272"/>
  <c r="FY70" i="272"/>
  <c r="FX70" i="272"/>
  <c r="FW70" i="272"/>
  <c r="FV70" i="272"/>
  <c r="FU70" i="272"/>
  <c r="FT70" i="272"/>
  <c r="FS70" i="272"/>
  <c r="FR70" i="272"/>
  <c r="FQ70" i="272"/>
  <c r="FP70" i="272"/>
  <c r="FO70" i="272"/>
  <c r="FN70" i="272"/>
  <c r="FM70" i="272"/>
  <c r="FL70" i="272"/>
  <c r="FK70" i="272"/>
  <c r="FJ70" i="272"/>
  <c r="FI70" i="272"/>
  <c r="FH70" i="272"/>
  <c r="FG70" i="272"/>
  <c r="FF70" i="272"/>
  <c r="FE70" i="272"/>
  <c r="FD70" i="272"/>
  <c r="FC70" i="272"/>
  <c r="FB70" i="272"/>
  <c r="FA70" i="272"/>
  <c r="EZ70" i="272"/>
  <c r="EY70" i="272"/>
  <c r="EX70" i="272"/>
  <c r="EW70" i="272"/>
  <c r="EV70" i="272"/>
  <c r="EU70" i="272"/>
  <c r="ET70" i="272"/>
  <c r="ES70" i="272"/>
  <c r="ER70" i="272"/>
  <c r="EQ70" i="272"/>
  <c r="EP70" i="272"/>
  <c r="EO70" i="272"/>
  <c r="EN70" i="272"/>
  <c r="EM70" i="272"/>
  <c r="EL70" i="272"/>
  <c r="EK70" i="272"/>
  <c r="EJ70" i="272"/>
  <c r="EI70" i="272"/>
  <c r="EH70" i="272"/>
  <c r="EG70" i="272"/>
  <c r="EF70" i="272"/>
  <c r="EE70" i="272"/>
  <c r="ED70" i="272"/>
  <c r="EC70" i="272"/>
  <c r="EB70" i="272"/>
  <c r="EA70" i="272"/>
  <c r="DZ70" i="272"/>
  <c r="DY70" i="272"/>
  <c r="DX70" i="272"/>
  <c r="DW70" i="272"/>
  <c r="DT70" i="272"/>
  <c r="DS70" i="272"/>
  <c r="DR70" i="272"/>
  <c r="DQ70" i="272"/>
  <c r="DP70" i="272"/>
  <c r="DO70" i="272"/>
  <c r="DN70" i="272"/>
  <c r="DM70" i="272"/>
  <c r="DL70" i="272"/>
  <c r="DK70" i="272"/>
  <c r="DJ70" i="272"/>
  <c r="DI70" i="272"/>
  <c r="DH70" i="272"/>
  <c r="DG70" i="272"/>
  <c r="DF70" i="272"/>
  <c r="DE70" i="272"/>
  <c r="DD70" i="272"/>
  <c r="DC70" i="272"/>
  <c r="DB70" i="272"/>
  <c r="DA70" i="272"/>
  <c r="CZ70" i="272"/>
  <c r="CY70" i="272"/>
  <c r="CX70" i="272"/>
  <c r="CW70" i="272"/>
  <c r="CV70" i="272"/>
  <c r="CU70" i="272"/>
  <c r="CT70" i="272"/>
  <c r="CS70" i="272"/>
  <c r="CR70" i="272"/>
  <c r="CQ70" i="272"/>
  <c r="CP70" i="272"/>
  <c r="CO70" i="272"/>
  <c r="CN70" i="272"/>
  <c r="CM70" i="272"/>
  <c r="CL70" i="272"/>
  <c r="CK70" i="272"/>
  <c r="CJ70" i="272"/>
  <c r="CI70" i="272"/>
  <c r="CH70" i="272"/>
  <c r="CG70" i="272"/>
  <c r="CF70" i="272"/>
  <c r="CE70" i="272"/>
  <c r="CD70" i="272"/>
  <c r="CC70" i="272"/>
  <c r="CB70" i="272"/>
  <c r="CA70" i="272"/>
  <c r="BZ70" i="272"/>
  <c r="BY70" i="272"/>
  <c r="BX70" i="272"/>
  <c r="BW70" i="272"/>
  <c r="BV70" i="272"/>
  <c r="BU70" i="272"/>
  <c r="BT70" i="272"/>
  <c r="BS70" i="272"/>
  <c r="BR70" i="272"/>
  <c r="BQ70" i="272"/>
  <c r="BP70" i="272"/>
  <c r="BO70" i="272"/>
  <c r="BN70" i="272"/>
  <c r="BM70" i="272"/>
  <c r="BL70" i="272"/>
  <c r="BK70" i="272"/>
  <c r="BJ70" i="272"/>
  <c r="BI70" i="272"/>
  <c r="BH70" i="272"/>
  <c r="BG70" i="272"/>
  <c r="BF70" i="272"/>
  <c r="BE70" i="272"/>
  <c r="BD70" i="272"/>
  <c r="BC70" i="272"/>
  <c r="BB70" i="272"/>
  <c r="BA70" i="272"/>
  <c r="AZ70" i="272"/>
  <c r="AY70" i="272"/>
  <c r="AX70" i="272"/>
  <c r="AW70" i="272"/>
  <c r="AV70" i="272"/>
  <c r="AU70" i="272"/>
  <c r="AT70" i="272"/>
  <c r="AS70" i="272"/>
  <c r="AR70" i="272"/>
  <c r="AQ70" i="272"/>
  <c r="AP70" i="272"/>
  <c r="AO70" i="272"/>
  <c r="AN70" i="272"/>
  <c r="AM70" i="272"/>
  <c r="AL70" i="272"/>
  <c r="AK70" i="272"/>
  <c r="AJ70" i="272"/>
  <c r="AI70" i="272"/>
  <c r="AH70" i="272"/>
  <c r="AG70" i="272"/>
  <c r="AF70" i="272"/>
  <c r="AE70" i="272"/>
  <c r="AD70" i="272"/>
  <c r="AC70" i="272"/>
  <c r="AB70" i="272"/>
  <c r="AA70" i="272"/>
  <c r="Z70" i="272"/>
  <c r="Y70" i="272"/>
  <c r="T70" i="272"/>
  <c r="U70" i="272" s="1"/>
  <c r="R70" i="272"/>
  <c r="Q70" i="272"/>
  <c r="O70" i="272"/>
  <c r="N70" i="272"/>
  <c r="M70" i="272"/>
  <c r="G70" i="272"/>
  <c r="C70" i="272"/>
  <c r="HR69" i="272"/>
  <c r="HQ69" i="272"/>
  <c r="HP69" i="272"/>
  <c r="HO69" i="272"/>
  <c r="HN69" i="272"/>
  <c r="HM69" i="272"/>
  <c r="HL69" i="272"/>
  <c r="HK69" i="272"/>
  <c r="HJ69" i="272"/>
  <c r="HI69" i="272"/>
  <c r="HH69" i="272"/>
  <c r="HG69" i="272"/>
  <c r="HF69" i="272"/>
  <c r="HE69" i="272"/>
  <c r="HD69" i="272"/>
  <c r="HC69" i="272"/>
  <c r="HB69" i="272"/>
  <c r="HA69" i="272"/>
  <c r="GZ69" i="272"/>
  <c r="GY69" i="272"/>
  <c r="GX69" i="272"/>
  <c r="GW69" i="272"/>
  <c r="GV69" i="272"/>
  <c r="GU69" i="272"/>
  <c r="GT69" i="272"/>
  <c r="GS69" i="272"/>
  <c r="GR69" i="272"/>
  <c r="GQ69" i="272"/>
  <c r="GP69" i="272"/>
  <c r="GO69" i="272"/>
  <c r="GN69" i="272"/>
  <c r="GM69" i="272"/>
  <c r="GL69" i="272"/>
  <c r="GK69" i="272"/>
  <c r="GJ69" i="272"/>
  <c r="GI69" i="272"/>
  <c r="GH69" i="272"/>
  <c r="GG69" i="272"/>
  <c r="GF69" i="272"/>
  <c r="GE69" i="272"/>
  <c r="GD69" i="272"/>
  <c r="GC69" i="272"/>
  <c r="GB69" i="272"/>
  <c r="GA69" i="272"/>
  <c r="FZ69" i="272"/>
  <c r="FY69" i="272"/>
  <c r="FX69" i="272"/>
  <c r="FW69" i="272"/>
  <c r="FV69" i="272"/>
  <c r="FU69" i="272"/>
  <c r="FT69" i="272"/>
  <c r="FS69" i="272"/>
  <c r="FR69" i="272"/>
  <c r="FQ69" i="272"/>
  <c r="FP69" i="272"/>
  <c r="FO69" i="272"/>
  <c r="FN69" i="272"/>
  <c r="FM69" i="272"/>
  <c r="FL69" i="272"/>
  <c r="FK69" i="272"/>
  <c r="FJ69" i="272"/>
  <c r="FI69" i="272"/>
  <c r="FH69" i="272"/>
  <c r="FG69" i="272"/>
  <c r="FF69" i="272"/>
  <c r="FE69" i="272"/>
  <c r="FD69" i="272"/>
  <c r="FC69" i="272"/>
  <c r="FB69" i="272"/>
  <c r="FA69" i="272"/>
  <c r="EZ69" i="272"/>
  <c r="EY69" i="272"/>
  <c r="EX69" i="272"/>
  <c r="EW69" i="272"/>
  <c r="EV69" i="272"/>
  <c r="EU69" i="272"/>
  <c r="ET69" i="272"/>
  <c r="ES69" i="272"/>
  <c r="ER69" i="272"/>
  <c r="EQ69" i="272"/>
  <c r="EP69" i="272"/>
  <c r="EO69" i="272"/>
  <c r="EN69" i="272"/>
  <c r="EM69" i="272"/>
  <c r="EL69" i="272"/>
  <c r="EK69" i="272"/>
  <c r="EJ69" i="272"/>
  <c r="EI69" i="272"/>
  <c r="EH69" i="272"/>
  <c r="EG69" i="272"/>
  <c r="EF69" i="272"/>
  <c r="ED69" i="272"/>
  <c r="EC69" i="272"/>
  <c r="EB69" i="272"/>
  <c r="EA69" i="272"/>
  <c r="DZ69" i="272"/>
  <c r="DY69" i="272"/>
  <c r="DX69" i="272"/>
  <c r="DW69" i="272"/>
  <c r="DT69" i="272"/>
  <c r="DS69" i="272"/>
  <c r="DR69" i="272"/>
  <c r="DQ69" i="272"/>
  <c r="DP69" i="272"/>
  <c r="DO69" i="272"/>
  <c r="DN69" i="272"/>
  <c r="DM69" i="272"/>
  <c r="DL69" i="272"/>
  <c r="DK69" i="272"/>
  <c r="DJ69" i="272"/>
  <c r="DI69" i="272"/>
  <c r="DH69" i="272"/>
  <c r="DG69" i="272"/>
  <c r="DF69" i="272"/>
  <c r="DE69" i="272"/>
  <c r="DD69" i="272"/>
  <c r="DC69" i="272"/>
  <c r="DB69" i="272"/>
  <c r="DA69" i="272"/>
  <c r="CZ69" i="272"/>
  <c r="CY69" i="272"/>
  <c r="CX69" i="272"/>
  <c r="CW69" i="272"/>
  <c r="CV69" i="272"/>
  <c r="CU69" i="272"/>
  <c r="CT69" i="272"/>
  <c r="CS69" i="272"/>
  <c r="CR69" i="272"/>
  <c r="CQ69" i="272"/>
  <c r="CP69" i="272"/>
  <c r="CO69" i="272"/>
  <c r="CN69" i="272"/>
  <c r="CM69" i="272"/>
  <c r="CL69" i="272"/>
  <c r="CK69" i="272"/>
  <c r="CJ69" i="272"/>
  <c r="CI69" i="272"/>
  <c r="CH69" i="272"/>
  <c r="CG69" i="272"/>
  <c r="CF69" i="272"/>
  <c r="CE69" i="272"/>
  <c r="CD69" i="272"/>
  <c r="CC69" i="272"/>
  <c r="CB69" i="272"/>
  <c r="CA69" i="272"/>
  <c r="BZ69" i="272"/>
  <c r="BY69" i="272"/>
  <c r="BX69" i="272"/>
  <c r="BW69" i="272"/>
  <c r="BV69" i="272"/>
  <c r="BU69" i="272"/>
  <c r="BT69" i="272"/>
  <c r="BS69" i="272"/>
  <c r="BR69" i="272"/>
  <c r="BQ69" i="272"/>
  <c r="BP69" i="272"/>
  <c r="BO69" i="272"/>
  <c r="BN69" i="272"/>
  <c r="BM69" i="272"/>
  <c r="BL69" i="272"/>
  <c r="BK69" i="272"/>
  <c r="BJ69" i="272"/>
  <c r="BI69" i="272"/>
  <c r="BH69" i="272"/>
  <c r="BG69" i="272"/>
  <c r="BF69" i="272"/>
  <c r="BE69" i="272"/>
  <c r="BD69" i="272"/>
  <c r="BC69" i="272"/>
  <c r="BB69" i="272"/>
  <c r="BA69" i="272"/>
  <c r="AZ69" i="272"/>
  <c r="AY69" i="272"/>
  <c r="AX69" i="272"/>
  <c r="AW69" i="272"/>
  <c r="AV69" i="272"/>
  <c r="AU69" i="272"/>
  <c r="AT69" i="272"/>
  <c r="AS69" i="272"/>
  <c r="AR69" i="272"/>
  <c r="AQ69" i="272"/>
  <c r="AP69" i="272"/>
  <c r="AO69" i="272"/>
  <c r="AN69" i="272"/>
  <c r="AM69" i="272"/>
  <c r="AL69" i="272"/>
  <c r="AK69" i="272"/>
  <c r="AJ69" i="272"/>
  <c r="AI69" i="272"/>
  <c r="AH69" i="272"/>
  <c r="AF69" i="272"/>
  <c r="AE69" i="272"/>
  <c r="AD69" i="272"/>
  <c r="AC69" i="272"/>
  <c r="AB69" i="272"/>
  <c r="AA69" i="272"/>
  <c r="Z69" i="272"/>
  <c r="Y69" i="272"/>
  <c r="T69" i="272"/>
  <c r="U69" i="272" s="1"/>
  <c r="AG69" i="272" s="1"/>
  <c r="N69" i="272"/>
  <c r="M69" i="272"/>
  <c r="G69" i="272"/>
  <c r="C69" i="272"/>
  <c r="HR68" i="272"/>
  <c r="HQ68" i="272"/>
  <c r="HP68" i="272"/>
  <c r="HO68" i="272"/>
  <c r="HN68" i="272"/>
  <c r="HM68" i="272"/>
  <c r="HL68" i="272"/>
  <c r="HK68" i="272"/>
  <c r="HJ68" i="272"/>
  <c r="HI68" i="272"/>
  <c r="HH68" i="272"/>
  <c r="HG68" i="272"/>
  <c r="HF68" i="272"/>
  <c r="HE68" i="272"/>
  <c r="HD68" i="272"/>
  <c r="HC68" i="272"/>
  <c r="HB68" i="272"/>
  <c r="HA68" i="272"/>
  <c r="GZ68" i="272"/>
  <c r="GY68" i="272"/>
  <c r="GX68" i="272"/>
  <c r="GW68" i="272"/>
  <c r="GV68" i="272"/>
  <c r="GU68" i="272"/>
  <c r="GT68" i="272"/>
  <c r="GS68" i="272"/>
  <c r="GR68" i="272"/>
  <c r="GQ68" i="272"/>
  <c r="GP68" i="272"/>
  <c r="GO68" i="272"/>
  <c r="GN68" i="272"/>
  <c r="GM68" i="272"/>
  <c r="GL68" i="272"/>
  <c r="GK68" i="272"/>
  <c r="GJ68" i="272"/>
  <c r="GI68" i="272"/>
  <c r="GH68" i="272"/>
  <c r="GG68" i="272"/>
  <c r="GF68" i="272"/>
  <c r="GE68" i="272"/>
  <c r="GD68" i="272"/>
  <c r="GC68" i="272"/>
  <c r="GB68" i="272"/>
  <c r="GA68" i="272"/>
  <c r="FZ68" i="272"/>
  <c r="FY68" i="272"/>
  <c r="FX68" i="272"/>
  <c r="FW68" i="272"/>
  <c r="FV68" i="272"/>
  <c r="FU68" i="272"/>
  <c r="FT68" i="272"/>
  <c r="FS68" i="272"/>
  <c r="FR68" i="272"/>
  <c r="FQ68" i="272"/>
  <c r="FP68" i="272"/>
  <c r="FO68" i="272"/>
  <c r="FN68" i="272"/>
  <c r="FM68" i="272"/>
  <c r="FL68" i="272"/>
  <c r="FK68" i="272"/>
  <c r="FJ68" i="272"/>
  <c r="FI68" i="272"/>
  <c r="FH68" i="272"/>
  <c r="FG68" i="272"/>
  <c r="FF68" i="272"/>
  <c r="FE68" i="272"/>
  <c r="FD68" i="272"/>
  <c r="FC68" i="272"/>
  <c r="FB68" i="272"/>
  <c r="FA68" i="272"/>
  <c r="EZ68" i="272"/>
  <c r="EY68" i="272"/>
  <c r="EX68" i="272"/>
  <c r="EW68" i="272"/>
  <c r="EV68" i="272"/>
  <c r="EU68" i="272"/>
  <c r="ET68" i="272"/>
  <c r="ES68" i="272"/>
  <c r="ER68" i="272"/>
  <c r="EQ68" i="272"/>
  <c r="EP68" i="272"/>
  <c r="EO68" i="272"/>
  <c r="EN68" i="272"/>
  <c r="EM68" i="272"/>
  <c r="EL68" i="272"/>
  <c r="EK68" i="272"/>
  <c r="EJ68" i="272"/>
  <c r="EI68" i="272"/>
  <c r="EH68" i="272"/>
  <c r="EG68" i="272"/>
  <c r="EF68" i="272"/>
  <c r="EE68" i="272"/>
  <c r="ED68" i="272"/>
  <c r="EC68" i="272"/>
  <c r="EB68" i="272"/>
  <c r="EA68" i="272"/>
  <c r="DZ68" i="272"/>
  <c r="DY68" i="272"/>
  <c r="DX68" i="272"/>
  <c r="DW68" i="272"/>
  <c r="DT68" i="272"/>
  <c r="DS68" i="272"/>
  <c r="DR68" i="272"/>
  <c r="DQ68" i="272"/>
  <c r="DP68" i="272"/>
  <c r="DO68" i="272"/>
  <c r="DN68" i="272"/>
  <c r="DM68" i="272"/>
  <c r="DL68" i="272"/>
  <c r="DK68" i="272"/>
  <c r="DJ68" i="272"/>
  <c r="DI68" i="272"/>
  <c r="DH68" i="272"/>
  <c r="DG68" i="272"/>
  <c r="DF68" i="272"/>
  <c r="DE68" i="272"/>
  <c r="DD68" i="272"/>
  <c r="DC68" i="272"/>
  <c r="DB68" i="272"/>
  <c r="DA68" i="272"/>
  <c r="CZ68" i="272"/>
  <c r="CY68" i="272"/>
  <c r="CX68" i="272"/>
  <c r="CW68" i="272"/>
  <c r="CV68" i="272"/>
  <c r="CU68" i="272"/>
  <c r="CT68" i="272"/>
  <c r="CS68" i="272"/>
  <c r="CR68" i="272"/>
  <c r="CQ68" i="272"/>
  <c r="CP68" i="272"/>
  <c r="CO68" i="272"/>
  <c r="CN68" i="272"/>
  <c r="CM68" i="272"/>
  <c r="CL68" i="272"/>
  <c r="CK68" i="272"/>
  <c r="CJ68" i="272"/>
  <c r="CI68" i="272"/>
  <c r="CH68" i="272"/>
  <c r="CG68" i="272"/>
  <c r="CF68" i="272"/>
  <c r="CE68" i="272"/>
  <c r="CD68" i="272"/>
  <c r="CC68" i="272"/>
  <c r="CB68" i="272"/>
  <c r="CA68" i="272"/>
  <c r="BZ68" i="272"/>
  <c r="BY68" i="272"/>
  <c r="BX68" i="272"/>
  <c r="BW68" i="272"/>
  <c r="BV68" i="272"/>
  <c r="BU68" i="272"/>
  <c r="BT68" i="272"/>
  <c r="BS68" i="272"/>
  <c r="BR68" i="272"/>
  <c r="BQ68" i="272"/>
  <c r="BP68" i="272"/>
  <c r="BO68" i="272"/>
  <c r="BN68" i="272"/>
  <c r="BM68" i="272"/>
  <c r="BL68" i="272"/>
  <c r="BK68" i="272"/>
  <c r="BJ68" i="272"/>
  <c r="BI68" i="272"/>
  <c r="BH68" i="272"/>
  <c r="BG68" i="272"/>
  <c r="BF68" i="272"/>
  <c r="BE68" i="272"/>
  <c r="BD68" i="272"/>
  <c r="BC68" i="272"/>
  <c r="BB68" i="272"/>
  <c r="BA68" i="272"/>
  <c r="AZ68" i="272"/>
  <c r="AY68" i="272"/>
  <c r="AX68" i="272"/>
  <c r="AW68" i="272"/>
  <c r="AV68" i="272"/>
  <c r="AU68" i="272"/>
  <c r="AT68" i="272"/>
  <c r="AS68" i="272"/>
  <c r="AR68" i="272"/>
  <c r="AQ68" i="272"/>
  <c r="AP68" i="272"/>
  <c r="AO68" i="272"/>
  <c r="AN68" i="272"/>
  <c r="AM68" i="272"/>
  <c r="AL68" i="272"/>
  <c r="AK68" i="272"/>
  <c r="AJ68" i="272"/>
  <c r="AI68" i="272"/>
  <c r="AH68" i="272"/>
  <c r="AG68" i="272"/>
  <c r="AF68" i="272"/>
  <c r="AE68" i="272"/>
  <c r="AD68" i="272"/>
  <c r="AC68" i="272"/>
  <c r="AB68" i="272"/>
  <c r="AA68" i="272"/>
  <c r="Z68" i="272"/>
  <c r="Y68" i="272"/>
  <c r="T68" i="272"/>
  <c r="U68" i="272" s="1"/>
  <c r="R68" i="272"/>
  <c r="Q68" i="272"/>
  <c r="O68" i="272"/>
  <c r="N68" i="272"/>
  <c r="M68" i="272"/>
  <c r="G68" i="272"/>
  <c r="C68" i="272"/>
  <c r="HR67" i="272"/>
  <c r="HQ67" i="272"/>
  <c r="HP67" i="272"/>
  <c r="HO67" i="272"/>
  <c r="HN67" i="272"/>
  <c r="HM67" i="272"/>
  <c r="HL67" i="272"/>
  <c r="HK67" i="272"/>
  <c r="HJ67" i="272"/>
  <c r="HI67" i="272"/>
  <c r="HH67" i="272"/>
  <c r="HG67" i="272"/>
  <c r="HF67" i="272"/>
  <c r="HE67" i="272"/>
  <c r="HD67" i="272"/>
  <c r="HC67" i="272"/>
  <c r="HB67" i="272"/>
  <c r="HA67" i="272"/>
  <c r="GZ67" i="272"/>
  <c r="GY67" i="272"/>
  <c r="GX67" i="272"/>
  <c r="GW67" i="272"/>
  <c r="GV67" i="272"/>
  <c r="GU67" i="272"/>
  <c r="GT67" i="272"/>
  <c r="GS67" i="272"/>
  <c r="GR67" i="272"/>
  <c r="GQ67" i="272"/>
  <c r="GP67" i="272"/>
  <c r="GO67" i="272"/>
  <c r="GN67" i="272"/>
  <c r="GM67" i="272"/>
  <c r="GL67" i="272"/>
  <c r="GK67" i="272"/>
  <c r="GJ67" i="272"/>
  <c r="GI67" i="272"/>
  <c r="GH67" i="272"/>
  <c r="GG67" i="272"/>
  <c r="GF67" i="272"/>
  <c r="GE67" i="272"/>
  <c r="GD67" i="272"/>
  <c r="GC67" i="272"/>
  <c r="GB67" i="272"/>
  <c r="GA67" i="272"/>
  <c r="FZ67" i="272"/>
  <c r="FY67" i="272"/>
  <c r="FX67" i="272"/>
  <c r="FW67" i="272"/>
  <c r="FV67" i="272"/>
  <c r="FU67" i="272"/>
  <c r="FT67" i="272"/>
  <c r="FS67" i="272"/>
  <c r="FR67" i="272"/>
  <c r="FQ67" i="272"/>
  <c r="FP67" i="272"/>
  <c r="FO67" i="272"/>
  <c r="FN67" i="272"/>
  <c r="FM67" i="272"/>
  <c r="FL67" i="272"/>
  <c r="FK67" i="272"/>
  <c r="FJ67" i="272"/>
  <c r="FI67" i="272"/>
  <c r="FH67" i="272"/>
  <c r="FG67" i="272"/>
  <c r="FF67" i="272"/>
  <c r="FE67" i="272"/>
  <c r="FD67" i="272"/>
  <c r="FC67" i="272"/>
  <c r="FB67" i="272"/>
  <c r="FA67" i="272"/>
  <c r="EZ67" i="272"/>
  <c r="EY67" i="272"/>
  <c r="EX67" i="272"/>
  <c r="EW67" i="272"/>
  <c r="EV67" i="272"/>
  <c r="EU67" i="272"/>
  <c r="ET67" i="272"/>
  <c r="ES67" i="272"/>
  <c r="ER67" i="272"/>
  <c r="EQ67" i="272"/>
  <c r="EP67" i="272"/>
  <c r="EO67" i="272"/>
  <c r="EN67" i="272"/>
  <c r="EM67" i="272"/>
  <c r="EL67" i="272"/>
  <c r="EK67" i="272"/>
  <c r="EJ67" i="272"/>
  <c r="EI67" i="272"/>
  <c r="EH67" i="272"/>
  <c r="EG67" i="272"/>
  <c r="EF67" i="272"/>
  <c r="EE67" i="272"/>
  <c r="ED67" i="272"/>
  <c r="EC67" i="272"/>
  <c r="EB67" i="272"/>
  <c r="EA67" i="272"/>
  <c r="DZ67" i="272"/>
  <c r="DY67" i="272"/>
  <c r="DX67" i="272"/>
  <c r="DW67" i="272"/>
  <c r="DT67" i="272"/>
  <c r="DS67" i="272"/>
  <c r="DR67" i="272"/>
  <c r="DQ67" i="272"/>
  <c r="DP67" i="272"/>
  <c r="DO67" i="272"/>
  <c r="DN67" i="272"/>
  <c r="DM67" i="272"/>
  <c r="DL67" i="272"/>
  <c r="DK67" i="272"/>
  <c r="DJ67" i="272"/>
  <c r="DI67" i="272"/>
  <c r="DH67" i="272"/>
  <c r="DG67" i="272"/>
  <c r="DF67" i="272"/>
  <c r="DE67" i="272"/>
  <c r="DD67" i="272"/>
  <c r="DC67" i="272"/>
  <c r="DB67" i="272"/>
  <c r="DA67" i="272"/>
  <c r="CZ67" i="272"/>
  <c r="CY67" i="272"/>
  <c r="CX67" i="272"/>
  <c r="CW67" i="272"/>
  <c r="CV67" i="272"/>
  <c r="CU67" i="272"/>
  <c r="CT67" i="272"/>
  <c r="CS67" i="272"/>
  <c r="CR67" i="272"/>
  <c r="CQ67" i="272"/>
  <c r="CP67" i="272"/>
  <c r="CO67" i="272"/>
  <c r="CN67" i="272"/>
  <c r="CM67" i="272"/>
  <c r="CL67" i="272"/>
  <c r="CK67" i="272"/>
  <c r="CJ67" i="272"/>
  <c r="CI67" i="272"/>
  <c r="CH67" i="272"/>
  <c r="CG67" i="272"/>
  <c r="CF67" i="272"/>
  <c r="CE67" i="272"/>
  <c r="CD67" i="272"/>
  <c r="CC67" i="272"/>
  <c r="CB67" i="272"/>
  <c r="CA67" i="272"/>
  <c r="BZ67" i="272"/>
  <c r="BY67" i="272"/>
  <c r="BX67" i="272"/>
  <c r="BW67" i="272"/>
  <c r="BV67" i="272"/>
  <c r="BU67" i="272"/>
  <c r="BT67" i="272"/>
  <c r="BS67" i="272"/>
  <c r="BR67" i="272"/>
  <c r="BQ67" i="272"/>
  <c r="BP67" i="272"/>
  <c r="BO67" i="272"/>
  <c r="BN67" i="272"/>
  <c r="BM67" i="272"/>
  <c r="BL67" i="272"/>
  <c r="BK67" i="272"/>
  <c r="BJ67" i="272"/>
  <c r="BI67" i="272"/>
  <c r="BH67" i="272"/>
  <c r="BG67" i="272"/>
  <c r="BF67" i="272"/>
  <c r="BE67" i="272"/>
  <c r="BD67" i="272"/>
  <c r="BC67" i="272"/>
  <c r="BB67" i="272"/>
  <c r="BA67" i="272"/>
  <c r="AZ67" i="272"/>
  <c r="AY67" i="272"/>
  <c r="AX67" i="272"/>
  <c r="AW67" i="272"/>
  <c r="AV67" i="272"/>
  <c r="AU67" i="272"/>
  <c r="AT67" i="272"/>
  <c r="AS67" i="272"/>
  <c r="AR67" i="272"/>
  <c r="AQ67" i="272"/>
  <c r="AP67" i="272"/>
  <c r="AO67" i="272"/>
  <c r="AN67" i="272"/>
  <c r="AM67" i="272"/>
  <c r="AL67" i="272"/>
  <c r="AK67" i="272"/>
  <c r="AJ67" i="272"/>
  <c r="AI67" i="272"/>
  <c r="AH67" i="272"/>
  <c r="AG67" i="272"/>
  <c r="AF67" i="272"/>
  <c r="AE67" i="272"/>
  <c r="AD67" i="272"/>
  <c r="AC67" i="272"/>
  <c r="AB67" i="272"/>
  <c r="AA67" i="272"/>
  <c r="Z67" i="272"/>
  <c r="Y67" i="272"/>
  <c r="T67" i="272"/>
  <c r="U67" i="272" s="1"/>
  <c r="R67" i="272"/>
  <c r="Q67" i="272"/>
  <c r="O67" i="272"/>
  <c r="N67" i="272"/>
  <c r="M67" i="272"/>
  <c r="G67" i="272"/>
  <c r="C67" i="272"/>
  <c r="HR66" i="272"/>
  <c r="HQ66" i="272"/>
  <c r="HP66" i="272"/>
  <c r="HO66" i="272"/>
  <c r="HN66" i="272"/>
  <c r="HM66" i="272"/>
  <c r="HL66" i="272"/>
  <c r="HK66" i="272"/>
  <c r="HJ66" i="272"/>
  <c r="HI66" i="272"/>
  <c r="HH66" i="272"/>
  <c r="HG66" i="272"/>
  <c r="HF66" i="272"/>
  <c r="HE66" i="272"/>
  <c r="HD66" i="272"/>
  <c r="HC66" i="272"/>
  <c r="HB66" i="272"/>
  <c r="HA66" i="272"/>
  <c r="GZ66" i="272"/>
  <c r="GY66" i="272"/>
  <c r="GX66" i="272"/>
  <c r="GW66" i="272"/>
  <c r="GV66" i="272"/>
  <c r="GU66" i="272"/>
  <c r="GT66" i="272"/>
  <c r="GS66" i="272"/>
  <c r="GR66" i="272"/>
  <c r="GQ66" i="272"/>
  <c r="GP66" i="272"/>
  <c r="GO66" i="272"/>
  <c r="GN66" i="272"/>
  <c r="GM66" i="272"/>
  <c r="GL66" i="272"/>
  <c r="GK66" i="272"/>
  <c r="GJ66" i="272"/>
  <c r="GI66" i="272"/>
  <c r="GH66" i="272"/>
  <c r="GG66" i="272"/>
  <c r="GF66" i="272"/>
  <c r="GE66" i="272"/>
  <c r="GD66" i="272"/>
  <c r="GC66" i="272"/>
  <c r="GB66" i="272"/>
  <c r="GA66" i="272"/>
  <c r="FZ66" i="272"/>
  <c r="FY66" i="272"/>
  <c r="FX66" i="272"/>
  <c r="FW66" i="272"/>
  <c r="FV66" i="272"/>
  <c r="FU66" i="272"/>
  <c r="FT66" i="272"/>
  <c r="FS66" i="272"/>
  <c r="FR66" i="272"/>
  <c r="FQ66" i="272"/>
  <c r="FP66" i="272"/>
  <c r="FO66" i="272"/>
  <c r="FN66" i="272"/>
  <c r="FM66" i="272"/>
  <c r="FL66" i="272"/>
  <c r="FK66" i="272"/>
  <c r="FJ66" i="272"/>
  <c r="FI66" i="272"/>
  <c r="FH66" i="272"/>
  <c r="FG66" i="272"/>
  <c r="FF66" i="272"/>
  <c r="FE66" i="272"/>
  <c r="FD66" i="272"/>
  <c r="FC66" i="272"/>
  <c r="FB66" i="272"/>
  <c r="FA66" i="272"/>
  <c r="EZ66" i="272"/>
  <c r="EY66" i="272"/>
  <c r="EX66" i="272"/>
  <c r="EW66" i="272"/>
  <c r="EV66" i="272"/>
  <c r="EU66" i="272"/>
  <c r="ET66" i="272"/>
  <c r="ES66" i="272"/>
  <c r="ER66" i="272"/>
  <c r="EQ66" i="272"/>
  <c r="EP66" i="272"/>
  <c r="EO66" i="272"/>
  <c r="EN66" i="272"/>
  <c r="EM66" i="272"/>
  <c r="EL66" i="272"/>
  <c r="EK66" i="272"/>
  <c r="EJ66" i="272"/>
  <c r="EI66" i="272"/>
  <c r="EH66" i="272"/>
  <c r="EG66" i="272"/>
  <c r="EF66" i="272"/>
  <c r="EE66" i="272"/>
  <c r="EC66" i="272"/>
  <c r="EB66" i="272"/>
  <c r="EA66" i="272"/>
  <c r="DZ66" i="272"/>
  <c r="DY66" i="272"/>
  <c r="DX66" i="272"/>
  <c r="DW66" i="272"/>
  <c r="DT66" i="272"/>
  <c r="DS66" i="272"/>
  <c r="DR66" i="272"/>
  <c r="DQ66" i="272"/>
  <c r="DP66" i="272"/>
  <c r="DO66" i="272"/>
  <c r="DN66" i="272"/>
  <c r="DM66" i="272"/>
  <c r="DL66" i="272"/>
  <c r="DK66" i="272"/>
  <c r="DJ66" i="272"/>
  <c r="DI66" i="272"/>
  <c r="DH66" i="272"/>
  <c r="DG66" i="272"/>
  <c r="DF66" i="272"/>
  <c r="DE66" i="272"/>
  <c r="DD66" i="272"/>
  <c r="DC66" i="272"/>
  <c r="DB66" i="272"/>
  <c r="DA66" i="272"/>
  <c r="CZ66" i="272"/>
  <c r="CY66" i="272"/>
  <c r="CX66" i="272"/>
  <c r="CW66" i="272"/>
  <c r="CV66" i="272"/>
  <c r="CU66" i="272"/>
  <c r="CT66" i="272"/>
  <c r="CS66" i="272"/>
  <c r="CR66" i="272"/>
  <c r="CQ66" i="272"/>
  <c r="CP66" i="272"/>
  <c r="CO66" i="272"/>
  <c r="CN66" i="272"/>
  <c r="CM66" i="272"/>
  <c r="CL66" i="272"/>
  <c r="CK66" i="272"/>
  <c r="CJ66" i="272"/>
  <c r="CI66" i="272"/>
  <c r="CH66" i="272"/>
  <c r="CG66" i="272"/>
  <c r="CF66" i="272"/>
  <c r="CE66" i="272"/>
  <c r="CD66" i="272"/>
  <c r="CC66" i="272"/>
  <c r="CB66" i="272"/>
  <c r="CA66" i="272"/>
  <c r="BZ66" i="272"/>
  <c r="BY66" i="272"/>
  <c r="BX66" i="272"/>
  <c r="BW66" i="272"/>
  <c r="BV66" i="272"/>
  <c r="BU66" i="272"/>
  <c r="BT66" i="272"/>
  <c r="BS66" i="272"/>
  <c r="BR66" i="272"/>
  <c r="BQ66" i="272"/>
  <c r="BP66" i="272"/>
  <c r="BO66" i="272"/>
  <c r="BN66" i="272"/>
  <c r="BM66" i="272"/>
  <c r="BL66" i="272"/>
  <c r="BK66" i="272"/>
  <c r="BJ66" i="272"/>
  <c r="BI66" i="272"/>
  <c r="BH66" i="272"/>
  <c r="BG66" i="272"/>
  <c r="BF66" i="272"/>
  <c r="BE66" i="272"/>
  <c r="BD66" i="272"/>
  <c r="BC66" i="272"/>
  <c r="BB66" i="272"/>
  <c r="BA66" i="272"/>
  <c r="AZ66" i="272"/>
  <c r="AY66" i="272"/>
  <c r="AX66" i="272"/>
  <c r="AW66" i="272"/>
  <c r="AV66" i="272"/>
  <c r="AU66" i="272"/>
  <c r="AT66" i="272"/>
  <c r="AS66" i="272"/>
  <c r="AR66" i="272"/>
  <c r="AQ66" i="272"/>
  <c r="AP66" i="272"/>
  <c r="AO66" i="272"/>
  <c r="AN66" i="272"/>
  <c r="AM66" i="272"/>
  <c r="AL66" i="272"/>
  <c r="AK66" i="272"/>
  <c r="AJ66" i="272"/>
  <c r="AI66" i="272"/>
  <c r="AH66" i="272"/>
  <c r="AG66" i="272"/>
  <c r="AE66" i="272"/>
  <c r="AD66" i="272"/>
  <c r="AC66" i="272"/>
  <c r="AB66" i="272"/>
  <c r="AA66" i="272"/>
  <c r="Z66" i="272"/>
  <c r="Y66" i="272"/>
  <c r="T66" i="272"/>
  <c r="U66" i="272" s="1"/>
  <c r="AF66" i="272" s="1"/>
  <c r="N66" i="272"/>
  <c r="M66" i="272"/>
  <c r="G66" i="272"/>
  <c r="C66" i="272"/>
  <c r="HR65" i="272"/>
  <c r="HQ65" i="272"/>
  <c r="HP65" i="272"/>
  <c r="HO65" i="272"/>
  <c r="HN65" i="272"/>
  <c r="HM65" i="272"/>
  <c r="HL65" i="272"/>
  <c r="HK65" i="272"/>
  <c r="HJ65" i="272"/>
  <c r="HI65" i="272"/>
  <c r="HH65" i="272"/>
  <c r="HG65" i="272"/>
  <c r="HF65" i="272"/>
  <c r="HE65" i="272"/>
  <c r="HD65" i="272"/>
  <c r="HC65" i="272"/>
  <c r="HB65" i="272"/>
  <c r="HA65" i="272"/>
  <c r="GZ65" i="272"/>
  <c r="GY65" i="272"/>
  <c r="GX65" i="272"/>
  <c r="GW65" i="272"/>
  <c r="GV65" i="272"/>
  <c r="GU65" i="272"/>
  <c r="GT65" i="272"/>
  <c r="GS65" i="272"/>
  <c r="GR65" i="272"/>
  <c r="GQ65" i="272"/>
  <c r="GP65" i="272"/>
  <c r="GO65" i="272"/>
  <c r="GN65" i="272"/>
  <c r="GM65" i="272"/>
  <c r="GL65" i="272"/>
  <c r="GK65" i="272"/>
  <c r="GJ65" i="272"/>
  <c r="GI65" i="272"/>
  <c r="GH65" i="272"/>
  <c r="GG65" i="272"/>
  <c r="GF65" i="272"/>
  <c r="GE65" i="272"/>
  <c r="GD65" i="272"/>
  <c r="GC65" i="272"/>
  <c r="GB65" i="272"/>
  <c r="GA65" i="272"/>
  <c r="FZ65" i="272"/>
  <c r="FY65" i="272"/>
  <c r="FX65" i="272"/>
  <c r="FW65" i="272"/>
  <c r="FV65" i="272"/>
  <c r="FU65" i="272"/>
  <c r="FT65" i="272"/>
  <c r="FS65" i="272"/>
  <c r="FR65" i="272"/>
  <c r="FQ65" i="272"/>
  <c r="FP65" i="272"/>
  <c r="FO65" i="272"/>
  <c r="FN65" i="272"/>
  <c r="FM65" i="272"/>
  <c r="FL65" i="272"/>
  <c r="FK65" i="272"/>
  <c r="FJ65" i="272"/>
  <c r="FI65" i="272"/>
  <c r="FH65" i="272"/>
  <c r="FG65" i="272"/>
  <c r="FF65" i="272"/>
  <c r="FE65" i="272"/>
  <c r="FD65" i="272"/>
  <c r="FC65" i="272"/>
  <c r="FB65" i="272"/>
  <c r="FA65" i="272"/>
  <c r="EZ65" i="272"/>
  <c r="EY65" i="272"/>
  <c r="EX65" i="272"/>
  <c r="EW65" i="272"/>
  <c r="EV65" i="272"/>
  <c r="EU65" i="272"/>
  <c r="ET65" i="272"/>
  <c r="ES65" i="272"/>
  <c r="ER65" i="272"/>
  <c r="EQ65" i="272"/>
  <c r="EP65" i="272"/>
  <c r="EO65" i="272"/>
  <c r="EN65" i="272"/>
  <c r="EM65" i="272"/>
  <c r="EL65" i="272"/>
  <c r="EK65" i="272"/>
  <c r="EJ65" i="272"/>
  <c r="EI65" i="272"/>
  <c r="EH65" i="272"/>
  <c r="EG65" i="272"/>
  <c r="EF65" i="272"/>
  <c r="EE65" i="272"/>
  <c r="ED65" i="272"/>
  <c r="EC65" i="272"/>
  <c r="EB65" i="272"/>
  <c r="EA65" i="272"/>
  <c r="DZ65" i="272"/>
  <c r="DX65" i="272"/>
  <c r="DW65" i="272"/>
  <c r="DT65" i="272"/>
  <c r="DS65" i="272"/>
  <c r="DR65" i="272"/>
  <c r="DQ65" i="272"/>
  <c r="DP65" i="272"/>
  <c r="DO65" i="272"/>
  <c r="DN65" i="272"/>
  <c r="DM65" i="272"/>
  <c r="DL65" i="272"/>
  <c r="DK65" i="272"/>
  <c r="DJ65" i="272"/>
  <c r="DI65" i="272"/>
  <c r="DH65" i="272"/>
  <c r="DG65" i="272"/>
  <c r="DF65" i="272"/>
  <c r="DE65" i="272"/>
  <c r="DD65" i="272"/>
  <c r="DC65" i="272"/>
  <c r="DB65" i="272"/>
  <c r="DA65" i="272"/>
  <c r="CZ65" i="272"/>
  <c r="CY65" i="272"/>
  <c r="CX65" i="272"/>
  <c r="CW65" i="272"/>
  <c r="CV65" i="272"/>
  <c r="CU65" i="272"/>
  <c r="CT65" i="272"/>
  <c r="CS65" i="272"/>
  <c r="CR65" i="272"/>
  <c r="CQ65" i="272"/>
  <c r="CP65" i="272"/>
  <c r="CO65" i="272"/>
  <c r="CN65" i="272"/>
  <c r="CM65" i="272"/>
  <c r="CL65" i="272"/>
  <c r="CK65" i="272"/>
  <c r="CJ65" i="272"/>
  <c r="CI65" i="272"/>
  <c r="CH65" i="272"/>
  <c r="CG65" i="272"/>
  <c r="CF65" i="272"/>
  <c r="CE65" i="272"/>
  <c r="CD65" i="272"/>
  <c r="CC65" i="272"/>
  <c r="CB65" i="272"/>
  <c r="CA65" i="272"/>
  <c r="BZ65" i="272"/>
  <c r="BY65" i="272"/>
  <c r="BX65" i="272"/>
  <c r="BW65" i="272"/>
  <c r="BV65" i="272"/>
  <c r="BU65" i="272"/>
  <c r="BT65" i="272"/>
  <c r="BS65" i="272"/>
  <c r="BR65" i="272"/>
  <c r="BQ65" i="272"/>
  <c r="BP65" i="272"/>
  <c r="BO65" i="272"/>
  <c r="BN65" i="272"/>
  <c r="BM65" i="272"/>
  <c r="BL65" i="272"/>
  <c r="BK65" i="272"/>
  <c r="BJ65" i="272"/>
  <c r="BI65" i="272"/>
  <c r="BH65" i="272"/>
  <c r="BG65" i="272"/>
  <c r="BF65" i="272"/>
  <c r="BE65" i="272"/>
  <c r="BD65" i="272"/>
  <c r="BC65" i="272"/>
  <c r="BB65" i="272"/>
  <c r="BA65" i="272"/>
  <c r="AZ65" i="272"/>
  <c r="AY65" i="272"/>
  <c r="AX65" i="272"/>
  <c r="AW65" i="272"/>
  <c r="AV65" i="272"/>
  <c r="AU65" i="272"/>
  <c r="AT65" i="272"/>
  <c r="AS65" i="272"/>
  <c r="AR65" i="272"/>
  <c r="AQ65" i="272"/>
  <c r="AP65" i="272"/>
  <c r="AO65" i="272"/>
  <c r="AN65" i="272"/>
  <c r="AM65" i="272"/>
  <c r="AL65" i="272"/>
  <c r="AK65" i="272"/>
  <c r="AJ65" i="272"/>
  <c r="AI65" i="272"/>
  <c r="AH65" i="272"/>
  <c r="AG65" i="272"/>
  <c r="AF65" i="272"/>
  <c r="AE65" i="272"/>
  <c r="AD65" i="272"/>
  <c r="AC65" i="272"/>
  <c r="AB65" i="272"/>
  <c r="Z65" i="272"/>
  <c r="Y65" i="272"/>
  <c r="T65" i="272"/>
  <c r="U65" i="272" s="1"/>
  <c r="AA65" i="272" s="1"/>
  <c r="R65" i="272"/>
  <c r="Q65" i="272"/>
  <c r="O65" i="272"/>
  <c r="DY65" i="272" s="1"/>
  <c r="N65" i="272"/>
  <c r="M65" i="272"/>
  <c r="G65" i="272"/>
  <c r="C65" i="272"/>
  <c r="HR64" i="272"/>
  <c r="HQ64" i="272"/>
  <c r="HP64" i="272"/>
  <c r="HO64" i="272"/>
  <c r="HN64" i="272"/>
  <c r="HM64" i="272"/>
  <c r="HL64" i="272"/>
  <c r="HK64" i="272"/>
  <c r="HJ64" i="272"/>
  <c r="HI64" i="272"/>
  <c r="HH64" i="272"/>
  <c r="HG64" i="272"/>
  <c r="HF64" i="272"/>
  <c r="HE64" i="272"/>
  <c r="HD64" i="272"/>
  <c r="HC64" i="272"/>
  <c r="HB64" i="272"/>
  <c r="HA64" i="272"/>
  <c r="GZ64" i="272"/>
  <c r="GY64" i="272"/>
  <c r="GX64" i="272"/>
  <c r="GW64" i="272"/>
  <c r="GV64" i="272"/>
  <c r="GU64" i="272"/>
  <c r="GT64" i="272"/>
  <c r="GS64" i="272"/>
  <c r="GR64" i="272"/>
  <c r="GQ64" i="272"/>
  <c r="GP64" i="272"/>
  <c r="GO64" i="272"/>
  <c r="GN64" i="272"/>
  <c r="GM64" i="272"/>
  <c r="GL64" i="272"/>
  <c r="GK64" i="272"/>
  <c r="GJ64" i="272"/>
  <c r="GI64" i="272"/>
  <c r="GH64" i="272"/>
  <c r="GG64" i="272"/>
  <c r="GF64" i="272"/>
  <c r="GE64" i="272"/>
  <c r="GD64" i="272"/>
  <c r="GC64" i="272"/>
  <c r="GB64" i="272"/>
  <c r="GA64" i="272"/>
  <c r="FZ64" i="272"/>
  <c r="FY64" i="272"/>
  <c r="FX64" i="272"/>
  <c r="FW64" i="272"/>
  <c r="FV64" i="272"/>
  <c r="FU64" i="272"/>
  <c r="FT64" i="272"/>
  <c r="FS64" i="272"/>
  <c r="FR64" i="272"/>
  <c r="FQ64" i="272"/>
  <c r="FP64" i="272"/>
  <c r="FO64" i="272"/>
  <c r="FN64" i="272"/>
  <c r="FM64" i="272"/>
  <c r="FL64" i="272"/>
  <c r="FK64" i="272"/>
  <c r="FJ64" i="272"/>
  <c r="FI64" i="272"/>
  <c r="FH64" i="272"/>
  <c r="FG64" i="272"/>
  <c r="FF64" i="272"/>
  <c r="FE64" i="272"/>
  <c r="FD64" i="272"/>
  <c r="FC64" i="272"/>
  <c r="FB64" i="272"/>
  <c r="FA64" i="272"/>
  <c r="EZ64" i="272"/>
  <c r="EY64" i="272"/>
  <c r="EX64" i="272"/>
  <c r="EW64" i="272"/>
  <c r="EV64" i="272"/>
  <c r="EU64" i="272"/>
  <c r="ET64" i="272"/>
  <c r="ES64" i="272"/>
  <c r="ER64" i="272"/>
  <c r="EQ64" i="272"/>
  <c r="EP64" i="272"/>
  <c r="EO64" i="272"/>
  <c r="EN64" i="272"/>
  <c r="EM64" i="272"/>
  <c r="EL64" i="272"/>
  <c r="EK64" i="272"/>
  <c r="EJ64" i="272"/>
  <c r="EI64" i="272"/>
  <c r="EH64" i="272"/>
  <c r="EG64" i="272"/>
  <c r="EF64" i="272"/>
  <c r="EE64" i="272"/>
  <c r="ED64" i="272"/>
  <c r="EC64" i="272"/>
  <c r="EB64" i="272"/>
  <c r="EA64" i="272"/>
  <c r="DZ64" i="272"/>
  <c r="DX64" i="272"/>
  <c r="DW64" i="272"/>
  <c r="DT64" i="272"/>
  <c r="DS64" i="272"/>
  <c r="DR64" i="272"/>
  <c r="DQ64" i="272"/>
  <c r="DP64" i="272"/>
  <c r="DO64" i="272"/>
  <c r="DN64" i="272"/>
  <c r="DM64" i="272"/>
  <c r="DL64" i="272"/>
  <c r="DK64" i="272"/>
  <c r="DJ64" i="272"/>
  <c r="DI64" i="272"/>
  <c r="DH64" i="272"/>
  <c r="DG64" i="272"/>
  <c r="DF64" i="272"/>
  <c r="DE64" i="272"/>
  <c r="DD64" i="272"/>
  <c r="DC64" i="272"/>
  <c r="DB64" i="272"/>
  <c r="DA64" i="272"/>
  <c r="CZ64" i="272"/>
  <c r="CY64" i="272"/>
  <c r="CX64" i="272"/>
  <c r="CW64" i="272"/>
  <c r="CV64" i="272"/>
  <c r="CU64" i="272"/>
  <c r="CT64" i="272"/>
  <c r="CS64" i="272"/>
  <c r="CR64" i="272"/>
  <c r="CQ64" i="272"/>
  <c r="CP64" i="272"/>
  <c r="CO64" i="272"/>
  <c r="CN64" i="272"/>
  <c r="CM64" i="272"/>
  <c r="CL64" i="272"/>
  <c r="CK64" i="272"/>
  <c r="CJ64" i="272"/>
  <c r="CI64" i="272"/>
  <c r="CH64" i="272"/>
  <c r="CG64" i="272"/>
  <c r="CF64" i="272"/>
  <c r="CE64" i="272"/>
  <c r="CD64" i="272"/>
  <c r="CC64" i="272"/>
  <c r="CB64" i="272"/>
  <c r="CA64" i="272"/>
  <c r="BZ64" i="272"/>
  <c r="BY64" i="272"/>
  <c r="BX64" i="272"/>
  <c r="BW64" i="272"/>
  <c r="BV64" i="272"/>
  <c r="BU64" i="272"/>
  <c r="BT64" i="272"/>
  <c r="BS64" i="272"/>
  <c r="BR64" i="272"/>
  <c r="BQ64" i="272"/>
  <c r="BP64" i="272"/>
  <c r="BO64" i="272"/>
  <c r="BN64" i="272"/>
  <c r="BM64" i="272"/>
  <c r="BL64" i="272"/>
  <c r="BK64" i="272"/>
  <c r="BJ64" i="272"/>
  <c r="BI64" i="272"/>
  <c r="BH64" i="272"/>
  <c r="BG64" i="272"/>
  <c r="BF64" i="272"/>
  <c r="BE64" i="272"/>
  <c r="BD64" i="272"/>
  <c r="BC64" i="272"/>
  <c r="BB64" i="272"/>
  <c r="BA64" i="272"/>
  <c r="AZ64" i="272"/>
  <c r="AY64" i="272"/>
  <c r="AX64" i="272"/>
  <c r="AW64" i="272"/>
  <c r="AV64" i="272"/>
  <c r="AU64" i="272"/>
  <c r="AT64" i="272"/>
  <c r="AS64" i="272"/>
  <c r="AR64" i="272"/>
  <c r="AQ64" i="272"/>
  <c r="AP64" i="272"/>
  <c r="AO64" i="272"/>
  <c r="AN64" i="272"/>
  <c r="AM64" i="272"/>
  <c r="AL64" i="272"/>
  <c r="AK64" i="272"/>
  <c r="AJ64" i="272"/>
  <c r="AI64" i="272"/>
  <c r="AH64" i="272"/>
  <c r="AG64" i="272"/>
  <c r="AF64" i="272"/>
  <c r="AE64" i="272"/>
  <c r="AD64" i="272"/>
  <c r="AC64" i="272"/>
  <c r="AB64" i="272"/>
  <c r="Z64" i="272"/>
  <c r="Y64" i="272"/>
  <c r="T64" i="272"/>
  <c r="U64" i="272" s="1"/>
  <c r="AA64" i="272" s="1"/>
  <c r="R64" i="272"/>
  <c r="Q64" i="272"/>
  <c r="O64" i="272"/>
  <c r="DY64" i="272" s="1"/>
  <c r="N64" i="272"/>
  <c r="M64" i="272"/>
  <c r="G64" i="272"/>
  <c r="C64" i="272"/>
  <c r="HR63" i="272"/>
  <c r="HQ63" i="272"/>
  <c r="HP63" i="272"/>
  <c r="HO63" i="272"/>
  <c r="HN63" i="272"/>
  <c r="HM63" i="272"/>
  <c r="HL63" i="272"/>
  <c r="HK63" i="272"/>
  <c r="HJ63" i="272"/>
  <c r="HI63" i="272"/>
  <c r="HH63" i="272"/>
  <c r="HG63" i="272"/>
  <c r="HF63" i="272"/>
  <c r="HE63" i="272"/>
  <c r="HD63" i="272"/>
  <c r="HC63" i="272"/>
  <c r="HB63" i="272"/>
  <c r="HA63" i="272"/>
  <c r="GZ63" i="272"/>
  <c r="GY63" i="272"/>
  <c r="GX63" i="272"/>
  <c r="GW63" i="272"/>
  <c r="GV63" i="272"/>
  <c r="GU63" i="272"/>
  <c r="GT63" i="272"/>
  <c r="GS63" i="272"/>
  <c r="GR63" i="272"/>
  <c r="GQ63" i="272"/>
  <c r="GP63" i="272"/>
  <c r="GO63" i="272"/>
  <c r="GN63" i="272"/>
  <c r="GM63" i="272"/>
  <c r="GL63" i="272"/>
  <c r="GK63" i="272"/>
  <c r="GJ63" i="272"/>
  <c r="GI63" i="272"/>
  <c r="GH63" i="272"/>
  <c r="GG63" i="272"/>
  <c r="GF63" i="272"/>
  <c r="GE63" i="272"/>
  <c r="GD63" i="272"/>
  <c r="GC63" i="272"/>
  <c r="GB63" i="272"/>
  <c r="GA63" i="272"/>
  <c r="FZ63" i="272"/>
  <c r="FY63" i="272"/>
  <c r="FX63" i="272"/>
  <c r="FW63" i="272"/>
  <c r="FV63" i="272"/>
  <c r="FU63" i="272"/>
  <c r="FT63" i="272"/>
  <c r="FS63" i="272"/>
  <c r="FR63" i="272"/>
  <c r="FQ63" i="272"/>
  <c r="FP63" i="272"/>
  <c r="FO63" i="272"/>
  <c r="FN63" i="272"/>
  <c r="FM63" i="272"/>
  <c r="FL63" i="272"/>
  <c r="FK63" i="272"/>
  <c r="FJ63" i="272"/>
  <c r="FI63" i="272"/>
  <c r="FH63" i="272"/>
  <c r="FG63" i="272"/>
  <c r="FF63" i="272"/>
  <c r="FE63" i="272"/>
  <c r="FD63" i="272"/>
  <c r="FB63" i="272"/>
  <c r="FA63" i="272"/>
  <c r="EZ63" i="272"/>
  <c r="EY63" i="272"/>
  <c r="EX63" i="272"/>
  <c r="EW63" i="272"/>
  <c r="EV63" i="272"/>
  <c r="EU63" i="272"/>
  <c r="ET63" i="272"/>
  <c r="ES63" i="272"/>
  <c r="ER63" i="272"/>
  <c r="EQ63" i="272"/>
  <c r="EP63" i="272"/>
  <c r="EO63" i="272"/>
  <c r="EN63" i="272"/>
  <c r="EM63" i="272"/>
  <c r="EL63" i="272"/>
  <c r="EK63" i="272"/>
  <c r="EJ63" i="272"/>
  <c r="EI63" i="272"/>
  <c r="EH63" i="272"/>
  <c r="EG63" i="272"/>
  <c r="EF63" i="272"/>
  <c r="EE63" i="272"/>
  <c r="ED63" i="272"/>
  <c r="EB63" i="272"/>
  <c r="EA63" i="272"/>
  <c r="DZ63" i="272"/>
  <c r="DX63" i="272"/>
  <c r="DW63" i="272"/>
  <c r="DT63" i="272"/>
  <c r="DS63" i="272"/>
  <c r="DR63" i="272"/>
  <c r="DQ63" i="272"/>
  <c r="DP63" i="272"/>
  <c r="DO63" i="272"/>
  <c r="DN63" i="272"/>
  <c r="DM63" i="272"/>
  <c r="DL63" i="272"/>
  <c r="DK63" i="272"/>
  <c r="DJ63" i="272"/>
  <c r="DI63" i="272"/>
  <c r="DH63" i="272"/>
  <c r="DG63" i="272"/>
  <c r="DF63" i="272"/>
  <c r="DE63" i="272"/>
  <c r="DD63" i="272"/>
  <c r="DC63" i="272"/>
  <c r="DB63" i="272"/>
  <c r="DA63" i="272"/>
  <c r="CZ63" i="272"/>
  <c r="CY63" i="272"/>
  <c r="CX63" i="272"/>
  <c r="CW63" i="272"/>
  <c r="CV63" i="272"/>
  <c r="CU63" i="272"/>
  <c r="CT63" i="272"/>
  <c r="CS63" i="272"/>
  <c r="CR63" i="272"/>
  <c r="CQ63" i="272"/>
  <c r="CP63" i="272"/>
  <c r="CO63" i="272"/>
  <c r="CN63" i="272"/>
  <c r="CM63" i="272"/>
  <c r="CL63" i="272"/>
  <c r="CK63" i="272"/>
  <c r="CJ63" i="272"/>
  <c r="CI63" i="272"/>
  <c r="CH63" i="272"/>
  <c r="CG63" i="272"/>
  <c r="CF63" i="272"/>
  <c r="CE63" i="272"/>
  <c r="CD63" i="272"/>
  <c r="CC63" i="272"/>
  <c r="CB63" i="272"/>
  <c r="CA63" i="272"/>
  <c r="BZ63" i="272"/>
  <c r="BY63" i="272"/>
  <c r="BX63" i="272"/>
  <c r="BW63" i="272"/>
  <c r="BV63" i="272"/>
  <c r="BU63" i="272"/>
  <c r="BT63" i="272"/>
  <c r="BS63" i="272"/>
  <c r="BR63" i="272"/>
  <c r="BQ63" i="272"/>
  <c r="BP63" i="272"/>
  <c r="BO63" i="272"/>
  <c r="BN63" i="272"/>
  <c r="BM63" i="272"/>
  <c r="BL63" i="272"/>
  <c r="BK63" i="272"/>
  <c r="BJ63" i="272"/>
  <c r="BI63" i="272"/>
  <c r="BH63" i="272"/>
  <c r="BG63" i="272"/>
  <c r="BF63" i="272"/>
  <c r="BD63" i="272"/>
  <c r="BC63" i="272"/>
  <c r="BB63" i="272"/>
  <c r="BA63" i="272"/>
  <c r="AZ63" i="272"/>
  <c r="AY63" i="272"/>
  <c r="AX63" i="272"/>
  <c r="AW63" i="272"/>
  <c r="AV63" i="272"/>
  <c r="AU63" i="272"/>
  <c r="AT63" i="272"/>
  <c r="AS63" i="272"/>
  <c r="AR63" i="272"/>
  <c r="AQ63" i="272"/>
  <c r="AP63" i="272"/>
  <c r="AO63" i="272"/>
  <c r="AN63" i="272"/>
  <c r="AM63" i="272"/>
  <c r="AL63" i="272"/>
  <c r="AK63" i="272"/>
  <c r="AJ63" i="272"/>
  <c r="AI63" i="272"/>
  <c r="AH63" i="272"/>
  <c r="AG63" i="272"/>
  <c r="AF63" i="272"/>
  <c r="AD63" i="272"/>
  <c r="AC63" i="272"/>
  <c r="AB63" i="272"/>
  <c r="Z63" i="272"/>
  <c r="Y63" i="272"/>
  <c r="T63" i="272"/>
  <c r="U63" i="272" s="1"/>
  <c r="BE63" i="272" s="1"/>
  <c r="N63" i="272"/>
  <c r="M63" i="272"/>
  <c r="G63" i="272"/>
  <c r="C63" i="272"/>
  <c r="HR62" i="272"/>
  <c r="HQ62" i="272"/>
  <c r="HP62" i="272"/>
  <c r="HO62" i="272"/>
  <c r="HN62" i="272"/>
  <c r="HM62" i="272"/>
  <c r="HL62" i="272"/>
  <c r="HK62" i="272"/>
  <c r="HJ62" i="272"/>
  <c r="HI62" i="272"/>
  <c r="HH62" i="272"/>
  <c r="HG62" i="272"/>
  <c r="HF62" i="272"/>
  <c r="HE62" i="272"/>
  <c r="HD62" i="272"/>
  <c r="HC62" i="272"/>
  <c r="HB62" i="272"/>
  <c r="HA62" i="272"/>
  <c r="GZ62" i="272"/>
  <c r="GY62" i="272"/>
  <c r="GX62" i="272"/>
  <c r="GW62" i="272"/>
  <c r="GV62" i="272"/>
  <c r="GU62" i="272"/>
  <c r="GT62" i="272"/>
  <c r="GS62" i="272"/>
  <c r="GR62" i="272"/>
  <c r="GQ62" i="272"/>
  <c r="GP62" i="272"/>
  <c r="GO62" i="272"/>
  <c r="GN62" i="272"/>
  <c r="GM62" i="272"/>
  <c r="GL62" i="272"/>
  <c r="GK62" i="272"/>
  <c r="GJ62" i="272"/>
  <c r="GI62" i="272"/>
  <c r="GH62" i="272"/>
  <c r="GG62" i="272"/>
  <c r="GF62" i="272"/>
  <c r="GE62" i="272"/>
  <c r="GD62" i="272"/>
  <c r="GC62" i="272"/>
  <c r="GB62" i="272"/>
  <c r="GA62" i="272"/>
  <c r="FZ62" i="272"/>
  <c r="FY62" i="272"/>
  <c r="FX62" i="272"/>
  <c r="FW62" i="272"/>
  <c r="FV62" i="272"/>
  <c r="FU62" i="272"/>
  <c r="FT62" i="272"/>
  <c r="FS62" i="272"/>
  <c r="FR62" i="272"/>
  <c r="FQ62" i="272"/>
  <c r="FP62" i="272"/>
  <c r="FO62" i="272"/>
  <c r="FN62" i="272"/>
  <c r="FM62" i="272"/>
  <c r="FL62" i="272"/>
  <c r="FK62" i="272"/>
  <c r="FJ62" i="272"/>
  <c r="FI62" i="272"/>
  <c r="FH62" i="272"/>
  <c r="FG62" i="272"/>
  <c r="FF62" i="272"/>
  <c r="FE62" i="272"/>
  <c r="FD62" i="272"/>
  <c r="FC62" i="272"/>
  <c r="FB62" i="272"/>
  <c r="FA62" i="272"/>
  <c r="EZ62" i="272"/>
  <c r="EY62" i="272"/>
  <c r="EX62" i="272"/>
  <c r="EW62" i="272"/>
  <c r="EV62" i="272"/>
  <c r="EU62" i="272"/>
  <c r="ET62" i="272"/>
  <c r="ES62" i="272"/>
  <c r="ER62" i="272"/>
  <c r="EQ62" i="272"/>
  <c r="EP62" i="272"/>
  <c r="EO62" i="272"/>
  <c r="EN62" i="272"/>
  <c r="EM62" i="272"/>
  <c r="EL62" i="272"/>
  <c r="EK62" i="272"/>
  <c r="EJ62" i="272"/>
  <c r="EI62" i="272"/>
  <c r="EH62" i="272"/>
  <c r="EG62" i="272"/>
  <c r="EF62" i="272"/>
  <c r="EE62" i="272"/>
  <c r="ED62" i="272"/>
  <c r="EC62" i="272"/>
  <c r="EB62" i="272"/>
  <c r="EA62" i="272"/>
  <c r="DZ62" i="272"/>
  <c r="DX62" i="272"/>
  <c r="DW62" i="272"/>
  <c r="DT62" i="272"/>
  <c r="DS62" i="272"/>
  <c r="DR62" i="272"/>
  <c r="DQ62" i="272"/>
  <c r="DP62" i="272"/>
  <c r="DO62" i="272"/>
  <c r="DN62" i="272"/>
  <c r="DM62" i="272"/>
  <c r="DL62" i="272"/>
  <c r="DK62" i="272"/>
  <c r="DJ62" i="272"/>
  <c r="DI62" i="272"/>
  <c r="DH62" i="272"/>
  <c r="DG62" i="272"/>
  <c r="DF62" i="272"/>
  <c r="DE62" i="272"/>
  <c r="DD62" i="272"/>
  <c r="DC62" i="272"/>
  <c r="DB62" i="272"/>
  <c r="DA62" i="272"/>
  <c r="CZ62" i="272"/>
  <c r="CY62" i="272"/>
  <c r="CX62" i="272"/>
  <c r="CW62" i="272"/>
  <c r="CV62" i="272"/>
  <c r="CU62" i="272"/>
  <c r="CT62" i="272"/>
  <c r="CS62" i="272"/>
  <c r="CR62" i="272"/>
  <c r="CQ62" i="272"/>
  <c r="CP62" i="272"/>
  <c r="CO62" i="272"/>
  <c r="CN62" i="272"/>
  <c r="CM62" i="272"/>
  <c r="CL62" i="272"/>
  <c r="CK62" i="272"/>
  <c r="CJ62" i="272"/>
  <c r="CI62" i="272"/>
  <c r="CH62" i="272"/>
  <c r="CG62" i="272"/>
  <c r="CF62" i="272"/>
  <c r="CE62" i="272"/>
  <c r="CD62" i="272"/>
  <c r="CC62" i="272"/>
  <c r="CB62" i="272"/>
  <c r="CA62" i="272"/>
  <c r="BZ62" i="272"/>
  <c r="BY62" i="272"/>
  <c r="BX62" i="272"/>
  <c r="BW62" i="272"/>
  <c r="BV62" i="272"/>
  <c r="BU62" i="272"/>
  <c r="BT62" i="272"/>
  <c r="BS62" i="272"/>
  <c r="BR62" i="272"/>
  <c r="BQ62" i="272"/>
  <c r="BP62" i="272"/>
  <c r="BO62" i="272"/>
  <c r="BN62" i="272"/>
  <c r="BM62" i="272"/>
  <c r="BL62" i="272"/>
  <c r="BK62" i="272"/>
  <c r="BJ62" i="272"/>
  <c r="BI62" i="272"/>
  <c r="BH62" i="272"/>
  <c r="BG62" i="272"/>
  <c r="BF62" i="272"/>
  <c r="BE62" i="272"/>
  <c r="BD62" i="272"/>
  <c r="BC62" i="272"/>
  <c r="BB62" i="272"/>
  <c r="BA62" i="272"/>
  <c r="AZ62" i="272"/>
  <c r="AY62" i="272"/>
  <c r="AX62" i="272"/>
  <c r="AW62" i="272"/>
  <c r="AV62" i="272"/>
  <c r="AU62" i="272"/>
  <c r="AT62" i="272"/>
  <c r="AS62" i="272"/>
  <c r="AR62" i="272"/>
  <c r="AQ62" i="272"/>
  <c r="AP62" i="272"/>
  <c r="AO62" i="272"/>
  <c r="AN62" i="272"/>
  <c r="AM62" i="272"/>
  <c r="AL62" i="272"/>
  <c r="AK62" i="272"/>
  <c r="AJ62" i="272"/>
  <c r="AI62" i="272"/>
  <c r="AH62" i="272"/>
  <c r="AG62" i="272"/>
  <c r="AF62" i="272"/>
  <c r="AE62" i="272"/>
  <c r="AD62" i="272"/>
  <c r="AC62" i="272"/>
  <c r="AB62" i="272"/>
  <c r="Z62" i="272"/>
  <c r="Y62" i="272"/>
  <c r="T62" i="272"/>
  <c r="U62" i="272" s="1"/>
  <c r="AA62" i="272" s="1"/>
  <c r="R62" i="272"/>
  <c r="Q62" i="272"/>
  <c r="O62" i="272"/>
  <c r="DY62" i="272" s="1"/>
  <c r="N62" i="272"/>
  <c r="M62" i="272"/>
  <c r="G62" i="272"/>
  <c r="C62" i="272"/>
  <c r="HR119" i="272"/>
  <c r="HQ119" i="272"/>
  <c r="HP119" i="272"/>
  <c r="HO119" i="272"/>
  <c r="HN119" i="272"/>
  <c r="HM119" i="272"/>
  <c r="HL119" i="272"/>
  <c r="HK119" i="272"/>
  <c r="HJ119" i="272"/>
  <c r="HI119" i="272"/>
  <c r="HH119" i="272"/>
  <c r="HG119" i="272"/>
  <c r="HF119" i="272"/>
  <c r="HE119" i="272"/>
  <c r="HD119" i="272"/>
  <c r="HC119" i="272"/>
  <c r="HB119" i="272"/>
  <c r="HA119" i="272"/>
  <c r="GZ119" i="272"/>
  <c r="GY119" i="272"/>
  <c r="GX119" i="272"/>
  <c r="GW119" i="272"/>
  <c r="GV119" i="272"/>
  <c r="GU119" i="272"/>
  <c r="GT119" i="272"/>
  <c r="GS119" i="272"/>
  <c r="GR119" i="272"/>
  <c r="GQ119" i="272"/>
  <c r="GP119" i="272"/>
  <c r="GO119" i="272"/>
  <c r="GN119" i="272"/>
  <c r="GM119" i="272"/>
  <c r="GL119" i="272"/>
  <c r="GK119" i="272"/>
  <c r="GJ119" i="272"/>
  <c r="GI119" i="272"/>
  <c r="GH119" i="272"/>
  <c r="GG119" i="272"/>
  <c r="GF119" i="272"/>
  <c r="GE119" i="272"/>
  <c r="GD119" i="272"/>
  <c r="GC119" i="272"/>
  <c r="GB119" i="272"/>
  <c r="GA119" i="272"/>
  <c r="FZ119" i="272"/>
  <c r="FY119" i="272"/>
  <c r="FX119" i="272"/>
  <c r="FW119" i="272"/>
  <c r="FV119" i="272"/>
  <c r="FU119" i="272"/>
  <c r="FT119" i="272"/>
  <c r="FS119" i="272"/>
  <c r="FR119" i="272"/>
  <c r="FQ119" i="272"/>
  <c r="FP119" i="272"/>
  <c r="FO119" i="272"/>
  <c r="FN119" i="272"/>
  <c r="FM119" i="272"/>
  <c r="FL119" i="272"/>
  <c r="FK119" i="272"/>
  <c r="FJ119" i="272"/>
  <c r="FI119" i="272"/>
  <c r="FH119" i="272"/>
  <c r="FG119" i="272"/>
  <c r="FF119" i="272"/>
  <c r="FE119" i="272"/>
  <c r="FD119" i="272"/>
  <c r="FC119" i="272"/>
  <c r="FB119" i="272"/>
  <c r="FA119" i="272"/>
  <c r="EZ119" i="272"/>
  <c r="EY119" i="272"/>
  <c r="EX119" i="272"/>
  <c r="EW119" i="272"/>
  <c r="EV119" i="272"/>
  <c r="EU119" i="272"/>
  <c r="ET119" i="272"/>
  <c r="ES119" i="272"/>
  <c r="ER119" i="272"/>
  <c r="EQ119" i="272"/>
  <c r="EP119" i="272"/>
  <c r="EO119" i="272"/>
  <c r="EN119" i="272"/>
  <c r="EM119" i="272"/>
  <c r="EL119" i="272"/>
  <c r="EK119" i="272"/>
  <c r="EJ119" i="272"/>
  <c r="EI119" i="272"/>
  <c r="EH119" i="272"/>
  <c r="EG119" i="272"/>
  <c r="EF119" i="272"/>
  <c r="EE119" i="272"/>
  <c r="ED119" i="272"/>
  <c r="EC119" i="272"/>
  <c r="EB119" i="272"/>
  <c r="EA119" i="272"/>
  <c r="DZ119" i="272"/>
  <c r="DY119" i="272"/>
  <c r="DX119" i="272"/>
  <c r="DW119" i="272"/>
  <c r="DT119" i="272"/>
  <c r="DS119" i="272"/>
  <c r="DR119" i="272"/>
  <c r="DQ119" i="272"/>
  <c r="DP119" i="272"/>
  <c r="DO119" i="272"/>
  <c r="DN119" i="272"/>
  <c r="DM119" i="272"/>
  <c r="DL119" i="272"/>
  <c r="DK119" i="272"/>
  <c r="DJ119" i="272"/>
  <c r="DI119" i="272"/>
  <c r="DH119" i="272"/>
  <c r="DG119" i="272"/>
  <c r="DF119" i="272"/>
  <c r="DE119" i="272"/>
  <c r="DD119" i="272"/>
  <c r="DC119" i="272"/>
  <c r="DB119" i="272"/>
  <c r="DA119" i="272"/>
  <c r="CZ119" i="272"/>
  <c r="CY119" i="272"/>
  <c r="CX119" i="272"/>
  <c r="CW119" i="272"/>
  <c r="CV119" i="272"/>
  <c r="CU119" i="272"/>
  <c r="CT119" i="272"/>
  <c r="CS119" i="272"/>
  <c r="CR119" i="272"/>
  <c r="CQ119" i="272"/>
  <c r="CP119" i="272"/>
  <c r="CO119" i="272"/>
  <c r="CN119" i="272"/>
  <c r="CM119" i="272"/>
  <c r="CL119" i="272"/>
  <c r="CK119" i="272"/>
  <c r="CJ119" i="272"/>
  <c r="CI119" i="272"/>
  <c r="CH119" i="272"/>
  <c r="CG119" i="272"/>
  <c r="CF119" i="272"/>
  <c r="CE119" i="272"/>
  <c r="CD119" i="272"/>
  <c r="CC119" i="272"/>
  <c r="CB119" i="272"/>
  <c r="CA119" i="272"/>
  <c r="BZ119" i="272"/>
  <c r="BY119" i="272"/>
  <c r="BX119" i="272"/>
  <c r="BW119" i="272"/>
  <c r="BV119" i="272"/>
  <c r="BU119" i="272"/>
  <c r="BT119" i="272"/>
  <c r="BS119" i="272"/>
  <c r="BR119" i="272"/>
  <c r="BQ119" i="272"/>
  <c r="BP119" i="272"/>
  <c r="BO119" i="272"/>
  <c r="BN119" i="272"/>
  <c r="BM119" i="272"/>
  <c r="BL119" i="272"/>
  <c r="BK119" i="272"/>
  <c r="BJ119" i="272"/>
  <c r="BI119" i="272"/>
  <c r="BH119" i="272"/>
  <c r="BG119" i="272"/>
  <c r="BF119" i="272"/>
  <c r="BE119" i="272"/>
  <c r="BD119" i="272"/>
  <c r="BC119" i="272"/>
  <c r="BB119" i="272"/>
  <c r="BA119" i="272"/>
  <c r="AZ119" i="272"/>
  <c r="AY119" i="272"/>
  <c r="AX119" i="272"/>
  <c r="AW119" i="272"/>
  <c r="AV119" i="272"/>
  <c r="AU119" i="272"/>
  <c r="AT119" i="272"/>
  <c r="AS119" i="272"/>
  <c r="AR119" i="272"/>
  <c r="AQ119" i="272"/>
  <c r="AP119" i="272"/>
  <c r="AO119" i="272"/>
  <c r="AN119" i="272"/>
  <c r="AM119" i="272"/>
  <c r="AL119" i="272"/>
  <c r="AK119" i="272"/>
  <c r="AJ119" i="272"/>
  <c r="AI119" i="272"/>
  <c r="AH119" i="272"/>
  <c r="AG119" i="272"/>
  <c r="AF119" i="272"/>
  <c r="AE119" i="272"/>
  <c r="AD119" i="272"/>
  <c r="AC119" i="272"/>
  <c r="AB119" i="272"/>
  <c r="AA119" i="272"/>
  <c r="Z119" i="272"/>
  <c r="Y119" i="272"/>
  <c r="T119" i="272"/>
  <c r="U119" i="272" s="1"/>
  <c r="Q119" i="272"/>
  <c r="O119" i="272"/>
  <c r="N119" i="272"/>
  <c r="M119" i="272"/>
  <c r="G119" i="272"/>
  <c r="F119" i="272"/>
  <c r="C119" i="272"/>
  <c r="HR118" i="272"/>
  <c r="HQ118" i="272"/>
  <c r="HP118" i="272"/>
  <c r="HO118" i="272"/>
  <c r="HN118" i="272"/>
  <c r="HM118" i="272"/>
  <c r="HL118" i="272"/>
  <c r="HK118" i="272"/>
  <c r="HJ118" i="272"/>
  <c r="HI118" i="272"/>
  <c r="HH118" i="272"/>
  <c r="HG118" i="272"/>
  <c r="HF118" i="272"/>
  <c r="HE118" i="272"/>
  <c r="HD118" i="272"/>
  <c r="HC118" i="272"/>
  <c r="HB118" i="272"/>
  <c r="HA118" i="272"/>
  <c r="GZ118" i="272"/>
  <c r="GY118" i="272"/>
  <c r="GX118" i="272"/>
  <c r="GW118" i="272"/>
  <c r="GV118" i="272"/>
  <c r="GU118" i="272"/>
  <c r="GT118" i="272"/>
  <c r="GS118" i="272"/>
  <c r="GR118" i="272"/>
  <c r="GQ118" i="272"/>
  <c r="GP118" i="272"/>
  <c r="GO118" i="272"/>
  <c r="GN118" i="272"/>
  <c r="GM118" i="272"/>
  <c r="GL118" i="272"/>
  <c r="GK118" i="272"/>
  <c r="GJ118" i="272"/>
  <c r="GI118" i="272"/>
  <c r="GH118" i="272"/>
  <c r="GG118" i="272"/>
  <c r="GF118" i="272"/>
  <c r="GE118" i="272"/>
  <c r="GD118" i="272"/>
  <c r="GC118" i="272"/>
  <c r="GB118" i="272"/>
  <c r="GA118" i="272"/>
  <c r="FZ118" i="272"/>
  <c r="FY118" i="272"/>
  <c r="FX118" i="272"/>
  <c r="FW118" i="272"/>
  <c r="FV118" i="272"/>
  <c r="FU118" i="272"/>
  <c r="FT118" i="272"/>
  <c r="FS118" i="272"/>
  <c r="FR118" i="272"/>
  <c r="FQ118" i="272"/>
  <c r="FP118" i="272"/>
  <c r="FO118" i="272"/>
  <c r="FN118" i="272"/>
  <c r="FM118" i="272"/>
  <c r="FL118" i="272"/>
  <c r="FK118" i="272"/>
  <c r="FJ118" i="272"/>
  <c r="FI118" i="272"/>
  <c r="FH118" i="272"/>
  <c r="FG118" i="272"/>
  <c r="FF118" i="272"/>
  <c r="FE118" i="272"/>
  <c r="FD118" i="272"/>
  <c r="FC118" i="272"/>
  <c r="FB118" i="272"/>
  <c r="FA118" i="272"/>
  <c r="EZ118" i="272"/>
  <c r="EY118" i="272"/>
  <c r="EX118" i="272"/>
  <c r="EW118" i="272"/>
  <c r="EV118" i="272"/>
  <c r="EU118" i="272"/>
  <c r="ET118" i="272"/>
  <c r="ES118" i="272"/>
  <c r="ER118" i="272"/>
  <c r="EQ118" i="272"/>
  <c r="EP118" i="272"/>
  <c r="EO118" i="272"/>
  <c r="EN118" i="272"/>
  <c r="EM118" i="272"/>
  <c r="EL118" i="272"/>
  <c r="EK118" i="272"/>
  <c r="EJ118" i="272"/>
  <c r="EI118" i="272"/>
  <c r="EH118" i="272"/>
  <c r="EG118" i="272"/>
  <c r="EF118" i="272"/>
  <c r="EE118" i="272"/>
  <c r="ED118" i="272"/>
  <c r="EC118" i="272"/>
  <c r="EB118" i="272"/>
  <c r="EA118" i="272"/>
  <c r="DZ118" i="272"/>
  <c r="DY118" i="272"/>
  <c r="DX118" i="272"/>
  <c r="DW118" i="272"/>
  <c r="DT118" i="272"/>
  <c r="DS118" i="272"/>
  <c r="DR118" i="272"/>
  <c r="DQ118" i="272"/>
  <c r="DP118" i="272"/>
  <c r="DO118" i="272"/>
  <c r="DN118" i="272"/>
  <c r="DM118" i="272"/>
  <c r="DL118" i="272"/>
  <c r="DK118" i="272"/>
  <c r="DJ118" i="272"/>
  <c r="DI118" i="272"/>
  <c r="DH118" i="272"/>
  <c r="DG118" i="272"/>
  <c r="DF118" i="272"/>
  <c r="DE118" i="272"/>
  <c r="DD118" i="272"/>
  <c r="DC118" i="272"/>
  <c r="DB118" i="272"/>
  <c r="DA118" i="272"/>
  <c r="CZ118" i="272"/>
  <c r="CY118" i="272"/>
  <c r="CX118" i="272"/>
  <c r="CW118" i="272"/>
  <c r="CV118" i="272"/>
  <c r="CU118" i="272"/>
  <c r="CT118" i="272"/>
  <c r="CS118" i="272"/>
  <c r="CR118" i="272"/>
  <c r="CQ118" i="272"/>
  <c r="CP118" i="272"/>
  <c r="CO118" i="272"/>
  <c r="CN118" i="272"/>
  <c r="CM118" i="272"/>
  <c r="CL118" i="272"/>
  <c r="CK118" i="272"/>
  <c r="CJ118" i="272"/>
  <c r="CI118" i="272"/>
  <c r="CH118" i="272"/>
  <c r="CG118" i="272"/>
  <c r="CF118" i="272"/>
  <c r="CE118" i="272"/>
  <c r="CD118" i="272"/>
  <c r="CC118" i="272"/>
  <c r="CB118" i="272"/>
  <c r="CA118" i="272"/>
  <c r="BZ118" i="272"/>
  <c r="BY118" i="272"/>
  <c r="BX118" i="272"/>
  <c r="BW118" i="272"/>
  <c r="BV118" i="272"/>
  <c r="BU118" i="272"/>
  <c r="BT118" i="272"/>
  <c r="BS118" i="272"/>
  <c r="BR118" i="272"/>
  <c r="BQ118" i="272"/>
  <c r="BP118" i="272"/>
  <c r="BO118" i="272"/>
  <c r="BN118" i="272"/>
  <c r="BM118" i="272"/>
  <c r="BL118" i="272"/>
  <c r="BK118" i="272"/>
  <c r="BJ118" i="272"/>
  <c r="BI118" i="272"/>
  <c r="BH118" i="272"/>
  <c r="BG118" i="272"/>
  <c r="BF118" i="272"/>
  <c r="BE118" i="272"/>
  <c r="BD118" i="272"/>
  <c r="BC118" i="272"/>
  <c r="BB118" i="272"/>
  <c r="BA118" i="272"/>
  <c r="AZ118" i="272"/>
  <c r="AY118" i="272"/>
  <c r="AX118" i="272"/>
  <c r="AW118" i="272"/>
  <c r="AV118" i="272"/>
  <c r="AU118" i="272"/>
  <c r="AT118" i="272"/>
  <c r="AS118" i="272"/>
  <c r="AR118" i="272"/>
  <c r="AQ118" i="272"/>
  <c r="AP118" i="272"/>
  <c r="AO118" i="272"/>
  <c r="AN118" i="272"/>
  <c r="AM118" i="272"/>
  <c r="AL118" i="272"/>
  <c r="AK118" i="272"/>
  <c r="AJ118" i="272"/>
  <c r="AI118" i="272"/>
  <c r="AH118" i="272"/>
  <c r="AG118" i="272"/>
  <c r="AF118" i="272"/>
  <c r="AE118" i="272"/>
  <c r="AD118" i="272"/>
  <c r="AC118" i="272"/>
  <c r="AB118" i="272"/>
  <c r="AA118" i="272"/>
  <c r="Z118" i="272"/>
  <c r="Y118" i="272"/>
  <c r="T118" i="272"/>
  <c r="U118" i="272" s="1"/>
  <c r="Q118" i="272"/>
  <c r="O118" i="272"/>
  <c r="N118" i="272"/>
  <c r="M118" i="272"/>
  <c r="G118" i="272"/>
  <c r="F118" i="272"/>
  <c r="C118" i="272"/>
  <c r="HR117" i="272"/>
  <c r="HQ117" i="272"/>
  <c r="HP117" i="272"/>
  <c r="HO117" i="272"/>
  <c r="HN117" i="272"/>
  <c r="HM117" i="272"/>
  <c r="HL117" i="272"/>
  <c r="HK117" i="272"/>
  <c r="HJ117" i="272"/>
  <c r="HI117" i="272"/>
  <c r="HH117" i="272"/>
  <c r="HG117" i="272"/>
  <c r="HF117" i="272"/>
  <c r="HE117" i="272"/>
  <c r="HD117" i="272"/>
  <c r="HC117" i="272"/>
  <c r="HB117" i="272"/>
  <c r="HA117" i="272"/>
  <c r="GZ117" i="272"/>
  <c r="GY117" i="272"/>
  <c r="GX117" i="272"/>
  <c r="GW117" i="272"/>
  <c r="GV117" i="272"/>
  <c r="GU117" i="272"/>
  <c r="GT117" i="272"/>
  <c r="GS117" i="272"/>
  <c r="GR117" i="272"/>
  <c r="GQ117" i="272"/>
  <c r="GP117" i="272"/>
  <c r="GO117" i="272"/>
  <c r="GN117" i="272"/>
  <c r="GM117" i="272"/>
  <c r="GL117" i="272"/>
  <c r="GK117" i="272"/>
  <c r="GJ117" i="272"/>
  <c r="GI117" i="272"/>
  <c r="GH117" i="272"/>
  <c r="GG117" i="272"/>
  <c r="GF117" i="272"/>
  <c r="GE117" i="272"/>
  <c r="GD117" i="272"/>
  <c r="GC117" i="272"/>
  <c r="GB117" i="272"/>
  <c r="GA117" i="272"/>
  <c r="FZ117" i="272"/>
  <c r="FY117" i="272"/>
  <c r="FX117" i="272"/>
  <c r="FW117" i="272"/>
  <c r="FV117" i="272"/>
  <c r="FU117" i="272"/>
  <c r="FT117" i="272"/>
  <c r="FS117" i="272"/>
  <c r="FR117" i="272"/>
  <c r="FQ117" i="272"/>
  <c r="FP117" i="272"/>
  <c r="FO117" i="272"/>
  <c r="FN117" i="272"/>
  <c r="FM117" i="272"/>
  <c r="FL117" i="272"/>
  <c r="FK117" i="272"/>
  <c r="FJ117" i="272"/>
  <c r="FI117" i="272"/>
  <c r="FH117" i="272"/>
  <c r="FG117" i="272"/>
  <c r="FF117" i="272"/>
  <c r="FE117" i="272"/>
  <c r="FD117" i="272"/>
  <c r="FC117" i="272"/>
  <c r="FB117" i="272"/>
  <c r="FA117" i="272"/>
  <c r="EZ117" i="272"/>
  <c r="EY117" i="272"/>
  <c r="EX117" i="272"/>
  <c r="EW117" i="272"/>
  <c r="EV117" i="272"/>
  <c r="EU117" i="272"/>
  <c r="ET117" i="272"/>
  <c r="ES117" i="272"/>
  <c r="ER117" i="272"/>
  <c r="EQ117" i="272"/>
  <c r="EP117" i="272"/>
  <c r="EO117" i="272"/>
  <c r="EN117" i="272"/>
  <c r="EM117" i="272"/>
  <c r="EL117" i="272"/>
  <c r="EK117" i="272"/>
  <c r="EJ117" i="272"/>
  <c r="EI117" i="272"/>
  <c r="EH117" i="272"/>
  <c r="EG117" i="272"/>
  <c r="EF117" i="272"/>
  <c r="EE117" i="272"/>
  <c r="ED117" i="272"/>
  <c r="EC117" i="272"/>
  <c r="EB117" i="272"/>
  <c r="EA117" i="272"/>
  <c r="DZ117" i="272"/>
  <c r="DY117" i="272"/>
  <c r="DX117" i="272"/>
  <c r="DW117" i="272"/>
  <c r="DT117" i="272"/>
  <c r="DS117" i="272"/>
  <c r="DR117" i="272"/>
  <c r="DQ117" i="272"/>
  <c r="DP117" i="272"/>
  <c r="DO117" i="272"/>
  <c r="DN117" i="272"/>
  <c r="DM117" i="272"/>
  <c r="DL117" i="272"/>
  <c r="DK117" i="272"/>
  <c r="DJ117" i="272"/>
  <c r="DI117" i="272"/>
  <c r="DH117" i="272"/>
  <c r="DG117" i="272"/>
  <c r="DF117" i="272"/>
  <c r="DE117" i="272"/>
  <c r="DD117" i="272"/>
  <c r="DC117" i="272"/>
  <c r="DB117" i="272"/>
  <c r="DA117" i="272"/>
  <c r="CZ117" i="272"/>
  <c r="CY117" i="272"/>
  <c r="CX117" i="272"/>
  <c r="CW117" i="272"/>
  <c r="CV117" i="272"/>
  <c r="CU117" i="272"/>
  <c r="CT117" i="272"/>
  <c r="CS117" i="272"/>
  <c r="CR117" i="272"/>
  <c r="CQ117" i="272"/>
  <c r="CP117" i="272"/>
  <c r="CO117" i="272"/>
  <c r="CN117" i="272"/>
  <c r="CM117" i="272"/>
  <c r="CL117" i="272"/>
  <c r="CK117" i="272"/>
  <c r="CJ117" i="272"/>
  <c r="CI117" i="272"/>
  <c r="CH117" i="272"/>
  <c r="CG117" i="272"/>
  <c r="CF117" i="272"/>
  <c r="CE117" i="272"/>
  <c r="CD117" i="272"/>
  <c r="CC117" i="272"/>
  <c r="CB117" i="272"/>
  <c r="CA117" i="272"/>
  <c r="BZ117" i="272"/>
  <c r="BY117" i="272"/>
  <c r="BX117" i="272"/>
  <c r="BW117" i="272"/>
  <c r="BV117" i="272"/>
  <c r="BU117" i="272"/>
  <c r="BT117" i="272"/>
  <c r="BS117" i="272"/>
  <c r="BR117" i="272"/>
  <c r="BQ117" i="272"/>
  <c r="BP117" i="272"/>
  <c r="BO117" i="272"/>
  <c r="BN117" i="272"/>
  <c r="BM117" i="272"/>
  <c r="BL117" i="272"/>
  <c r="BK117" i="272"/>
  <c r="BJ117" i="272"/>
  <c r="BI117" i="272"/>
  <c r="BH117" i="272"/>
  <c r="BG117" i="272"/>
  <c r="BF117" i="272"/>
  <c r="BE117" i="272"/>
  <c r="BD117" i="272"/>
  <c r="BC117" i="272"/>
  <c r="BB117" i="272"/>
  <c r="BA117" i="272"/>
  <c r="AZ117" i="272"/>
  <c r="AY117" i="272"/>
  <c r="AX117" i="272"/>
  <c r="AW117" i="272"/>
  <c r="AV117" i="272"/>
  <c r="AU117" i="272"/>
  <c r="AT117" i="272"/>
  <c r="AS117" i="272"/>
  <c r="AR117" i="272"/>
  <c r="AQ117" i="272"/>
  <c r="AP117" i="272"/>
  <c r="AO117" i="272"/>
  <c r="AN117" i="272"/>
  <c r="AM117" i="272"/>
  <c r="AL117" i="272"/>
  <c r="AK117" i="272"/>
  <c r="AJ117" i="272"/>
  <c r="AI117" i="272"/>
  <c r="AH117" i="272"/>
  <c r="AG117" i="272"/>
  <c r="AF117" i="272"/>
  <c r="AE117" i="272"/>
  <c r="AD117" i="272"/>
  <c r="AC117" i="272"/>
  <c r="AB117" i="272"/>
  <c r="AA117" i="272"/>
  <c r="Z117" i="272"/>
  <c r="Y117" i="272"/>
  <c r="T117" i="272"/>
  <c r="U117" i="272" s="1"/>
  <c r="Q117" i="272"/>
  <c r="O117" i="272"/>
  <c r="N117" i="272"/>
  <c r="M117" i="272"/>
  <c r="G117" i="272"/>
  <c r="F117" i="272"/>
  <c r="C117" i="272"/>
  <c r="HR116" i="272"/>
  <c r="HQ116" i="272"/>
  <c r="HP116" i="272"/>
  <c r="HO116" i="272"/>
  <c r="HN116" i="272"/>
  <c r="HM116" i="272"/>
  <c r="HL116" i="272"/>
  <c r="HK116" i="272"/>
  <c r="HJ116" i="272"/>
  <c r="HI116" i="272"/>
  <c r="HH116" i="272"/>
  <c r="HG116" i="272"/>
  <c r="HF116" i="272"/>
  <c r="HE116" i="272"/>
  <c r="HD116" i="272"/>
  <c r="HC116" i="272"/>
  <c r="HB116" i="272"/>
  <c r="HA116" i="272"/>
  <c r="GZ116" i="272"/>
  <c r="GY116" i="272"/>
  <c r="GX116" i="272"/>
  <c r="GW116" i="272"/>
  <c r="GV116" i="272"/>
  <c r="GU116" i="272"/>
  <c r="GT116" i="272"/>
  <c r="GS116" i="272"/>
  <c r="GR116" i="272"/>
  <c r="GQ116" i="272"/>
  <c r="GP116" i="272"/>
  <c r="GO116" i="272"/>
  <c r="GN116" i="272"/>
  <c r="GM116" i="272"/>
  <c r="GL116" i="272"/>
  <c r="GK116" i="272"/>
  <c r="GJ116" i="272"/>
  <c r="GI116" i="272"/>
  <c r="GH116" i="272"/>
  <c r="GG116" i="272"/>
  <c r="GF116" i="272"/>
  <c r="GE116" i="272"/>
  <c r="GD116" i="272"/>
  <c r="GC116" i="272"/>
  <c r="GB116" i="272"/>
  <c r="GA116" i="272"/>
  <c r="FZ116" i="272"/>
  <c r="FY116" i="272"/>
  <c r="FX116" i="272"/>
  <c r="FW116" i="272"/>
  <c r="FV116" i="272"/>
  <c r="FU116" i="272"/>
  <c r="FT116" i="272"/>
  <c r="FS116" i="272"/>
  <c r="FR116" i="272"/>
  <c r="FQ116" i="272"/>
  <c r="FP116" i="272"/>
  <c r="FO116" i="272"/>
  <c r="FN116" i="272"/>
  <c r="FM116" i="272"/>
  <c r="FL116" i="272"/>
  <c r="FK116" i="272"/>
  <c r="FJ116" i="272"/>
  <c r="FI116" i="272"/>
  <c r="FH116" i="272"/>
  <c r="FG116" i="272"/>
  <c r="FF116" i="272"/>
  <c r="FE116" i="272"/>
  <c r="FD116" i="272"/>
  <c r="FC116" i="272"/>
  <c r="FB116" i="272"/>
  <c r="FA116" i="272"/>
  <c r="EZ116" i="272"/>
  <c r="EY116" i="272"/>
  <c r="EX116" i="272"/>
  <c r="EW116" i="272"/>
  <c r="EV116" i="272"/>
  <c r="EU116" i="272"/>
  <c r="ET116" i="272"/>
  <c r="ES116" i="272"/>
  <c r="ER116" i="272"/>
  <c r="EQ116" i="272"/>
  <c r="EP116" i="272"/>
  <c r="EO116" i="272"/>
  <c r="EN116" i="272"/>
  <c r="EM116" i="272"/>
  <c r="EL116" i="272"/>
  <c r="EK116" i="272"/>
  <c r="EJ116" i="272"/>
  <c r="EI116" i="272"/>
  <c r="EH116" i="272"/>
  <c r="EG116" i="272"/>
  <c r="EF116" i="272"/>
  <c r="EE116" i="272"/>
  <c r="ED116" i="272"/>
  <c r="EC116" i="272"/>
  <c r="EB116" i="272"/>
  <c r="EA116" i="272"/>
  <c r="DZ116" i="272"/>
  <c r="DY116" i="272"/>
  <c r="DX116" i="272"/>
  <c r="DW116" i="272"/>
  <c r="DT116" i="272"/>
  <c r="DS116" i="272"/>
  <c r="DR116" i="272"/>
  <c r="DQ116" i="272"/>
  <c r="DP116" i="272"/>
  <c r="DO116" i="272"/>
  <c r="DN116" i="272"/>
  <c r="DM116" i="272"/>
  <c r="DL116" i="272"/>
  <c r="DK116" i="272"/>
  <c r="DJ116" i="272"/>
  <c r="DI116" i="272"/>
  <c r="DH116" i="272"/>
  <c r="DG116" i="272"/>
  <c r="DF116" i="272"/>
  <c r="DE116" i="272"/>
  <c r="DD116" i="272"/>
  <c r="DC116" i="272"/>
  <c r="DB116" i="272"/>
  <c r="DA116" i="272"/>
  <c r="CZ116" i="272"/>
  <c r="CY116" i="272"/>
  <c r="CX116" i="272"/>
  <c r="CW116" i="272"/>
  <c r="CV116" i="272"/>
  <c r="CU116" i="272"/>
  <c r="CT116" i="272"/>
  <c r="CS116" i="272"/>
  <c r="CR116" i="272"/>
  <c r="CQ116" i="272"/>
  <c r="CP116" i="272"/>
  <c r="CO116" i="272"/>
  <c r="CN116" i="272"/>
  <c r="CM116" i="272"/>
  <c r="CL116" i="272"/>
  <c r="CK116" i="272"/>
  <c r="CJ116" i="272"/>
  <c r="CI116" i="272"/>
  <c r="CH116" i="272"/>
  <c r="CG116" i="272"/>
  <c r="CF116" i="272"/>
  <c r="CE116" i="272"/>
  <c r="CD116" i="272"/>
  <c r="CC116" i="272"/>
  <c r="CB116" i="272"/>
  <c r="CA116" i="272"/>
  <c r="BZ116" i="272"/>
  <c r="BY116" i="272"/>
  <c r="BX116" i="272"/>
  <c r="BW116" i="272"/>
  <c r="BV116" i="272"/>
  <c r="BU116" i="272"/>
  <c r="BT116" i="272"/>
  <c r="BS116" i="272"/>
  <c r="BR116" i="272"/>
  <c r="BQ116" i="272"/>
  <c r="BP116" i="272"/>
  <c r="BO116" i="272"/>
  <c r="BN116" i="272"/>
  <c r="BM116" i="272"/>
  <c r="BL116" i="272"/>
  <c r="BK116" i="272"/>
  <c r="BJ116" i="272"/>
  <c r="BI116" i="272"/>
  <c r="BH116" i="272"/>
  <c r="BG116" i="272"/>
  <c r="BF116" i="272"/>
  <c r="BE116" i="272"/>
  <c r="BD116" i="272"/>
  <c r="BC116" i="272"/>
  <c r="BB116" i="272"/>
  <c r="BA116" i="272"/>
  <c r="AZ116" i="272"/>
  <c r="AY116" i="272"/>
  <c r="AX116" i="272"/>
  <c r="AW116" i="272"/>
  <c r="AV116" i="272"/>
  <c r="AU116" i="272"/>
  <c r="AT116" i="272"/>
  <c r="AS116" i="272"/>
  <c r="AR116" i="272"/>
  <c r="AQ116" i="272"/>
  <c r="AP116" i="272"/>
  <c r="AO116" i="272"/>
  <c r="AN116" i="272"/>
  <c r="AM116" i="272"/>
  <c r="AL116" i="272"/>
  <c r="AK116" i="272"/>
  <c r="AJ116" i="272"/>
  <c r="AI116" i="272"/>
  <c r="AH116" i="272"/>
  <c r="AG116" i="272"/>
  <c r="AF116" i="272"/>
  <c r="AE116" i="272"/>
  <c r="AD116" i="272"/>
  <c r="AC116" i="272"/>
  <c r="AB116" i="272"/>
  <c r="AA116" i="272"/>
  <c r="Z116" i="272"/>
  <c r="Y116" i="272"/>
  <c r="T116" i="272"/>
  <c r="U116" i="272" s="1"/>
  <c r="Q116" i="272"/>
  <c r="O116" i="272"/>
  <c r="N116" i="272"/>
  <c r="M116" i="272"/>
  <c r="G116" i="272"/>
  <c r="F116" i="272"/>
  <c r="C116" i="272"/>
  <c r="HR115" i="272"/>
  <c r="HQ115" i="272"/>
  <c r="HP115" i="272"/>
  <c r="HO115" i="272"/>
  <c r="HN115" i="272"/>
  <c r="HM115" i="272"/>
  <c r="HL115" i="272"/>
  <c r="HK115" i="272"/>
  <c r="HJ115" i="272"/>
  <c r="HI115" i="272"/>
  <c r="HH115" i="272"/>
  <c r="HG115" i="272"/>
  <c r="HF115" i="272"/>
  <c r="HE115" i="272"/>
  <c r="HD115" i="272"/>
  <c r="HC115" i="272"/>
  <c r="HB115" i="272"/>
  <c r="HA115" i="272"/>
  <c r="GZ115" i="272"/>
  <c r="GY115" i="272"/>
  <c r="GX115" i="272"/>
  <c r="GW115" i="272"/>
  <c r="GV115" i="272"/>
  <c r="GU115" i="272"/>
  <c r="GT115" i="272"/>
  <c r="GS115" i="272"/>
  <c r="GR115" i="272"/>
  <c r="GQ115" i="272"/>
  <c r="GP115" i="272"/>
  <c r="GO115" i="272"/>
  <c r="GN115" i="272"/>
  <c r="GM115" i="272"/>
  <c r="GL115" i="272"/>
  <c r="GK115" i="272"/>
  <c r="GJ115" i="272"/>
  <c r="GI115" i="272"/>
  <c r="GH115" i="272"/>
  <c r="GG115" i="272"/>
  <c r="GF115" i="272"/>
  <c r="GE115" i="272"/>
  <c r="GD115" i="272"/>
  <c r="GC115" i="272"/>
  <c r="GB115" i="272"/>
  <c r="GA115" i="272"/>
  <c r="FZ115" i="272"/>
  <c r="FY115" i="272"/>
  <c r="FX115" i="272"/>
  <c r="FW115" i="272"/>
  <c r="FV115" i="272"/>
  <c r="FU115" i="272"/>
  <c r="FT115" i="272"/>
  <c r="FS115" i="272"/>
  <c r="FR115" i="272"/>
  <c r="FQ115" i="272"/>
  <c r="FP115" i="272"/>
  <c r="FO115" i="272"/>
  <c r="FN115" i="272"/>
  <c r="FM115" i="272"/>
  <c r="FL115" i="272"/>
  <c r="FK115" i="272"/>
  <c r="FJ115" i="272"/>
  <c r="FI115" i="272"/>
  <c r="FH115" i="272"/>
  <c r="FG115" i="272"/>
  <c r="FF115" i="272"/>
  <c r="FE115" i="272"/>
  <c r="FD115" i="272"/>
  <c r="FC115" i="272"/>
  <c r="FB115" i="272"/>
  <c r="FA115" i="272"/>
  <c r="EZ115" i="272"/>
  <c r="EY115" i="272"/>
  <c r="EX115" i="272"/>
  <c r="EW115" i="272"/>
  <c r="EV115" i="272"/>
  <c r="EU115" i="272"/>
  <c r="ET115" i="272"/>
  <c r="ES115" i="272"/>
  <c r="ER115" i="272"/>
  <c r="EQ115" i="272"/>
  <c r="EP115" i="272"/>
  <c r="EO115" i="272"/>
  <c r="EN115" i="272"/>
  <c r="EM115" i="272"/>
  <c r="EL115" i="272"/>
  <c r="EK115" i="272"/>
  <c r="EJ115" i="272"/>
  <c r="EI115" i="272"/>
  <c r="EH115" i="272"/>
  <c r="EG115" i="272"/>
  <c r="EF115" i="272"/>
  <c r="EE115" i="272"/>
  <c r="ED115" i="272"/>
  <c r="EC115" i="272"/>
  <c r="EB115" i="272"/>
  <c r="EA115" i="272"/>
  <c r="DZ115" i="272"/>
  <c r="DY115" i="272"/>
  <c r="DX115" i="272"/>
  <c r="DW115" i="272"/>
  <c r="DT115" i="272"/>
  <c r="DS115" i="272"/>
  <c r="DR115" i="272"/>
  <c r="DQ115" i="272"/>
  <c r="DP115" i="272"/>
  <c r="DO115" i="272"/>
  <c r="DN115" i="272"/>
  <c r="DM115" i="272"/>
  <c r="DL115" i="272"/>
  <c r="DK115" i="272"/>
  <c r="DJ115" i="272"/>
  <c r="DI115" i="272"/>
  <c r="DH115" i="272"/>
  <c r="DG115" i="272"/>
  <c r="DF115" i="272"/>
  <c r="DE115" i="272"/>
  <c r="DD115" i="272"/>
  <c r="DC115" i="272"/>
  <c r="DB115" i="272"/>
  <c r="DA115" i="272"/>
  <c r="CZ115" i="272"/>
  <c r="CY115" i="272"/>
  <c r="CX115" i="272"/>
  <c r="CW115" i="272"/>
  <c r="CV115" i="272"/>
  <c r="CU115" i="272"/>
  <c r="CT115" i="272"/>
  <c r="CS115" i="272"/>
  <c r="CR115" i="272"/>
  <c r="CQ115" i="272"/>
  <c r="CP115" i="272"/>
  <c r="CO115" i="272"/>
  <c r="CN115" i="272"/>
  <c r="CM115" i="272"/>
  <c r="CL115" i="272"/>
  <c r="CK115" i="272"/>
  <c r="CJ115" i="272"/>
  <c r="CI115" i="272"/>
  <c r="CH115" i="272"/>
  <c r="CG115" i="272"/>
  <c r="CF115" i="272"/>
  <c r="CE115" i="272"/>
  <c r="CD115" i="272"/>
  <c r="CC115" i="272"/>
  <c r="CB115" i="272"/>
  <c r="CA115" i="272"/>
  <c r="BZ115" i="272"/>
  <c r="BY115" i="272"/>
  <c r="BX115" i="272"/>
  <c r="BW115" i="272"/>
  <c r="BV115" i="272"/>
  <c r="BU115" i="272"/>
  <c r="BT115" i="272"/>
  <c r="BS115" i="272"/>
  <c r="BR115" i="272"/>
  <c r="BQ115" i="272"/>
  <c r="BP115" i="272"/>
  <c r="BO115" i="272"/>
  <c r="BN115" i="272"/>
  <c r="BM115" i="272"/>
  <c r="BL115" i="272"/>
  <c r="BK115" i="272"/>
  <c r="BJ115" i="272"/>
  <c r="BI115" i="272"/>
  <c r="BH115" i="272"/>
  <c r="BG115" i="272"/>
  <c r="BF115" i="272"/>
  <c r="BE115" i="272"/>
  <c r="BD115" i="272"/>
  <c r="BC115" i="272"/>
  <c r="BB115" i="272"/>
  <c r="BA115" i="272"/>
  <c r="AZ115" i="272"/>
  <c r="AY115" i="272"/>
  <c r="AX115" i="272"/>
  <c r="AW115" i="272"/>
  <c r="AV115" i="272"/>
  <c r="AU115" i="272"/>
  <c r="AT115" i="272"/>
  <c r="AS115" i="272"/>
  <c r="AR115" i="272"/>
  <c r="AQ115" i="272"/>
  <c r="AP115" i="272"/>
  <c r="AO115" i="272"/>
  <c r="AN115" i="272"/>
  <c r="AM115" i="272"/>
  <c r="AL115" i="272"/>
  <c r="AK115" i="272"/>
  <c r="AJ115" i="272"/>
  <c r="AI115" i="272"/>
  <c r="AH115" i="272"/>
  <c r="AG115" i="272"/>
  <c r="AF115" i="272"/>
  <c r="AE115" i="272"/>
  <c r="AD115" i="272"/>
  <c r="AC115" i="272"/>
  <c r="AB115" i="272"/>
  <c r="AA115" i="272"/>
  <c r="Z115" i="272"/>
  <c r="Y115" i="272"/>
  <c r="T115" i="272"/>
  <c r="U115" i="272" s="1"/>
  <c r="Q115" i="272"/>
  <c r="O115" i="272"/>
  <c r="N115" i="272"/>
  <c r="M115" i="272"/>
  <c r="G115" i="272"/>
  <c r="F115" i="272"/>
  <c r="C115" i="272"/>
  <c r="HR114" i="272"/>
  <c r="HQ114" i="272"/>
  <c r="HP114" i="272"/>
  <c r="HO114" i="272"/>
  <c r="HN114" i="272"/>
  <c r="HM114" i="272"/>
  <c r="HL114" i="272"/>
  <c r="HK114" i="272"/>
  <c r="HJ114" i="272"/>
  <c r="HI114" i="272"/>
  <c r="HH114" i="272"/>
  <c r="HG114" i="272"/>
  <c r="HF114" i="272"/>
  <c r="HE114" i="272"/>
  <c r="HD114" i="272"/>
  <c r="HC114" i="272"/>
  <c r="HB114" i="272"/>
  <c r="HA114" i="272"/>
  <c r="GZ114" i="272"/>
  <c r="GY114" i="272"/>
  <c r="GX114" i="272"/>
  <c r="GW114" i="272"/>
  <c r="GV114" i="272"/>
  <c r="GU114" i="272"/>
  <c r="GT114" i="272"/>
  <c r="GS114" i="272"/>
  <c r="GR114" i="272"/>
  <c r="GQ114" i="272"/>
  <c r="GP114" i="272"/>
  <c r="GO114" i="272"/>
  <c r="GN114" i="272"/>
  <c r="GM114" i="272"/>
  <c r="GL114" i="272"/>
  <c r="GK114" i="272"/>
  <c r="GJ114" i="272"/>
  <c r="GI114" i="272"/>
  <c r="GH114" i="272"/>
  <c r="GG114" i="272"/>
  <c r="GF114" i="272"/>
  <c r="GE114" i="272"/>
  <c r="GD114" i="272"/>
  <c r="GC114" i="272"/>
  <c r="GB114" i="272"/>
  <c r="GA114" i="272"/>
  <c r="FZ114" i="272"/>
  <c r="FY114" i="272"/>
  <c r="FX114" i="272"/>
  <c r="FW114" i="272"/>
  <c r="FV114" i="272"/>
  <c r="FU114" i="272"/>
  <c r="FT114" i="272"/>
  <c r="FS114" i="272"/>
  <c r="FR114" i="272"/>
  <c r="FQ114" i="272"/>
  <c r="FP114" i="272"/>
  <c r="FO114" i="272"/>
  <c r="FN114" i="272"/>
  <c r="FM114" i="272"/>
  <c r="FL114" i="272"/>
  <c r="FK114" i="272"/>
  <c r="FJ114" i="272"/>
  <c r="FI114" i="272"/>
  <c r="FH114" i="272"/>
  <c r="FG114" i="272"/>
  <c r="FF114" i="272"/>
  <c r="FE114" i="272"/>
  <c r="FD114" i="272"/>
  <c r="FC114" i="272"/>
  <c r="FB114" i="272"/>
  <c r="FA114" i="272"/>
  <c r="EZ114" i="272"/>
  <c r="EY114" i="272"/>
  <c r="EX114" i="272"/>
  <c r="EW114" i="272"/>
  <c r="EV114" i="272"/>
  <c r="EU114" i="272"/>
  <c r="ET114" i="272"/>
  <c r="ES114" i="272"/>
  <c r="ER114" i="272"/>
  <c r="EQ114" i="272"/>
  <c r="EP114" i="272"/>
  <c r="EO114" i="272"/>
  <c r="EN114" i="272"/>
  <c r="EM114" i="272"/>
  <c r="EL114" i="272"/>
  <c r="EK114" i="272"/>
  <c r="EJ114" i="272"/>
  <c r="EI114" i="272"/>
  <c r="EH114" i="272"/>
  <c r="EG114" i="272"/>
  <c r="EF114" i="272"/>
  <c r="EE114" i="272"/>
  <c r="ED114" i="272"/>
  <c r="EC114" i="272"/>
  <c r="EB114" i="272"/>
  <c r="EA114" i="272"/>
  <c r="DZ114" i="272"/>
  <c r="DY114" i="272"/>
  <c r="DX114" i="272"/>
  <c r="DW114" i="272"/>
  <c r="DT114" i="272"/>
  <c r="DS114" i="272"/>
  <c r="DR114" i="272"/>
  <c r="DQ114" i="272"/>
  <c r="DP114" i="272"/>
  <c r="DO114" i="272"/>
  <c r="DN114" i="272"/>
  <c r="DM114" i="272"/>
  <c r="DL114" i="272"/>
  <c r="DK114" i="272"/>
  <c r="DJ114" i="272"/>
  <c r="DI114" i="272"/>
  <c r="DH114" i="272"/>
  <c r="DG114" i="272"/>
  <c r="DF114" i="272"/>
  <c r="DE114" i="272"/>
  <c r="DD114" i="272"/>
  <c r="DC114" i="272"/>
  <c r="DB114" i="272"/>
  <c r="DA114" i="272"/>
  <c r="CZ114" i="272"/>
  <c r="CY114" i="272"/>
  <c r="CX114" i="272"/>
  <c r="CW114" i="272"/>
  <c r="CV114" i="272"/>
  <c r="CU114" i="272"/>
  <c r="CT114" i="272"/>
  <c r="CS114" i="272"/>
  <c r="CR114" i="272"/>
  <c r="CQ114" i="272"/>
  <c r="CP114" i="272"/>
  <c r="CO114" i="272"/>
  <c r="CN114" i="272"/>
  <c r="CM114" i="272"/>
  <c r="CL114" i="272"/>
  <c r="CK114" i="272"/>
  <c r="CJ114" i="272"/>
  <c r="CI114" i="272"/>
  <c r="CH114" i="272"/>
  <c r="CG114" i="272"/>
  <c r="CF114" i="272"/>
  <c r="CE114" i="272"/>
  <c r="CD114" i="272"/>
  <c r="CC114" i="272"/>
  <c r="CB114" i="272"/>
  <c r="CA114" i="272"/>
  <c r="BZ114" i="272"/>
  <c r="BY114" i="272"/>
  <c r="BX114" i="272"/>
  <c r="BW114" i="272"/>
  <c r="BV114" i="272"/>
  <c r="BU114" i="272"/>
  <c r="BT114" i="272"/>
  <c r="BS114" i="272"/>
  <c r="BR114" i="272"/>
  <c r="BQ114" i="272"/>
  <c r="BP114" i="272"/>
  <c r="BO114" i="272"/>
  <c r="BN114" i="272"/>
  <c r="BM114" i="272"/>
  <c r="BL114" i="272"/>
  <c r="BK114" i="272"/>
  <c r="BJ114" i="272"/>
  <c r="BI114" i="272"/>
  <c r="BH114" i="272"/>
  <c r="BG114" i="272"/>
  <c r="BF114" i="272"/>
  <c r="BE114" i="272"/>
  <c r="BD114" i="272"/>
  <c r="BC114" i="272"/>
  <c r="BB114" i="272"/>
  <c r="BA114" i="272"/>
  <c r="AZ114" i="272"/>
  <c r="AY114" i="272"/>
  <c r="AX114" i="272"/>
  <c r="AW114" i="272"/>
  <c r="AV114" i="272"/>
  <c r="AU114" i="272"/>
  <c r="AT114" i="272"/>
  <c r="AS114" i="272"/>
  <c r="AR114" i="272"/>
  <c r="AQ114" i="272"/>
  <c r="AP114" i="272"/>
  <c r="AO114" i="272"/>
  <c r="AN114" i="272"/>
  <c r="AM114" i="272"/>
  <c r="AL114" i="272"/>
  <c r="AK114" i="272"/>
  <c r="AJ114" i="272"/>
  <c r="AI114" i="272"/>
  <c r="AH114" i="272"/>
  <c r="AG114" i="272"/>
  <c r="AF114" i="272"/>
  <c r="AE114" i="272"/>
  <c r="AD114" i="272"/>
  <c r="AC114" i="272"/>
  <c r="AB114" i="272"/>
  <c r="AA114" i="272"/>
  <c r="Z114" i="272"/>
  <c r="Y114" i="272"/>
  <c r="T114" i="272"/>
  <c r="U114" i="272" s="1"/>
  <c r="Q114" i="272"/>
  <c r="O114" i="272"/>
  <c r="N114" i="272"/>
  <c r="M114" i="272"/>
  <c r="G114" i="272"/>
  <c r="F114" i="272"/>
  <c r="C114" i="272"/>
  <c r="HR101" i="272"/>
  <c r="HQ101" i="272"/>
  <c r="HP101" i="272"/>
  <c r="HO101" i="272"/>
  <c r="HN101" i="272"/>
  <c r="HM101" i="272"/>
  <c r="HL101" i="272"/>
  <c r="HK101" i="272"/>
  <c r="HJ101" i="272"/>
  <c r="HI101" i="272"/>
  <c r="HH101" i="272"/>
  <c r="HG101" i="272"/>
  <c r="HF101" i="272"/>
  <c r="HE101" i="272"/>
  <c r="HD101" i="272"/>
  <c r="HC101" i="272"/>
  <c r="HB101" i="272"/>
  <c r="HA101" i="272"/>
  <c r="GZ101" i="272"/>
  <c r="GY101" i="272"/>
  <c r="GX101" i="272"/>
  <c r="GW101" i="272"/>
  <c r="GV101" i="272"/>
  <c r="GU101" i="272"/>
  <c r="GT101" i="272"/>
  <c r="GS101" i="272"/>
  <c r="GR101" i="272"/>
  <c r="GQ101" i="272"/>
  <c r="GP101" i="272"/>
  <c r="GO101" i="272"/>
  <c r="GN101" i="272"/>
  <c r="GM101" i="272"/>
  <c r="GL101" i="272"/>
  <c r="GK101" i="272"/>
  <c r="GJ101" i="272"/>
  <c r="GI101" i="272"/>
  <c r="GH101" i="272"/>
  <c r="GG101" i="272"/>
  <c r="GF101" i="272"/>
  <c r="GE101" i="272"/>
  <c r="GD101" i="272"/>
  <c r="GC101" i="272"/>
  <c r="GB101" i="272"/>
  <c r="GA101" i="272"/>
  <c r="FZ101" i="272"/>
  <c r="FY101" i="272"/>
  <c r="FX101" i="272"/>
  <c r="FW101" i="272"/>
  <c r="FV101" i="272"/>
  <c r="FU101" i="272"/>
  <c r="FT101" i="272"/>
  <c r="FS101" i="272"/>
  <c r="FR101" i="272"/>
  <c r="FQ101" i="272"/>
  <c r="FP101" i="272"/>
  <c r="FO101" i="272"/>
  <c r="FN101" i="272"/>
  <c r="FM101" i="272"/>
  <c r="FL101" i="272"/>
  <c r="FK101" i="272"/>
  <c r="FJ101" i="272"/>
  <c r="FI101" i="272"/>
  <c r="FH101" i="272"/>
  <c r="FG101" i="272"/>
  <c r="FF101" i="272"/>
  <c r="FE101" i="272"/>
  <c r="FD101" i="272"/>
  <c r="FC101" i="272"/>
  <c r="FB101" i="272"/>
  <c r="FA101" i="272"/>
  <c r="EZ101" i="272"/>
  <c r="EY101" i="272"/>
  <c r="EX101" i="272"/>
  <c r="EW101" i="272"/>
  <c r="EV101" i="272"/>
  <c r="EU101" i="272"/>
  <c r="ET101" i="272"/>
  <c r="ES101" i="272"/>
  <c r="ER101" i="272"/>
  <c r="EQ101" i="272"/>
  <c r="EP101" i="272"/>
  <c r="EO101" i="272"/>
  <c r="EN101" i="272"/>
  <c r="EM101" i="272"/>
  <c r="EL101" i="272"/>
  <c r="EK101" i="272"/>
  <c r="EJ101" i="272"/>
  <c r="EI101" i="272"/>
  <c r="EH101" i="272"/>
  <c r="EG101" i="272"/>
  <c r="EF101" i="272"/>
  <c r="EE101" i="272"/>
  <c r="ED101" i="272"/>
  <c r="EC101" i="272"/>
  <c r="EB101" i="272"/>
  <c r="EA101" i="272"/>
  <c r="DZ101" i="272"/>
  <c r="DY101" i="272"/>
  <c r="DX101" i="272"/>
  <c r="DW101" i="272"/>
  <c r="DT101" i="272"/>
  <c r="DS101" i="272"/>
  <c r="DR101" i="272"/>
  <c r="DQ101" i="272"/>
  <c r="DP101" i="272"/>
  <c r="DO101" i="272"/>
  <c r="DN101" i="272"/>
  <c r="DM101" i="272"/>
  <c r="DL101" i="272"/>
  <c r="DK101" i="272"/>
  <c r="DJ101" i="272"/>
  <c r="DI101" i="272"/>
  <c r="DH101" i="272"/>
  <c r="DG101" i="272"/>
  <c r="DF101" i="272"/>
  <c r="DE101" i="272"/>
  <c r="DD101" i="272"/>
  <c r="DC101" i="272"/>
  <c r="DB101" i="272"/>
  <c r="DA101" i="272"/>
  <c r="CZ101" i="272"/>
  <c r="CY101" i="272"/>
  <c r="CX101" i="272"/>
  <c r="CW101" i="272"/>
  <c r="CV101" i="272"/>
  <c r="CU101" i="272"/>
  <c r="CT101" i="272"/>
  <c r="CS101" i="272"/>
  <c r="CR101" i="272"/>
  <c r="CQ101" i="272"/>
  <c r="CP101" i="272"/>
  <c r="CO101" i="272"/>
  <c r="CN101" i="272"/>
  <c r="CM101" i="272"/>
  <c r="CL101" i="272"/>
  <c r="CK101" i="272"/>
  <c r="CJ101" i="272"/>
  <c r="CI101" i="272"/>
  <c r="CH101" i="272"/>
  <c r="CG101" i="272"/>
  <c r="CF101" i="272"/>
  <c r="CE101" i="272"/>
  <c r="CD101" i="272"/>
  <c r="CC101" i="272"/>
  <c r="CB101" i="272"/>
  <c r="CA101" i="272"/>
  <c r="BZ101" i="272"/>
  <c r="BY101" i="272"/>
  <c r="BX101" i="272"/>
  <c r="BW101" i="272"/>
  <c r="BV101" i="272"/>
  <c r="BU101" i="272"/>
  <c r="BT101" i="272"/>
  <c r="BS101" i="272"/>
  <c r="BR101" i="272"/>
  <c r="BQ101" i="272"/>
  <c r="BP101" i="272"/>
  <c r="BO101" i="272"/>
  <c r="BN101" i="272"/>
  <c r="BM101" i="272"/>
  <c r="BL101" i="272"/>
  <c r="BK101" i="272"/>
  <c r="BJ101" i="272"/>
  <c r="BI101" i="272"/>
  <c r="BH101" i="272"/>
  <c r="BG101" i="272"/>
  <c r="BF101" i="272"/>
  <c r="BE101" i="272"/>
  <c r="BD101" i="272"/>
  <c r="BC101" i="272"/>
  <c r="BB101" i="272"/>
  <c r="BA101" i="272"/>
  <c r="AZ101" i="272"/>
  <c r="AY101" i="272"/>
  <c r="AX101" i="272"/>
  <c r="AW101" i="272"/>
  <c r="AV101" i="272"/>
  <c r="AU101" i="272"/>
  <c r="AT101" i="272"/>
  <c r="AS101" i="272"/>
  <c r="AR101" i="272"/>
  <c r="AQ101" i="272"/>
  <c r="AP101" i="272"/>
  <c r="AO101" i="272"/>
  <c r="AN101" i="272"/>
  <c r="AM101" i="272"/>
  <c r="AL101" i="272"/>
  <c r="AK101" i="272"/>
  <c r="AJ101" i="272"/>
  <c r="AI101" i="272"/>
  <c r="AH101" i="272"/>
  <c r="AG101" i="272"/>
  <c r="AF101" i="272"/>
  <c r="AE101" i="272"/>
  <c r="AD101" i="272"/>
  <c r="AC101" i="272"/>
  <c r="AB101" i="272"/>
  <c r="AA101" i="272"/>
  <c r="Z101" i="272"/>
  <c r="Y101" i="272"/>
  <c r="T101" i="272"/>
  <c r="U101" i="272" s="1"/>
  <c r="R101" i="272"/>
  <c r="Q101" i="272"/>
  <c r="O101" i="272"/>
  <c r="N101" i="272"/>
  <c r="M101" i="272"/>
  <c r="G101" i="272"/>
  <c r="C101" i="272"/>
  <c r="HR100" i="272"/>
  <c r="HQ100" i="272"/>
  <c r="HP100" i="272"/>
  <c r="HO100" i="272"/>
  <c r="HN100" i="272"/>
  <c r="HM100" i="272"/>
  <c r="HL100" i="272"/>
  <c r="HK100" i="272"/>
  <c r="HJ100" i="272"/>
  <c r="HI100" i="272"/>
  <c r="HH100" i="272"/>
  <c r="HG100" i="272"/>
  <c r="HF100" i="272"/>
  <c r="HE100" i="272"/>
  <c r="HD100" i="272"/>
  <c r="HC100" i="272"/>
  <c r="HB100" i="272"/>
  <c r="HA100" i="272"/>
  <c r="GZ100" i="272"/>
  <c r="GY100" i="272"/>
  <c r="GX100" i="272"/>
  <c r="GW100" i="272"/>
  <c r="GV100" i="272"/>
  <c r="GU100" i="272"/>
  <c r="GT100" i="272"/>
  <c r="GS100" i="272"/>
  <c r="GR100" i="272"/>
  <c r="GQ100" i="272"/>
  <c r="GP100" i="272"/>
  <c r="GO100" i="272"/>
  <c r="GN100" i="272"/>
  <c r="GM100" i="272"/>
  <c r="GL100" i="272"/>
  <c r="GK100" i="272"/>
  <c r="GJ100" i="272"/>
  <c r="GI100" i="272"/>
  <c r="GH100" i="272"/>
  <c r="GG100" i="272"/>
  <c r="GF100" i="272"/>
  <c r="GE100" i="272"/>
  <c r="GD100" i="272"/>
  <c r="GC100" i="272"/>
  <c r="GB100" i="272"/>
  <c r="GA100" i="272"/>
  <c r="FZ100" i="272"/>
  <c r="FY100" i="272"/>
  <c r="FX100" i="272"/>
  <c r="FW100" i="272"/>
  <c r="FV100" i="272"/>
  <c r="FU100" i="272"/>
  <c r="FT100" i="272"/>
  <c r="FS100" i="272"/>
  <c r="FR100" i="272"/>
  <c r="FQ100" i="272"/>
  <c r="FP100" i="272"/>
  <c r="FO100" i="272"/>
  <c r="FN100" i="272"/>
  <c r="FM100" i="272"/>
  <c r="FL100" i="272"/>
  <c r="FK100" i="272"/>
  <c r="FJ100" i="272"/>
  <c r="FI100" i="272"/>
  <c r="FH100" i="272"/>
  <c r="FG100" i="272"/>
  <c r="FF100" i="272"/>
  <c r="FE100" i="272"/>
  <c r="FD100" i="272"/>
  <c r="FC100" i="272"/>
  <c r="FB100" i="272"/>
  <c r="FA100" i="272"/>
  <c r="EZ100" i="272"/>
  <c r="EY100" i="272"/>
  <c r="EX100" i="272"/>
  <c r="EW100" i="272"/>
  <c r="EV100" i="272"/>
  <c r="EU100" i="272"/>
  <c r="ET100" i="272"/>
  <c r="ES100" i="272"/>
  <c r="ER100" i="272"/>
  <c r="EQ100" i="272"/>
  <c r="EP100" i="272"/>
  <c r="EO100" i="272"/>
  <c r="EN100" i="272"/>
  <c r="EM100" i="272"/>
  <c r="EL100" i="272"/>
  <c r="EK100" i="272"/>
  <c r="EJ100" i="272"/>
  <c r="EI100" i="272"/>
  <c r="EH100" i="272"/>
  <c r="EG100" i="272"/>
  <c r="EF100" i="272"/>
  <c r="EE100" i="272"/>
  <c r="ED100" i="272"/>
  <c r="EC100" i="272"/>
  <c r="EB100" i="272"/>
  <c r="EA100" i="272"/>
  <c r="DZ100" i="272"/>
  <c r="DY100" i="272"/>
  <c r="DX100" i="272"/>
  <c r="DW100" i="272"/>
  <c r="DT100" i="272"/>
  <c r="DS100" i="272"/>
  <c r="DR100" i="272"/>
  <c r="DQ100" i="272"/>
  <c r="DP100" i="272"/>
  <c r="DO100" i="272"/>
  <c r="DN100" i="272"/>
  <c r="DM100" i="272"/>
  <c r="DL100" i="272"/>
  <c r="DK100" i="272"/>
  <c r="DJ100" i="272"/>
  <c r="DI100" i="272"/>
  <c r="DH100" i="272"/>
  <c r="DG100" i="272"/>
  <c r="DF100" i="272"/>
  <c r="DE100" i="272"/>
  <c r="DD100" i="272"/>
  <c r="DC100" i="272"/>
  <c r="DB100" i="272"/>
  <c r="DA100" i="272"/>
  <c r="CZ100" i="272"/>
  <c r="CY100" i="272"/>
  <c r="CX100" i="272"/>
  <c r="CW100" i="272"/>
  <c r="CV100" i="272"/>
  <c r="CU100" i="272"/>
  <c r="CT100" i="272"/>
  <c r="CS100" i="272"/>
  <c r="CR100" i="272"/>
  <c r="CQ100" i="272"/>
  <c r="CP100" i="272"/>
  <c r="CO100" i="272"/>
  <c r="CN100" i="272"/>
  <c r="CM100" i="272"/>
  <c r="CL100" i="272"/>
  <c r="CK100" i="272"/>
  <c r="CJ100" i="272"/>
  <c r="CI100" i="272"/>
  <c r="CH100" i="272"/>
  <c r="CG100" i="272"/>
  <c r="CF100" i="272"/>
  <c r="CE100" i="272"/>
  <c r="CD100" i="272"/>
  <c r="CC100" i="272"/>
  <c r="CB100" i="272"/>
  <c r="CA100" i="272"/>
  <c r="BZ100" i="272"/>
  <c r="BY100" i="272"/>
  <c r="BX100" i="272"/>
  <c r="BW100" i="272"/>
  <c r="BV100" i="272"/>
  <c r="BU100" i="272"/>
  <c r="BT100" i="272"/>
  <c r="BS100" i="272"/>
  <c r="BR100" i="272"/>
  <c r="BQ100" i="272"/>
  <c r="BP100" i="272"/>
  <c r="BO100" i="272"/>
  <c r="BN100" i="272"/>
  <c r="BM100" i="272"/>
  <c r="BL100" i="272"/>
  <c r="BK100" i="272"/>
  <c r="BJ100" i="272"/>
  <c r="BI100" i="272"/>
  <c r="BH100" i="272"/>
  <c r="BG100" i="272"/>
  <c r="BF100" i="272"/>
  <c r="BE100" i="272"/>
  <c r="BD100" i="272"/>
  <c r="BC100" i="272"/>
  <c r="BB100" i="272"/>
  <c r="BA100" i="272"/>
  <c r="AZ100" i="272"/>
  <c r="AY100" i="272"/>
  <c r="AX100" i="272"/>
  <c r="AW100" i="272"/>
  <c r="AV100" i="272"/>
  <c r="AU100" i="272"/>
  <c r="AT100" i="272"/>
  <c r="AS100" i="272"/>
  <c r="AR100" i="272"/>
  <c r="AQ100" i="272"/>
  <c r="AP100" i="272"/>
  <c r="AO100" i="272"/>
  <c r="AN100" i="272"/>
  <c r="AM100" i="272"/>
  <c r="AL100" i="272"/>
  <c r="AK100" i="272"/>
  <c r="AJ100" i="272"/>
  <c r="AI100" i="272"/>
  <c r="AH100" i="272"/>
  <c r="AG100" i="272"/>
  <c r="AF100" i="272"/>
  <c r="AE100" i="272"/>
  <c r="AD100" i="272"/>
  <c r="AC100" i="272"/>
  <c r="AB100" i="272"/>
  <c r="AA100" i="272"/>
  <c r="Z100" i="272"/>
  <c r="Y100" i="272"/>
  <c r="T100" i="272"/>
  <c r="U100" i="272" s="1"/>
  <c r="R100" i="272"/>
  <c r="Q100" i="272"/>
  <c r="O100" i="272"/>
  <c r="N100" i="272"/>
  <c r="M100" i="272"/>
  <c r="G100" i="272"/>
  <c r="C100" i="272"/>
  <c r="HR99" i="272"/>
  <c r="HQ99" i="272"/>
  <c r="HP99" i="272"/>
  <c r="HO99" i="272"/>
  <c r="HN99" i="272"/>
  <c r="HM99" i="272"/>
  <c r="HL99" i="272"/>
  <c r="HK99" i="272"/>
  <c r="HJ99" i="272"/>
  <c r="HI99" i="272"/>
  <c r="HH99" i="272"/>
  <c r="HG99" i="272"/>
  <c r="HF99" i="272"/>
  <c r="HE99" i="272"/>
  <c r="HD99" i="272"/>
  <c r="HC99" i="272"/>
  <c r="HB99" i="272"/>
  <c r="HA99" i="272"/>
  <c r="GZ99" i="272"/>
  <c r="GY99" i="272"/>
  <c r="GX99" i="272"/>
  <c r="GW99" i="272"/>
  <c r="GV99" i="272"/>
  <c r="GU99" i="272"/>
  <c r="GT99" i="272"/>
  <c r="GS99" i="272"/>
  <c r="GR99" i="272"/>
  <c r="GQ99" i="272"/>
  <c r="GP99" i="272"/>
  <c r="GO99" i="272"/>
  <c r="GN99" i="272"/>
  <c r="GM99" i="272"/>
  <c r="GL99" i="272"/>
  <c r="GK99" i="272"/>
  <c r="GJ99" i="272"/>
  <c r="GI99" i="272"/>
  <c r="GH99" i="272"/>
  <c r="GG99" i="272"/>
  <c r="GF99" i="272"/>
  <c r="GE99" i="272"/>
  <c r="GD99" i="272"/>
  <c r="GC99" i="272"/>
  <c r="GB99" i="272"/>
  <c r="GA99" i="272"/>
  <c r="FZ99" i="272"/>
  <c r="FY99" i="272"/>
  <c r="FX99" i="272"/>
  <c r="FW99" i="272"/>
  <c r="FV99" i="272"/>
  <c r="FU99" i="272"/>
  <c r="FT99" i="272"/>
  <c r="FS99" i="272"/>
  <c r="FR99" i="272"/>
  <c r="FQ99" i="272"/>
  <c r="FP99" i="272"/>
  <c r="FO99" i="272"/>
  <c r="FN99" i="272"/>
  <c r="FM99" i="272"/>
  <c r="FL99" i="272"/>
  <c r="FK99" i="272"/>
  <c r="FJ99" i="272"/>
  <c r="FI99" i="272"/>
  <c r="FH99" i="272"/>
  <c r="FG99" i="272"/>
  <c r="FF99" i="272"/>
  <c r="FE99" i="272"/>
  <c r="FD99" i="272"/>
  <c r="FC99" i="272"/>
  <c r="FB99" i="272"/>
  <c r="FA99" i="272"/>
  <c r="EZ99" i="272"/>
  <c r="EY99" i="272"/>
  <c r="EX99" i="272"/>
  <c r="EW99" i="272"/>
  <c r="EV99" i="272"/>
  <c r="EU99" i="272"/>
  <c r="ET99" i="272"/>
  <c r="ES99" i="272"/>
  <c r="ER99" i="272"/>
  <c r="EQ99" i="272"/>
  <c r="EP99" i="272"/>
  <c r="EO99" i="272"/>
  <c r="EN99" i="272"/>
  <c r="EM99" i="272"/>
  <c r="EL99" i="272"/>
  <c r="EK99" i="272"/>
  <c r="EJ99" i="272"/>
  <c r="EI99" i="272"/>
  <c r="EH99" i="272"/>
  <c r="EG99" i="272"/>
  <c r="EF99" i="272"/>
  <c r="EE99" i="272"/>
  <c r="ED99" i="272"/>
  <c r="EC99" i="272"/>
  <c r="EB99" i="272"/>
  <c r="EA99" i="272"/>
  <c r="DZ99" i="272"/>
  <c r="DY99" i="272"/>
  <c r="DX99" i="272"/>
  <c r="DW99" i="272"/>
  <c r="DT99" i="272"/>
  <c r="DS99" i="272"/>
  <c r="DR99" i="272"/>
  <c r="DQ99" i="272"/>
  <c r="DP99" i="272"/>
  <c r="DO99" i="272"/>
  <c r="DN99" i="272"/>
  <c r="DM99" i="272"/>
  <c r="DL99" i="272"/>
  <c r="DK99" i="272"/>
  <c r="DJ99" i="272"/>
  <c r="DI99" i="272"/>
  <c r="DH99" i="272"/>
  <c r="DG99" i="272"/>
  <c r="DF99" i="272"/>
  <c r="DE99" i="272"/>
  <c r="DD99" i="272"/>
  <c r="DC99" i="272"/>
  <c r="DB99" i="272"/>
  <c r="DA99" i="272"/>
  <c r="CZ99" i="272"/>
  <c r="CY99" i="272"/>
  <c r="CX99" i="272"/>
  <c r="CW99" i="272"/>
  <c r="CV99" i="272"/>
  <c r="CU99" i="272"/>
  <c r="CT99" i="272"/>
  <c r="CS99" i="272"/>
  <c r="CR99" i="272"/>
  <c r="CQ99" i="272"/>
  <c r="CP99" i="272"/>
  <c r="CO99" i="272"/>
  <c r="CN99" i="272"/>
  <c r="CM99" i="272"/>
  <c r="CL99" i="272"/>
  <c r="CK99" i="272"/>
  <c r="CJ99" i="272"/>
  <c r="CI99" i="272"/>
  <c r="CH99" i="272"/>
  <c r="CG99" i="272"/>
  <c r="CF99" i="272"/>
  <c r="CE99" i="272"/>
  <c r="CD99" i="272"/>
  <c r="CC99" i="272"/>
  <c r="CB99" i="272"/>
  <c r="CA99" i="272"/>
  <c r="BZ99" i="272"/>
  <c r="BY99" i="272"/>
  <c r="BX99" i="272"/>
  <c r="BW99" i="272"/>
  <c r="BV99" i="272"/>
  <c r="BU99" i="272"/>
  <c r="BT99" i="272"/>
  <c r="BS99" i="272"/>
  <c r="BR99" i="272"/>
  <c r="BQ99" i="272"/>
  <c r="BP99" i="272"/>
  <c r="BO99" i="272"/>
  <c r="BN99" i="272"/>
  <c r="BM99" i="272"/>
  <c r="BL99" i="272"/>
  <c r="BK99" i="272"/>
  <c r="BJ99" i="272"/>
  <c r="BI99" i="272"/>
  <c r="BH99" i="272"/>
  <c r="BG99" i="272"/>
  <c r="BF99" i="272"/>
  <c r="BE99" i="272"/>
  <c r="BD99" i="272"/>
  <c r="BC99" i="272"/>
  <c r="BB99" i="272"/>
  <c r="BA99" i="272"/>
  <c r="AZ99" i="272"/>
  <c r="AY99" i="272"/>
  <c r="AX99" i="272"/>
  <c r="AW99" i="272"/>
  <c r="AV99" i="272"/>
  <c r="AU99" i="272"/>
  <c r="AT99" i="272"/>
  <c r="AS99" i="272"/>
  <c r="AR99" i="272"/>
  <c r="AQ99" i="272"/>
  <c r="AP99" i="272"/>
  <c r="AO99" i="272"/>
  <c r="AN99" i="272"/>
  <c r="AM99" i="272"/>
  <c r="AL99" i="272"/>
  <c r="AK99" i="272"/>
  <c r="AJ99" i="272"/>
  <c r="AI99" i="272"/>
  <c r="AH99" i="272"/>
  <c r="AG99" i="272"/>
  <c r="AF99" i="272"/>
  <c r="AE99" i="272"/>
  <c r="AD99" i="272"/>
  <c r="AC99" i="272"/>
  <c r="AB99" i="272"/>
  <c r="AA99" i="272"/>
  <c r="Z99" i="272"/>
  <c r="Y99" i="272"/>
  <c r="T99" i="272"/>
  <c r="U99" i="272" s="1"/>
  <c r="R99" i="272"/>
  <c r="Q99" i="272"/>
  <c r="O99" i="272"/>
  <c r="N99" i="272"/>
  <c r="M99" i="272"/>
  <c r="G99" i="272"/>
  <c r="C99" i="272"/>
  <c r="HR98" i="272"/>
  <c r="HQ98" i="272"/>
  <c r="HP98" i="272"/>
  <c r="HO98" i="272"/>
  <c r="HN98" i="272"/>
  <c r="HM98" i="272"/>
  <c r="HL98" i="272"/>
  <c r="HK98" i="272"/>
  <c r="HJ98" i="272"/>
  <c r="HI98" i="272"/>
  <c r="HH98" i="272"/>
  <c r="HG98" i="272"/>
  <c r="HF98" i="272"/>
  <c r="HE98" i="272"/>
  <c r="HD98" i="272"/>
  <c r="HC98" i="272"/>
  <c r="HB98" i="272"/>
  <c r="HA98" i="272"/>
  <c r="GZ98" i="272"/>
  <c r="GY98" i="272"/>
  <c r="GX98" i="272"/>
  <c r="GW98" i="272"/>
  <c r="GV98" i="272"/>
  <c r="GU98" i="272"/>
  <c r="GT98" i="272"/>
  <c r="GS98" i="272"/>
  <c r="GR98" i="272"/>
  <c r="GQ98" i="272"/>
  <c r="GP98" i="272"/>
  <c r="GO98" i="272"/>
  <c r="GN98" i="272"/>
  <c r="GM98" i="272"/>
  <c r="GL98" i="272"/>
  <c r="GK98" i="272"/>
  <c r="GJ98" i="272"/>
  <c r="GI98" i="272"/>
  <c r="GH98" i="272"/>
  <c r="GG98" i="272"/>
  <c r="GF98" i="272"/>
  <c r="GE98" i="272"/>
  <c r="GD98" i="272"/>
  <c r="GC98" i="272"/>
  <c r="GB98" i="272"/>
  <c r="GA98" i="272"/>
  <c r="FZ98" i="272"/>
  <c r="FY98" i="272"/>
  <c r="FX98" i="272"/>
  <c r="FW98" i="272"/>
  <c r="FV98" i="272"/>
  <c r="FU98" i="272"/>
  <c r="FT98" i="272"/>
  <c r="FS98" i="272"/>
  <c r="FR98" i="272"/>
  <c r="FQ98" i="272"/>
  <c r="FP98" i="272"/>
  <c r="FO98" i="272"/>
  <c r="FN98" i="272"/>
  <c r="FM98" i="272"/>
  <c r="FL98" i="272"/>
  <c r="FK98" i="272"/>
  <c r="FJ98" i="272"/>
  <c r="FI98" i="272"/>
  <c r="FH98" i="272"/>
  <c r="FG98" i="272"/>
  <c r="FF98" i="272"/>
  <c r="FE98" i="272"/>
  <c r="FD98" i="272"/>
  <c r="FC98" i="272"/>
  <c r="FB98" i="272"/>
  <c r="FA98" i="272"/>
  <c r="EZ98" i="272"/>
  <c r="EY98" i="272"/>
  <c r="EX98" i="272"/>
  <c r="EW98" i="272"/>
  <c r="EV98" i="272"/>
  <c r="EU98" i="272"/>
  <c r="ET98" i="272"/>
  <c r="ES98" i="272"/>
  <c r="ER98" i="272"/>
  <c r="EQ98" i="272"/>
  <c r="EP98" i="272"/>
  <c r="EO98" i="272"/>
  <c r="EN98" i="272"/>
  <c r="EM98" i="272"/>
  <c r="EL98" i="272"/>
  <c r="EK98" i="272"/>
  <c r="EJ98" i="272"/>
  <c r="EI98" i="272"/>
  <c r="EH98" i="272"/>
  <c r="EG98" i="272"/>
  <c r="EF98" i="272"/>
  <c r="EE98" i="272"/>
  <c r="ED98" i="272"/>
  <c r="EC98" i="272"/>
  <c r="EB98" i="272"/>
  <c r="EA98" i="272"/>
  <c r="DZ98" i="272"/>
  <c r="DY98" i="272"/>
  <c r="DX98" i="272"/>
  <c r="DW98" i="272"/>
  <c r="DT98" i="272"/>
  <c r="DS98" i="272"/>
  <c r="DR98" i="272"/>
  <c r="DQ98" i="272"/>
  <c r="DP98" i="272"/>
  <c r="DO98" i="272"/>
  <c r="DN98" i="272"/>
  <c r="DM98" i="272"/>
  <c r="DL98" i="272"/>
  <c r="DK98" i="272"/>
  <c r="DJ98" i="272"/>
  <c r="DI98" i="272"/>
  <c r="DH98" i="272"/>
  <c r="DG98" i="272"/>
  <c r="DF98" i="272"/>
  <c r="DE98" i="272"/>
  <c r="DD98" i="272"/>
  <c r="DC98" i="272"/>
  <c r="DB98" i="272"/>
  <c r="DA98" i="272"/>
  <c r="CZ98" i="272"/>
  <c r="CY98" i="272"/>
  <c r="CX98" i="272"/>
  <c r="CW98" i="272"/>
  <c r="CV98" i="272"/>
  <c r="CU98" i="272"/>
  <c r="CT98" i="272"/>
  <c r="CS98" i="272"/>
  <c r="CR98" i="272"/>
  <c r="CQ98" i="272"/>
  <c r="CP98" i="272"/>
  <c r="CO98" i="272"/>
  <c r="CN98" i="272"/>
  <c r="CM98" i="272"/>
  <c r="CL98" i="272"/>
  <c r="CK98" i="272"/>
  <c r="CJ98" i="272"/>
  <c r="CI98" i="272"/>
  <c r="CH98" i="272"/>
  <c r="CG98" i="272"/>
  <c r="CF98" i="272"/>
  <c r="CE98" i="272"/>
  <c r="CD98" i="272"/>
  <c r="CC98" i="272"/>
  <c r="CB98" i="272"/>
  <c r="CA98" i="272"/>
  <c r="BZ98" i="272"/>
  <c r="BY98" i="272"/>
  <c r="BX98" i="272"/>
  <c r="BW98" i="272"/>
  <c r="BV98" i="272"/>
  <c r="BU98" i="272"/>
  <c r="BT98" i="272"/>
  <c r="BS98" i="272"/>
  <c r="BR98" i="272"/>
  <c r="BQ98" i="272"/>
  <c r="BP98" i="272"/>
  <c r="BO98" i="272"/>
  <c r="BN98" i="272"/>
  <c r="BM98" i="272"/>
  <c r="BL98" i="272"/>
  <c r="BK98" i="272"/>
  <c r="BJ98" i="272"/>
  <c r="BI98" i="272"/>
  <c r="BH98" i="272"/>
  <c r="BG98" i="272"/>
  <c r="BF98" i="272"/>
  <c r="BE98" i="272"/>
  <c r="BD98" i="272"/>
  <c r="BC98" i="272"/>
  <c r="BB98" i="272"/>
  <c r="BA98" i="272"/>
  <c r="AZ98" i="272"/>
  <c r="AY98" i="272"/>
  <c r="AX98" i="272"/>
  <c r="AW98" i="272"/>
  <c r="AV98" i="272"/>
  <c r="AU98" i="272"/>
  <c r="AT98" i="272"/>
  <c r="AS98" i="272"/>
  <c r="AR98" i="272"/>
  <c r="AQ98" i="272"/>
  <c r="AP98" i="272"/>
  <c r="AO98" i="272"/>
  <c r="AN98" i="272"/>
  <c r="AM98" i="272"/>
  <c r="AL98" i="272"/>
  <c r="AK98" i="272"/>
  <c r="AJ98" i="272"/>
  <c r="AI98" i="272"/>
  <c r="AH98" i="272"/>
  <c r="AG98" i="272"/>
  <c r="AF98" i="272"/>
  <c r="AE98" i="272"/>
  <c r="AD98" i="272"/>
  <c r="AC98" i="272"/>
  <c r="AB98" i="272"/>
  <c r="AA98" i="272"/>
  <c r="Z98" i="272"/>
  <c r="Y98" i="272"/>
  <c r="T98" i="272"/>
  <c r="U98" i="272" s="1"/>
  <c r="R98" i="272"/>
  <c r="Q98" i="272"/>
  <c r="O98" i="272"/>
  <c r="N98" i="272"/>
  <c r="M98" i="272"/>
  <c r="G98" i="272"/>
  <c r="C98" i="272"/>
  <c r="HR97" i="272"/>
  <c r="HQ97" i="272"/>
  <c r="HP97" i="272"/>
  <c r="HO97" i="272"/>
  <c r="HN97" i="272"/>
  <c r="HM97" i="272"/>
  <c r="HL97" i="272"/>
  <c r="HK97" i="272"/>
  <c r="HJ97" i="272"/>
  <c r="HI97" i="272"/>
  <c r="HH97" i="272"/>
  <c r="HG97" i="272"/>
  <c r="HF97" i="272"/>
  <c r="HE97" i="272"/>
  <c r="HD97" i="272"/>
  <c r="HC97" i="272"/>
  <c r="HB97" i="272"/>
  <c r="HA97" i="272"/>
  <c r="GZ97" i="272"/>
  <c r="GY97" i="272"/>
  <c r="GX97" i="272"/>
  <c r="GW97" i="272"/>
  <c r="GV97" i="272"/>
  <c r="GU97" i="272"/>
  <c r="GT97" i="272"/>
  <c r="GS97" i="272"/>
  <c r="GR97" i="272"/>
  <c r="GQ97" i="272"/>
  <c r="GP97" i="272"/>
  <c r="GO97" i="272"/>
  <c r="GN97" i="272"/>
  <c r="GM97" i="272"/>
  <c r="GL97" i="272"/>
  <c r="GK97" i="272"/>
  <c r="GJ97" i="272"/>
  <c r="GI97" i="272"/>
  <c r="GH97" i="272"/>
  <c r="GG97" i="272"/>
  <c r="GF97" i="272"/>
  <c r="GE97" i="272"/>
  <c r="GD97" i="272"/>
  <c r="GC97" i="272"/>
  <c r="GB97" i="272"/>
  <c r="GA97" i="272"/>
  <c r="FZ97" i="272"/>
  <c r="FY97" i="272"/>
  <c r="FX97" i="272"/>
  <c r="FW97" i="272"/>
  <c r="FV97" i="272"/>
  <c r="FU97" i="272"/>
  <c r="FT97" i="272"/>
  <c r="FS97" i="272"/>
  <c r="FR97" i="272"/>
  <c r="FQ97" i="272"/>
  <c r="FP97" i="272"/>
  <c r="FO97" i="272"/>
  <c r="FN97" i="272"/>
  <c r="FM97" i="272"/>
  <c r="FL97" i="272"/>
  <c r="FK97" i="272"/>
  <c r="FJ97" i="272"/>
  <c r="FI97" i="272"/>
  <c r="FH97" i="272"/>
  <c r="FG97" i="272"/>
  <c r="FF97" i="272"/>
  <c r="FE97" i="272"/>
  <c r="FD97" i="272"/>
  <c r="FC97" i="272"/>
  <c r="FB97" i="272"/>
  <c r="FA97" i="272"/>
  <c r="EZ97" i="272"/>
  <c r="EY97" i="272"/>
  <c r="EX97" i="272"/>
  <c r="EW97" i="272"/>
  <c r="EV97" i="272"/>
  <c r="EU97" i="272"/>
  <c r="ET97" i="272"/>
  <c r="ES97" i="272"/>
  <c r="ER97" i="272"/>
  <c r="EQ97" i="272"/>
  <c r="EP97" i="272"/>
  <c r="EO97" i="272"/>
  <c r="EN97" i="272"/>
  <c r="EM97" i="272"/>
  <c r="EL97" i="272"/>
  <c r="EK97" i="272"/>
  <c r="EJ97" i="272"/>
  <c r="EI97" i="272"/>
  <c r="EH97" i="272"/>
  <c r="EG97" i="272"/>
  <c r="EF97" i="272"/>
  <c r="EE97" i="272"/>
  <c r="ED97" i="272"/>
  <c r="EC97" i="272"/>
  <c r="EB97" i="272"/>
  <c r="EA97" i="272"/>
  <c r="DZ97" i="272"/>
  <c r="DY97" i="272"/>
  <c r="DX97" i="272"/>
  <c r="DW97" i="272"/>
  <c r="DT97" i="272"/>
  <c r="DS97" i="272"/>
  <c r="DR97" i="272"/>
  <c r="DQ97" i="272"/>
  <c r="DP97" i="272"/>
  <c r="DO97" i="272"/>
  <c r="DN97" i="272"/>
  <c r="DM97" i="272"/>
  <c r="DL97" i="272"/>
  <c r="DK97" i="272"/>
  <c r="DJ97" i="272"/>
  <c r="DI97" i="272"/>
  <c r="DH97" i="272"/>
  <c r="DG97" i="272"/>
  <c r="DF97" i="272"/>
  <c r="DE97" i="272"/>
  <c r="DD97" i="272"/>
  <c r="DC97" i="272"/>
  <c r="DB97" i="272"/>
  <c r="DA97" i="272"/>
  <c r="CZ97" i="272"/>
  <c r="CY97" i="272"/>
  <c r="CX97" i="272"/>
  <c r="CW97" i="272"/>
  <c r="CV97" i="272"/>
  <c r="CU97" i="272"/>
  <c r="CT97" i="272"/>
  <c r="CS97" i="272"/>
  <c r="CR97" i="272"/>
  <c r="CQ97" i="272"/>
  <c r="CP97" i="272"/>
  <c r="CO97" i="272"/>
  <c r="CN97" i="272"/>
  <c r="CM97" i="272"/>
  <c r="CL97" i="272"/>
  <c r="CK97" i="272"/>
  <c r="CJ97" i="272"/>
  <c r="CI97" i="272"/>
  <c r="CH97" i="272"/>
  <c r="CG97" i="272"/>
  <c r="CF97" i="272"/>
  <c r="CE97" i="272"/>
  <c r="CD97" i="272"/>
  <c r="CC97" i="272"/>
  <c r="CB97" i="272"/>
  <c r="CA97" i="272"/>
  <c r="BZ97" i="272"/>
  <c r="BY97" i="272"/>
  <c r="BX97" i="272"/>
  <c r="BW97" i="272"/>
  <c r="BV97" i="272"/>
  <c r="BU97" i="272"/>
  <c r="BT97" i="272"/>
  <c r="BS97" i="272"/>
  <c r="BR97" i="272"/>
  <c r="BQ97" i="272"/>
  <c r="BP97" i="272"/>
  <c r="BO97" i="272"/>
  <c r="BN97" i="272"/>
  <c r="BM97" i="272"/>
  <c r="BL97" i="272"/>
  <c r="BK97" i="272"/>
  <c r="BJ97" i="272"/>
  <c r="BI97" i="272"/>
  <c r="BH97" i="272"/>
  <c r="BG97" i="272"/>
  <c r="BF97" i="272"/>
  <c r="BE97" i="272"/>
  <c r="BD97" i="272"/>
  <c r="BC97" i="272"/>
  <c r="BB97" i="272"/>
  <c r="BA97" i="272"/>
  <c r="AZ97" i="272"/>
  <c r="AY97" i="272"/>
  <c r="AX97" i="272"/>
  <c r="AW97" i="272"/>
  <c r="AV97" i="272"/>
  <c r="AU97" i="272"/>
  <c r="AT97" i="272"/>
  <c r="AS97" i="272"/>
  <c r="AR97" i="272"/>
  <c r="AQ97" i="272"/>
  <c r="AP97" i="272"/>
  <c r="AO97" i="272"/>
  <c r="AN97" i="272"/>
  <c r="AM97" i="272"/>
  <c r="AL97" i="272"/>
  <c r="AK97" i="272"/>
  <c r="AJ97" i="272"/>
  <c r="AI97" i="272"/>
  <c r="AH97" i="272"/>
  <c r="AG97" i="272"/>
  <c r="AF97" i="272"/>
  <c r="AE97" i="272"/>
  <c r="AD97" i="272"/>
  <c r="AC97" i="272"/>
  <c r="AB97" i="272"/>
  <c r="AA97" i="272"/>
  <c r="Z97" i="272"/>
  <c r="Y97" i="272"/>
  <c r="T97" i="272"/>
  <c r="U97" i="272" s="1"/>
  <c r="R97" i="272"/>
  <c r="Q97" i="272"/>
  <c r="O97" i="272"/>
  <c r="N97" i="272"/>
  <c r="M97" i="272"/>
  <c r="G97" i="272"/>
  <c r="C97" i="272"/>
  <c r="HR96" i="272"/>
  <c r="HQ96" i="272"/>
  <c r="HP96" i="272"/>
  <c r="HO96" i="272"/>
  <c r="HN96" i="272"/>
  <c r="HM96" i="272"/>
  <c r="HL96" i="272"/>
  <c r="HK96" i="272"/>
  <c r="HJ96" i="272"/>
  <c r="HI96" i="272"/>
  <c r="HH96" i="272"/>
  <c r="HG96" i="272"/>
  <c r="HF96" i="272"/>
  <c r="HE96" i="272"/>
  <c r="HD96" i="272"/>
  <c r="HC96" i="272"/>
  <c r="HB96" i="272"/>
  <c r="HA96" i="272"/>
  <c r="GZ96" i="272"/>
  <c r="GY96" i="272"/>
  <c r="GX96" i="272"/>
  <c r="GW96" i="272"/>
  <c r="GV96" i="272"/>
  <c r="GU96" i="272"/>
  <c r="GT96" i="272"/>
  <c r="GS96" i="272"/>
  <c r="GR96" i="272"/>
  <c r="GQ96" i="272"/>
  <c r="GP96" i="272"/>
  <c r="GO96" i="272"/>
  <c r="GN96" i="272"/>
  <c r="GM96" i="272"/>
  <c r="GL96" i="272"/>
  <c r="GK96" i="272"/>
  <c r="GJ96" i="272"/>
  <c r="GI96" i="272"/>
  <c r="GH96" i="272"/>
  <c r="GG96" i="272"/>
  <c r="GF96" i="272"/>
  <c r="GE96" i="272"/>
  <c r="GD96" i="272"/>
  <c r="GC96" i="272"/>
  <c r="GB96" i="272"/>
  <c r="GA96" i="272"/>
  <c r="FZ96" i="272"/>
  <c r="FY96" i="272"/>
  <c r="FX96" i="272"/>
  <c r="FW96" i="272"/>
  <c r="FV96" i="272"/>
  <c r="FU96" i="272"/>
  <c r="FT96" i="272"/>
  <c r="FS96" i="272"/>
  <c r="FR96" i="272"/>
  <c r="FQ96" i="272"/>
  <c r="FP96" i="272"/>
  <c r="FO96" i="272"/>
  <c r="FN96" i="272"/>
  <c r="FM96" i="272"/>
  <c r="FL96" i="272"/>
  <c r="FK96" i="272"/>
  <c r="FJ96" i="272"/>
  <c r="FI96" i="272"/>
  <c r="FH96" i="272"/>
  <c r="FG96" i="272"/>
  <c r="FF96" i="272"/>
  <c r="FE96" i="272"/>
  <c r="FD96" i="272"/>
  <c r="FC96" i="272"/>
  <c r="FB96" i="272"/>
  <c r="FA96" i="272"/>
  <c r="EZ96" i="272"/>
  <c r="EY96" i="272"/>
  <c r="EX96" i="272"/>
  <c r="EW96" i="272"/>
  <c r="EV96" i="272"/>
  <c r="EU96" i="272"/>
  <c r="ET96" i="272"/>
  <c r="ES96" i="272"/>
  <c r="ER96" i="272"/>
  <c r="EQ96" i="272"/>
  <c r="EP96" i="272"/>
  <c r="EO96" i="272"/>
  <c r="EN96" i="272"/>
  <c r="EM96" i="272"/>
  <c r="EL96" i="272"/>
  <c r="EK96" i="272"/>
  <c r="EJ96" i="272"/>
  <c r="EI96" i="272"/>
  <c r="EH96" i="272"/>
  <c r="EG96" i="272"/>
  <c r="EF96" i="272"/>
  <c r="EE96" i="272"/>
  <c r="ED96" i="272"/>
  <c r="EC96" i="272"/>
  <c r="EB96" i="272"/>
  <c r="EA96" i="272"/>
  <c r="DZ96" i="272"/>
  <c r="DY96" i="272"/>
  <c r="DX96" i="272"/>
  <c r="DW96" i="272"/>
  <c r="DT96" i="272"/>
  <c r="DS96" i="272"/>
  <c r="DR96" i="272"/>
  <c r="DQ96" i="272"/>
  <c r="DP96" i="272"/>
  <c r="DO96" i="272"/>
  <c r="DN96" i="272"/>
  <c r="DM96" i="272"/>
  <c r="DL96" i="272"/>
  <c r="DK96" i="272"/>
  <c r="DJ96" i="272"/>
  <c r="DI96" i="272"/>
  <c r="DH96" i="272"/>
  <c r="DG96" i="272"/>
  <c r="DF96" i="272"/>
  <c r="DE96" i="272"/>
  <c r="DD96" i="272"/>
  <c r="DC96" i="272"/>
  <c r="DB96" i="272"/>
  <c r="DA96" i="272"/>
  <c r="CZ96" i="272"/>
  <c r="CY96" i="272"/>
  <c r="CX96" i="272"/>
  <c r="CW96" i="272"/>
  <c r="CV96" i="272"/>
  <c r="CU96" i="272"/>
  <c r="CT96" i="272"/>
  <c r="CS96" i="272"/>
  <c r="CR96" i="272"/>
  <c r="CQ96" i="272"/>
  <c r="CP96" i="272"/>
  <c r="CO96" i="272"/>
  <c r="CN96" i="272"/>
  <c r="CM96" i="272"/>
  <c r="CL96" i="272"/>
  <c r="CK96" i="272"/>
  <c r="CJ96" i="272"/>
  <c r="CI96" i="272"/>
  <c r="CH96" i="272"/>
  <c r="CG96" i="272"/>
  <c r="CF96" i="272"/>
  <c r="CE96" i="272"/>
  <c r="CD96" i="272"/>
  <c r="CC96" i="272"/>
  <c r="CB96" i="272"/>
  <c r="CA96" i="272"/>
  <c r="BZ96" i="272"/>
  <c r="BY96" i="272"/>
  <c r="BX96" i="272"/>
  <c r="BW96" i="272"/>
  <c r="BV96" i="272"/>
  <c r="BU96" i="272"/>
  <c r="BT96" i="272"/>
  <c r="BS96" i="272"/>
  <c r="BR96" i="272"/>
  <c r="BQ96" i="272"/>
  <c r="BP96" i="272"/>
  <c r="BO96" i="272"/>
  <c r="BN96" i="272"/>
  <c r="BM96" i="272"/>
  <c r="BL96" i="272"/>
  <c r="BK96" i="272"/>
  <c r="BJ96" i="272"/>
  <c r="BI96" i="272"/>
  <c r="BH96" i="272"/>
  <c r="BG96" i="272"/>
  <c r="BF96" i="272"/>
  <c r="BE96" i="272"/>
  <c r="BD96" i="272"/>
  <c r="BC96" i="272"/>
  <c r="BB96" i="272"/>
  <c r="BA96" i="272"/>
  <c r="AZ96" i="272"/>
  <c r="AY96" i="272"/>
  <c r="AX96" i="272"/>
  <c r="AW96" i="272"/>
  <c r="AV96" i="272"/>
  <c r="AU96" i="272"/>
  <c r="AT96" i="272"/>
  <c r="AS96" i="272"/>
  <c r="AR96" i="272"/>
  <c r="AQ96" i="272"/>
  <c r="AP96" i="272"/>
  <c r="AO96" i="272"/>
  <c r="AN96" i="272"/>
  <c r="AM96" i="272"/>
  <c r="AL96" i="272"/>
  <c r="AK96" i="272"/>
  <c r="AJ96" i="272"/>
  <c r="AI96" i="272"/>
  <c r="AH96" i="272"/>
  <c r="AG96" i="272"/>
  <c r="AF96" i="272"/>
  <c r="AE96" i="272"/>
  <c r="AD96" i="272"/>
  <c r="AC96" i="272"/>
  <c r="AB96" i="272"/>
  <c r="AA96" i="272"/>
  <c r="Z96" i="272"/>
  <c r="Y96" i="272"/>
  <c r="T96" i="272"/>
  <c r="U96" i="272" s="1"/>
  <c r="R96" i="272"/>
  <c r="Q96" i="272"/>
  <c r="O96" i="272"/>
  <c r="N96" i="272"/>
  <c r="M96" i="272"/>
  <c r="G96" i="272"/>
  <c r="C96" i="272"/>
  <c r="HR61" i="272"/>
  <c r="HQ61" i="272"/>
  <c r="HP61" i="272"/>
  <c r="HO61" i="272"/>
  <c r="HN61" i="272"/>
  <c r="HM61" i="272"/>
  <c r="HL61" i="272"/>
  <c r="HK61" i="272"/>
  <c r="HJ61" i="272"/>
  <c r="HI61" i="272"/>
  <c r="HH61" i="272"/>
  <c r="HG61" i="272"/>
  <c r="HF61" i="272"/>
  <c r="HE61" i="272"/>
  <c r="HD61" i="272"/>
  <c r="HC61" i="272"/>
  <c r="HB61" i="272"/>
  <c r="HA61" i="272"/>
  <c r="GZ61" i="272"/>
  <c r="GY61" i="272"/>
  <c r="GX61" i="272"/>
  <c r="GW61" i="272"/>
  <c r="GV61" i="272"/>
  <c r="GU61" i="272"/>
  <c r="GT61" i="272"/>
  <c r="GS61" i="272"/>
  <c r="GR61" i="272"/>
  <c r="GQ61" i="272"/>
  <c r="GP61" i="272"/>
  <c r="GO61" i="272"/>
  <c r="GN61" i="272"/>
  <c r="GM61" i="272"/>
  <c r="GL61" i="272"/>
  <c r="GK61" i="272"/>
  <c r="GJ61" i="272"/>
  <c r="GI61" i="272"/>
  <c r="GH61" i="272"/>
  <c r="GG61" i="272"/>
  <c r="GF61" i="272"/>
  <c r="GE61" i="272"/>
  <c r="GD61" i="272"/>
  <c r="GC61" i="272"/>
  <c r="GB61" i="272"/>
  <c r="GA61" i="272"/>
  <c r="FZ61" i="272"/>
  <c r="FY61" i="272"/>
  <c r="FX61" i="272"/>
  <c r="FW61" i="272"/>
  <c r="FV61" i="272"/>
  <c r="FU61" i="272"/>
  <c r="FT61" i="272"/>
  <c r="FS61" i="272"/>
  <c r="FR61" i="272"/>
  <c r="FQ61" i="272"/>
  <c r="FP61" i="272"/>
  <c r="FO61" i="272"/>
  <c r="FN61" i="272"/>
  <c r="FM61" i="272"/>
  <c r="FL61" i="272"/>
  <c r="FK61" i="272"/>
  <c r="FJ61" i="272"/>
  <c r="FI61" i="272"/>
  <c r="FH61" i="272"/>
  <c r="FG61" i="272"/>
  <c r="FF61" i="272"/>
  <c r="FE61" i="272"/>
  <c r="FD61" i="272"/>
  <c r="FC61" i="272"/>
  <c r="FB61" i="272"/>
  <c r="FA61" i="272"/>
  <c r="EZ61" i="272"/>
  <c r="EY61" i="272"/>
  <c r="EX61" i="272"/>
  <c r="EW61" i="272"/>
  <c r="EV61" i="272"/>
  <c r="EU61" i="272"/>
  <c r="ET61" i="272"/>
  <c r="ES61" i="272"/>
  <c r="ER61" i="272"/>
  <c r="EQ61" i="272"/>
  <c r="EP61" i="272"/>
  <c r="EO61" i="272"/>
  <c r="EN61" i="272"/>
  <c r="EM61" i="272"/>
  <c r="EL61" i="272"/>
  <c r="EK61" i="272"/>
  <c r="EJ61" i="272"/>
  <c r="EI61" i="272"/>
  <c r="EH61" i="272"/>
  <c r="EG61" i="272"/>
  <c r="EF61" i="272"/>
  <c r="EE61" i="272"/>
  <c r="ED61" i="272"/>
  <c r="EC61" i="272"/>
  <c r="EB61" i="272"/>
  <c r="EA61" i="272"/>
  <c r="DZ61" i="272"/>
  <c r="DX61" i="272"/>
  <c r="DW61" i="272"/>
  <c r="DT61" i="272"/>
  <c r="DS61" i="272"/>
  <c r="DR61" i="272"/>
  <c r="DQ61" i="272"/>
  <c r="DP61" i="272"/>
  <c r="DO61" i="272"/>
  <c r="DN61" i="272"/>
  <c r="DM61" i="272"/>
  <c r="DL61" i="272"/>
  <c r="DK61" i="272"/>
  <c r="DJ61" i="272"/>
  <c r="DI61" i="272"/>
  <c r="DH61" i="272"/>
  <c r="DG61" i="272"/>
  <c r="DF61" i="272"/>
  <c r="DE61" i="272"/>
  <c r="DD61" i="272"/>
  <c r="DC61" i="272"/>
  <c r="DB61" i="272"/>
  <c r="DA61" i="272"/>
  <c r="CZ61" i="272"/>
  <c r="CY61" i="272"/>
  <c r="CX61" i="272"/>
  <c r="CW61" i="272"/>
  <c r="CV61" i="272"/>
  <c r="CU61" i="272"/>
  <c r="CT61" i="272"/>
  <c r="CS61" i="272"/>
  <c r="CR61" i="272"/>
  <c r="CQ61" i="272"/>
  <c r="CP61" i="272"/>
  <c r="CO61" i="272"/>
  <c r="CN61" i="272"/>
  <c r="CM61" i="272"/>
  <c r="CL61" i="272"/>
  <c r="CK61" i="272"/>
  <c r="CJ61" i="272"/>
  <c r="CI61" i="272"/>
  <c r="CH61" i="272"/>
  <c r="CG61" i="272"/>
  <c r="CF61" i="272"/>
  <c r="CE61" i="272"/>
  <c r="CD61" i="272"/>
  <c r="CC61" i="272"/>
  <c r="CB61" i="272"/>
  <c r="CA61" i="272"/>
  <c r="BZ61" i="272"/>
  <c r="BY61" i="272"/>
  <c r="BX61" i="272"/>
  <c r="BW61" i="272"/>
  <c r="BV61" i="272"/>
  <c r="BU61" i="272"/>
  <c r="BT61" i="272"/>
  <c r="BS61" i="272"/>
  <c r="BR61" i="272"/>
  <c r="BQ61" i="272"/>
  <c r="BP61" i="272"/>
  <c r="BO61" i="272"/>
  <c r="BN61" i="272"/>
  <c r="BM61" i="272"/>
  <c r="BL61" i="272"/>
  <c r="BK61" i="272"/>
  <c r="BJ61" i="272"/>
  <c r="BI61" i="272"/>
  <c r="BH61" i="272"/>
  <c r="BG61" i="272"/>
  <c r="BF61" i="272"/>
  <c r="BE61" i="272"/>
  <c r="BD61" i="272"/>
  <c r="BC61" i="272"/>
  <c r="BB61" i="272"/>
  <c r="BA61" i="272"/>
  <c r="AZ61" i="272"/>
  <c r="AY61" i="272"/>
  <c r="AX61" i="272"/>
  <c r="AW61" i="272"/>
  <c r="AV61" i="272"/>
  <c r="AU61" i="272"/>
  <c r="AT61" i="272"/>
  <c r="AS61" i="272"/>
  <c r="AR61" i="272"/>
  <c r="AQ61" i="272"/>
  <c r="AP61" i="272"/>
  <c r="AO61" i="272"/>
  <c r="AN61" i="272"/>
  <c r="AM61" i="272"/>
  <c r="AL61" i="272"/>
  <c r="AK61" i="272"/>
  <c r="AJ61" i="272"/>
  <c r="AI61" i="272"/>
  <c r="AH61" i="272"/>
  <c r="AG61" i="272"/>
  <c r="AF61" i="272"/>
  <c r="AE61" i="272"/>
  <c r="AD61" i="272"/>
  <c r="AC61" i="272"/>
  <c r="AB61" i="272"/>
  <c r="Z61" i="272"/>
  <c r="Y61" i="272"/>
  <c r="T61" i="272"/>
  <c r="U61" i="272" s="1"/>
  <c r="AA61" i="272" s="1"/>
  <c r="R61" i="272"/>
  <c r="Q61" i="272"/>
  <c r="O61" i="272"/>
  <c r="DY61" i="272" s="1"/>
  <c r="N61" i="272"/>
  <c r="M61" i="272"/>
  <c r="G61" i="272"/>
  <c r="C61" i="272"/>
  <c r="HR60" i="272"/>
  <c r="HQ60" i="272"/>
  <c r="HP60" i="272"/>
  <c r="HO60" i="272"/>
  <c r="HN60" i="272"/>
  <c r="HM60" i="272"/>
  <c r="HL60" i="272"/>
  <c r="HK60" i="272"/>
  <c r="HJ60" i="272"/>
  <c r="HI60" i="272"/>
  <c r="HH60" i="272"/>
  <c r="HG60" i="272"/>
  <c r="HF60" i="272"/>
  <c r="HE60" i="272"/>
  <c r="HD60" i="272"/>
  <c r="HC60" i="272"/>
  <c r="HB60" i="272"/>
  <c r="HA60" i="272"/>
  <c r="GZ60" i="272"/>
  <c r="GY60" i="272"/>
  <c r="GX60" i="272"/>
  <c r="GW60" i="272"/>
  <c r="GV60" i="272"/>
  <c r="GU60" i="272"/>
  <c r="GT60" i="272"/>
  <c r="GS60" i="272"/>
  <c r="GR60" i="272"/>
  <c r="GQ60" i="272"/>
  <c r="GP60" i="272"/>
  <c r="GO60" i="272"/>
  <c r="GN60" i="272"/>
  <c r="GM60" i="272"/>
  <c r="GL60" i="272"/>
  <c r="GK60" i="272"/>
  <c r="GJ60" i="272"/>
  <c r="GI60" i="272"/>
  <c r="GH60" i="272"/>
  <c r="GG60" i="272"/>
  <c r="GF60" i="272"/>
  <c r="GE60" i="272"/>
  <c r="GD60" i="272"/>
  <c r="GC60" i="272"/>
  <c r="GB60" i="272"/>
  <c r="GA60" i="272"/>
  <c r="FZ60" i="272"/>
  <c r="FY60" i="272"/>
  <c r="FX60" i="272"/>
  <c r="FW60" i="272"/>
  <c r="FV60" i="272"/>
  <c r="FU60" i="272"/>
  <c r="FT60" i="272"/>
  <c r="FS60" i="272"/>
  <c r="FR60" i="272"/>
  <c r="FQ60" i="272"/>
  <c r="FP60" i="272"/>
  <c r="FO60" i="272"/>
  <c r="FN60" i="272"/>
  <c r="FM60" i="272"/>
  <c r="FL60" i="272"/>
  <c r="FK60" i="272"/>
  <c r="FJ60" i="272"/>
  <c r="FI60" i="272"/>
  <c r="FH60" i="272"/>
  <c r="FG60" i="272"/>
  <c r="FF60" i="272"/>
  <c r="FE60" i="272"/>
  <c r="FD60" i="272"/>
  <c r="FC60" i="272"/>
  <c r="FB60" i="272"/>
  <c r="FA60" i="272"/>
  <c r="EZ60" i="272"/>
  <c r="EY60" i="272"/>
  <c r="EX60" i="272"/>
  <c r="EW60" i="272"/>
  <c r="EV60" i="272"/>
  <c r="EU60" i="272"/>
  <c r="ET60" i="272"/>
  <c r="ES60" i="272"/>
  <c r="ER60" i="272"/>
  <c r="EQ60" i="272"/>
  <c r="EP60" i="272"/>
  <c r="EO60" i="272"/>
  <c r="EN60" i="272"/>
  <c r="EM60" i="272"/>
  <c r="EL60" i="272"/>
  <c r="EK60" i="272"/>
  <c r="EJ60" i="272"/>
  <c r="EI60" i="272"/>
  <c r="EH60" i="272"/>
  <c r="EG60" i="272"/>
  <c r="EF60" i="272"/>
  <c r="EE60" i="272"/>
  <c r="ED60" i="272"/>
  <c r="EC60" i="272"/>
  <c r="EA60" i="272"/>
  <c r="DZ60" i="272"/>
  <c r="DX60" i="272"/>
  <c r="DW60" i="272"/>
  <c r="DT60" i="272"/>
  <c r="DS60" i="272"/>
  <c r="DR60" i="272"/>
  <c r="DQ60" i="272"/>
  <c r="DP60" i="272"/>
  <c r="DO60" i="272"/>
  <c r="DN60" i="272"/>
  <c r="DM60" i="272"/>
  <c r="DL60" i="272"/>
  <c r="DK60" i="272"/>
  <c r="DJ60" i="272"/>
  <c r="DI60" i="272"/>
  <c r="DH60" i="272"/>
  <c r="DG60" i="272"/>
  <c r="DF60" i="272"/>
  <c r="DE60" i="272"/>
  <c r="DD60" i="272"/>
  <c r="DC60" i="272"/>
  <c r="DB60" i="272"/>
  <c r="DA60" i="272"/>
  <c r="CZ60" i="272"/>
  <c r="CY60" i="272"/>
  <c r="CX60" i="272"/>
  <c r="CW60" i="272"/>
  <c r="CV60" i="272"/>
  <c r="CU60" i="272"/>
  <c r="CT60" i="272"/>
  <c r="CS60" i="272"/>
  <c r="CR60" i="272"/>
  <c r="CQ60" i="272"/>
  <c r="CP60" i="272"/>
  <c r="CO60" i="272"/>
  <c r="CN60" i="272"/>
  <c r="CM60" i="272"/>
  <c r="CL60" i="272"/>
  <c r="CK60" i="272"/>
  <c r="CJ60" i="272"/>
  <c r="CI60" i="272"/>
  <c r="CH60" i="272"/>
  <c r="CG60" i="272"/>
  <c r="CF60" i="272"/>
  <c r="CE60" i="272"/>
  <c r="CD60" i="272"/>
  <c r="CC60" i="272"/>
  <c r="CB60" i="272"/>
  <c r="CA60" i="272"/>
  <c r="BZ60" i="272"/>
  <c r="BY60" i="272"/>
  <c r="BX60" i="272"/>
  <c r="BW60" i="272"/>
  <c r="BV60" i="272"/>
  <c r="BU60" i="272"/>
  <c r="BT60" i="272"/>
  <c r="BS60" i="272"/>
  <c r="BR60" i="272"/>
  <c r="BQ60" i="272"/>
  <c r="BP60" i="272"/>
  <c r="BO60" i="272"/>
  <c r="BN60" i="272"/>
  <c r="BM60" i="272"/>
  <c r="BL60" i="272"/>
  <c r="BK60" i="272"/>
  <c r="BJ60" i="272"/>
  <c r="BI60" i="272"/>
  <c r="BH60" i="272"/>
  <c r="BG60" i="272"/>
  <c r="BF60" i="272"/>
  <c r="BE60" i="272"/>
  <c r="BD60" i="272"/>
  <c r="BC60" i="272"/>
  <c r="BB60" i="272"/>
  <c r="BA60" i="272"/>
  <c r="AZ60" i="272"/>
  <c r="AY60" i="272"/>
  <c r="AX60" i="272"/>
  <c r="AW60" i="272"/>
  <c r="AV60" i="272"/>
  <c r="AU60" i="272"/>
  <c r="AT60" i="272"/>
  <c r="AS60" i="272"/>
  <c r="AR60" i="272"/>
  <c r="AQ60" i="272"/>
  <c r="AP60" i="272"/>
  <c r="AO60" i="272"/>
  <c r="AN60" i="272"/>
  <c r="AM60" i="272"/>
  <c r="AL60" i="272"/>
  <c r="AK60" i="272"/>
  <c r="AJ60" i="272"/>
  <c r="AI60" i="272"/>
  <c r="AH60" i="272"/>
  <c r="AG60" i="272"/>
  <c r="AF60" i="272"/>
  <c r="AE60" i="272"/>
  <c r="AC60" i="272"/>
  <c r="AB60" i="272"/>
  <c r="Z60" i="272"/>
  <c r="Y60" i="272"/>
  <c r="T60" i="272"/>
  <c r="U60" i="272" s="1"/>
  <c r="AA60" i="272" s="1"/>
  <c r="R60" i="272"/>
  <c r="N60" i="272"/>
  <c r="M60" i="272"/>
  <c r="G60" i="272"/>
  <c r="C60" i="272"/>
  <c r="HR59" i="272"/>
  <c r="HQ59" i="272"/>
  <c r="HP59" i="272"/>
  <c r="HO59" i="272"/>
  <c r="HN59" i="272"/>
  <c r="HM59" i="272"/>
  <c r="HL59" i="272"/>
  <c r="HK59" i="272"/>
  <c r="HJ59" i="272"/>
  <c r="HI59" i="272"/>
  <c r="HH59" i="272"/>
  <c r="HG59" i="272"/>
  <c r="HF59" i="272"/>
  <c r="HE59" i="272"/>
  <c r="HD59" i="272"/>
  <c r="HC59" i="272"/>
  <c r="HB59" i="272"/>
  <c r="HA59" i="272"/>
  <c r="GZ59" i="272"/>
  <c r="GY59" i="272"/>
  <c r="GX59" i="272"/>
  <c r="GW59" i="272"/>
  <c r="GV59" i="272"/>
  <c r="GU59" i="272"/>
  <c r="GT59" i="272"/>
  <c r="GS59" i="272"/>
  <c r="GR59" i="272"/>
  <c r="GQ59" i="272"/>
  <c r="GP59" i="272"/>
  <c r="GO59" i="272"/>
  <c r="GN59" i="272"/>
  <c r="GM59" i="272"/>
  <c r="GL59" i="272"/>
  <c r="GK59" i="272"/>
  <c r="GJ59" i="272"/>
  <c r="GI59" i="272"/>
  <c r="GH59" i="272"/>
  <c r="GG59" i="272"/>
  <c r="GF59" i="272"/>
  <c r="GE59" i="272"/>
  <c r="GD59" i="272"/>
  <c r="GC59" i="272"/>
  <c r="GB59" i="272"/>
  <c r="GA59" i="272"/>
  <c r="FZ59" i="272"/>
  <c r="FY59" i="272"/>
  <c r="FX59" i="272"/>
  <c r="FW59" i="272"/>
  <c r="FV59" i="272"/>
  <c r="FU59" i="272"/>
  <c r="FT59" i="272"/>
  <c r="FS59" i="272"/>
  <c r="FR59" i="272"/>
  <c r="FQ59" i="272"/>
  <c r="FP59" i="272"/>
  <c r="FO59" i="272"/>
  <c r="FN59" i="272"/>
  <c r="FM59" i="272"/>
  <c r="FL59" i="272"/>
  <c r="FK59" i="272"/>
  <c r="FJ59" i="272"/>
  <c r="FI59" i="272"/>
  <c r="FH59" i="272"/>
  <c r="FG59" i="272"/>
  <c r="FF59" i="272"/>
  <c r="FE59" i="272"/>
  <c r="FD59" i="272"/>
  <c r="FC59" i="272"/>
  <c r="FB59" i="272"/>
  <c r="FA59" i="272"/>
  <c r="EZ59" i="272"/>
  <c r="EY59" i="272"/>
  <c r="EX59" i="272"/>
  <c r="EW59" i="272"/>
  <c r="EV59" i="272"/>
  <c r="EU59" i="272"/>
  <c r="ET59" i="272"/>
  <c r="ES59" i="272"/>
  <c r="ER59" i="272"/>
  <c r="EQ59" i="272"/>
  <c r="EP59" i="272"/>
  <c r="EO59" i="272"/>
  <c r="EN59" i="272"/>
  <c r="EM59" i="272"/>
  <c r="EL59" i="272"/>
  <c r="EK59" i="272"/>
  <c r="EJ59" i="272"/>
  <c r="EI59" i="272"/>
  <c r="EH59" i="272"/>
  <c r="EG59" i="272"/>
  <c r="EF59" i="272"/>
  <c r="EE59" i="272"/>
  <c r="ED59" i="272"/>
  <c r="EC59" i="272"/>
  <c r="EA59" i="272"/>
  <c r="DZ59" i="272"/>
  <c r="DX59" i="272"/>
  <c r="DW59" i="272"/>
  <c r="DT59" i="272"/>
  <c r="DS59" i="272"/>
  <c r="DR59" i="272"/>
  <c r="DQ59" i="272"/>
  <c r="DP59" i="272"/>
  <c r="DO59" i="272"/>
  <c r="DN59" i="272"/>
  <c r="DM59" i="272"/>
  <c r="DL59" i="272"/>
  <c r="DK59" i="272"/>
  <c r="DJ59" i="272"/>
  <c r="DI59" i="272"/>
  <c r="DH59" i="272"/>
  <c r="DG59" i="272"/>
  <c r="DF59" i="272"/>
  <c r="DE59" i="272"/>
  <c r="DD59" i="272"/>
  <c r="DC59" i="272"/>
  <c r="DB59" i="272"/>
  <c r="DA59" i="272"/>
  <c r="CZ59" i="272"/>
  <c r="CY59" i="272"/>
  <c r="CX59" i="272"/>
  <c r="CW59" i="272"/>
  <c r="CV59" i="272"/>
  <c r="CU59" i="272"/>
  <c r="CT59" i="272"/>
  <c r="CS59" i="272"/>
  <c r="CR59" i="272"/>
  <c r="CQ59" i="272"/>
  <c r="CP59" i="272"/>
  <c r="CO59" i="272"/>
  <c r="CN59" i="272"/>
  <c r="CM59" i="272"/>
  <c r="CL59" i="272"/>
  <c r="CK59" i="272"/>
  <c r="CJ59" i="272"/>
  <c r="CI59" i="272"/>
  <c r="CH59" i="272"/>
  <c r="CG59" i="272"/>
  <c r="CF59" i="272"/>
  <c r="CE59" i="272"/>
  <c r="CD59" i="272"/>
  <c r="CC59" i="272"/>
  <c r="CB59" i="272"/>
  <c r="CA59" i="272"/>
  <c r="BZ59" i="272"/>
  <c r="BY59" i="272"/>
  <c r="BX59" i="272"/>
  <c r="BW59" i="272"/>
  <c r="BV59" i="272"/>
  <c r="BU59" i="272"/>
  <c r="BT59" i="272"/>
  <c r="BS59" i="272"/>
  <c r="BR59" i="272"/>
  <c r="BQ59" i="272"/>
  <c r="BP59" i="272"/>
  <c r="BO59" i="272"/>
  <c r="BN59" i="272"/>
  <c r="BM59" i="272"/>
  <c r="BL59" i="272"/>
  <c r="BK59" i="272"/>
  <c r="BJ59" i="272"/>
  <c r="BI59" i="272"/>
  <c r="BH59" i="272"/>
  <c r="BG59" i="272"/>
  <c r="BF59" i="272"/>
  <c r="BE59" i="272"/>
  <c r="BD59" i="272"/>
  <c r="BC59" i="272"/>
  <c r="BB59" i="272"/>
  <c r="BA59" i="272"/>
  <c r="AZ59" i="272"/>
  <c r="AY59" i="272"/>
  <c r="AX59" i="272"/>
  <c r="AW59" i="272"/>
  <c r="AV59" i="272"/>
  <c r="AU59" i="272"/>
  <c r="AT59" i="272"/>
  <c r="AS59" i="272"/>
  <c r="AR59" i="272"/>
  <c r="AQ59" i="272"/>
  <c r="AP59" i="272"/>
  <c r="AO59" i="272"/>
  <c r="AN59" i="272"/>
  <c r="AM59" i="272"/>
  <c r="AL59" i="272"/>
  <c r="AK59" i="272"/>
  <c r="AJ59" i="272"/>
  <c r="AI59" i="272"/>
  <c r="AH59" i="272"/>
  <c r="AG59" i="272"/>
  <c r="AF59" i="272"/>
  <c r="AE59" i="272"/>
  <c r="AC59" i="272"/>
  <c r="AB59" i="272"/>
  <c r="Z59" i="272"/>
  <c r="Y59" i="272"/>
  <c r="T59" i="272"/>
  <c r="U59" i="272" s="1"/>
  <c r="AA59" i="272" s="1"/>
  <c r="Q59" i="272"/>
  <c r="O59" i="272"/>
  <c r="DY59" i="272" s="1"/>
  <c r="N59" i="272"/>
  <c r="M59" i="272"/>
  <c r="G59" i="272"/>
  <c r="C59" i="272"/>
  <c r="HR58" i="272"/>
  <c r="HQ58" i="272"/>
  <c r="HP58" i="272"/>
  <c r="HO58" i="272"/>
  <c r="HN58" i="272"/>
  <c r="HM58" i="272"/>
  <c r="HL58" i="272"/>
  <c r="HK58" i="272"/>
  <c r="HJ58" i="272"/>
  <c r="HI58" i="272"/>
  <c r="HH58" i="272"/>
  <c r="HG58" i="272"/>
  <c r="HF58" i="272"/>
  <c r="HE58" i="272"/>
  <c r="HD58" i="272"/>
  <c r="HC58" i="272"/>
  <c r="HB58" i="272"/>
  <c r="HA58" i="272"/>
  <c r="GZ58" i="272"/>
  <c r="GY58" i="272"/>
  <c r="GX58" i="272"/>
  <c r="GW58" i="272"/>
  <c r="GV58" i="272"/>
  <c r="GU58" i="272"/>
  <c r="GT58" i="272"/>
  <c r="GS58" i="272"/>
  <c r="GR58" i="272"/>
  <c r="GQ58" i="272"/>
  <c r="GP58" i="272"/>
  <c r="GO58" i="272"/>
  <c r="GN58" i="272"/>
  <c r="GM58" i="272"/>
  <c r="GL58" i="272"/>
  <c r="GK58" i="272"/>
  <c r="GJ58" i="272"/>
  <c r="GI58" i="272"/>
  <c r="GH58" i="272"/>
  <c r="GG58" i="272"/>
  <c r="GF58" i="272"/>
  <c r="GE58" i="272"/>
  <c r="GD58" i="272"/>
  <c r="GC58" i="272"/>
  <c r="GB58" i="272"/>
  <c r="GA58" i="272"/>
  <c r="FZ58" i="272"/>
  <c r="FY58" i="272"/>
  <c r="FX58" i="272"/>
  <c r="FW58" i="272"/>
  <c r="FV58" i="272"/>
  <c r="FU58" i="272"/>
  <c r="FT58" i="272"/>
  <c r="FS58" i="272"/>
  <c r="FR58" i="272"/>
  <c r="FQ58" i="272"/>
  <c r="FP58" i="272"/>
  <c r="FO58" i="272"/>
  <c r="FN58" i="272"/>
  <c r="FM58" i="272"/>
  <c r="FL58" i="272"/>
  <c r="FK58" i="272"/>
  <c r="FJ58" i="272"/>
  <c r="FI58" i="272"/>
  <c r="FH58" i="272"/>
  <c r="FG58" i="272"/>
  <c r="FF58" i="272"/>
  <c r="FE58" i="272"/>
  <c r="FD58" i="272"/>
  <c r="FB58" i="272"/>
  <c r="FA58" i="272"/>
  <c r="EZ58" i="272"/>
  <c r="EY58" i="272"/>
  <c r="EX58" i="272"/>
  <c r="EW58" i="272"/>
  <c r="EV58" i="272"/>
  <c r="EU58" i="272"/>
  <c r="ET58" i="272"/>
  <c r="ES58" i="272"/>
  <c r="ER58" i="272"/>
  <c r="EQ58" i="272"/>
  <c r="EP58" i="272"/>
  <c r="EO58" i="272"/>
  <c r="EN58" i="272"/>
  <c r="EM58" i="272"/>
  <c r="EL58" i="272"/>
  <c r="EK58" i="272"/>
  <c r="EJ58" i="272"/>
  <c r="EI58" i="272"/>
  <c r="EH58" i="272"/>
  <c r="EG58" i="272"/>
  <c r="EF58" i="272"/>
  <c r="EE58" i="272"/>
  <c r="ED58" i="272"/>
  <c r="EC58" i="272"/>
  <c r="EB58" i="272"/>
  <c r="DZ58" i="272"/>
  <c r="DX58" i="272"/>
  <c r="DW58" i="272"/>
  <c r="DT58" i="272"/>
  <c r="DS58" i="272"/>
  <c r="DR58" i="272"/>
  <c r="DQ58" i="272"/>
  <c r="DP58" i="272"/>
  <c r="DO58" i="272"/>
  <c r="DN58" i="272"/>
  <c r="DM58" i="272"/>
  <c r="DL58" i="272"/>
  <c r="DK58" i="272"/>
  <c r="DJ58" i="272"/>
  <c r="DI58" i="272"/>
  <c r="DH58" i="272"/>
  <c r="DG58" i="272"/>
  <c r="DF58" i="272"/>
  <c r="DE58" i="272"/>
  <c r="DD58" i="272"/>
  <c r="DC58" i="272"/>
  <c r="DB58" i="272"/>
  <c r="DA58" i="272"/>
  <c r="CZ58" i="272"/>
  <c r="CY58" i="272"/>
  <c r="CX58" i="272"/>
  <c r="CW58" i="272"/>
  <c r="CV58" i="272"/>
  <c r="CU58" i="272"/>
  <c r="CT58" i="272"/>
  <c r="CS58" i="272"/>
  <c r="CR58" i="272"/>
  <c r="CQ58" i="272"/>
  <c r="CP58" i="272"/>
  <c r="CO58" i="272"/>
  <c r="CN58" i="272"/>
  <c r="CM58" i="272"/>
  <c r="CL58" i="272"/>
  <c r="CK58" i="272"/>
  <c r="CJ58" i="272"/>
  <c r="CI58" i="272"/>
  <c r="CH58" i="272"/>
  <c r="CG58" i="272"/>
  <c r="CF58" i="272"/>
  <c r="CE58" i="272"/>
  <c r="CD58" i="272"/>
  <c r="CC58" i="272"/>
  <c r="CB58" i="272"/>
  <c r="CA58" i="272"/>
  <c r="BZ58" i="272"/>
  <c r="BY58" i="272"/>
  <c r="BX58" i="272"/>
  <c r="BW58" i="272"/>
  <c r="BV58" i="272"/>
  <c r="BU58" i="272"/>
  <c r="BT58" i="272"/>
  <c r="BS58" i="272"/>
  <c r="BR58" i="272"/>
  <c r="BQ58" i="272"/>
  <c r="BP58" i="272"/>
  <c r="BO58" i="272"/>
  <c r="BN58" i="272"/>
  <c r="BM58" i="272"/>
  <c r="BL58" i="272"/>
  <c r="BK58" i="272"/>
  <c r="BJ58" i="272"/>
  <c r="BI58" i="272"/>
  <c r="BH58" i="272"/>
  <c r="BG58" i="272"/>
  <c r="BF58" i="272"/>
  <c r="BD58" i="272"/>
  <c r="BC58" i="272"/>
  <c r="BB58" i="272"/>
  <c r="BA58" i="272"/>
  <c r="AZ58" i="272"/>
  <c r="AY58" i="272"/>
  <c r="AX58" i="272"/>
  <c r="AW58" i="272"/>
  <c r="AV58" i="272"/>
  <c r="AU58" i="272"/>
  <c r="AT58" i="272"/>
  <c r="AS58" i="272"/>
  <c r="AR58" i="272"/>
  <c r="AQ58" i="272"/>
  <c r="AP58" i="272"/>
  <c r="AO58" i="272"/>
  <c r="AN58" i="272"/>
  <c r="AM58" i="272"/>
  <c r="AL58" i="272"/>
  <c r="AK58" i="272"/>
  <c r="AJ58" i="272"/>
  <c r="AI58" i="272"/>
  <c r="AH58" i="272"/>
  <c r="AG58" i="272"/>
  <c r="AF58" i="272"/>
  <c r="AE58" i="272"/>
  <c r="AD58" i="272"/>
  <c r="AB58" i="272"/>
  <c r="Z58" i="272"/>
  <c r="Y58" i="272"/>
  <c r="T58" i="272"/>
  <c r="U58" i="272" s="1"/>
  <c r="BE58" i="272" s="1"/>
  <c r="R58" i="272"/>
  <c r="N58" i="272"/>
  <c r="M58" i="272"/>
  <c r="G58" i="272"/>
  <c r="C58" i="272"/>
  <c r="HR57" i="272"/>
  <c r="HQ57" i="272"/>
  <c r="HP57" i="272"/>
  <c r="HO57" i="272"/>
  <c r="HN57" i="272"/>
  <c r="HM57" i="272"/>
  <c r="HL57" i="272"/>
  <c r="HK57" i="272"/>
  <c r="HJ57" i="272"/>
  <c r="HI57" i="272"/>
  <c r="HH57" i="272"/>
  <c r="HG57" i="272"/>
  <c r="HF57" i="272"/>
  <c r="HE57" i="272"/>
  <c r="HD57" i="272"/>
  <c r="HC57" i="272"/>
  <c r="HB57" i="272"/>
  <c r="HA57" i="272"/>
  <c r="GZ57" i="272"/>
  <c r="GY57" i="272"/>
  <c r="GX57" i="272"/>
  <c r="GW57" i="272"/>
  <c r="GV57" i="272"/>
  <c r="GU57" i="272"/>
  <c r="GT57" i="272"/>
  <c r="GS57" i="272"/>
  <c r="GR57" i="272"/>
  <c r="GQ57" i="272"/>
  <c r="GP57" i="272"/>
  <c r="GO57" i="272"/>
  <c r="GN57" i="272"/>
  <c r="GM57" i="272"/>
  <c r="GL57" i="272"/>
  <c r="GK57" i="272"/>
  <c r="GJ57" i="272"/>
  <c r="GI57" i="272"/>
  <c r="GH57" i="272"/>
  <c r="GG57" i="272"/>
  <c r="GF57" i="272"/>
  <c r="GE57" i="272"/>
  <c r="GD57" i="272"/>
  <c r="GC57" i="272"/>
  <c r="GB57" i="272"/>
  <c r="GA57" i="272"/>
  <c r="FZ57" i="272"/>
  <c r="FY57" i="272"/>
  <c r="FX57" i="272"/>
  <c r="FW57" i="272"/>
  <c r="FV57" i="272"/>
  <c r="FU57" i="272"/>
  <c r="FT57" i="272"/>
  <c r="FS57" i="272"/>
  <c r="FR57" i="272"/>
  <c r="FQ57" i="272"/>
  <c r="FP57" i="272"/>
  <c r="FO57" i="272"/>
  <c r="FN57" i="272"/>
  <c r="FM57" i="272"/>
  <c r="FL57" i="272"/>
  <c r="FK57" i="272"/>
  <c r="FJ57" i="272"/>
  <c r="FI57" i="272"/>
  <c r="FH57" i="272"/>
  <c r="FG57" i="272"/>
  <c r="FF57" i="272"/>
  <c r="FE57" i="272"/>
  <c r="FD57" i="272"/>
  <c r="FC57" i="272"/>
  <c r="FB57" i="272"/>
  <c r="FA57" i="272"/>
  <c r="EZ57" i="272"/>
  <c r="EY57" i="272"/>
  <c r="EX57" i="272"/>
  <c r="EW57" i="272"/>
  <c r="EV57" i="272"/>
  <c r="EU57" i="272"/>
  <c r="ET57" i="272"/>
  <c r="ES57" i="272"/>
  <c r="ER57" i="272"/>
  <c r="EQ57" i="272"/>
  <c r="EP57" i="272"/>
  <c r="EO57" i="272"/>
  <c r="EN57" i="272"/>
  <c r="EM57" i="272"/>
  <c r="EL57" i="272"/>
  <c r="EK57" i="272"/>
  <c r="EJ57" i="272"/>
  <c r="EI57" i="272"/>
  <c r="EH57" i="272"/>
  <c r="EG57" i="272"/>
  <c r="EF57" i="272"/>
  <c r="EE57" i="272"/>
  <c r="ED57" i="272"/>
  <c r="EC57" i="272"/>
  <c r="EB57" i="272"/>
  <c r="DZ57" i="272"/>
  <c r="DX57" i="272"/>
  <c r="DW57" i="272"/>
  <c r="DT57" i="272"/>
  <c r="DS57" i="272"/>
  <c r="DR57" i="272"/>
  <c r="DQ57" i="272"/>
  <c r="DP57" i="272"/>
  <c r="DO57" i="272"/>
  <c r="DN57" i="272"/>
  <c r="DM57" i="272"/>
  <c r="DL57" i="272"/>
  <c r="DK57" i="272"/>
  <c r="DJ57" i="272"/>
  <c r="DI57" i="272"/>
  <c r="DH57" i="272"/>
  <c r="DG57" i="272"/>
  <c r="DF57" i="272"/>
  <c r="DE57" i="272"/>
  <c r="DD57" i="272"/>
  <c r="DC57" i="272"/>
  <c r="DB57" i="272"/>
  <c r="DA57" i="272"/>
  <c r="CZ57" i="272"/>
  <c r="CY57" i="272"/>
  <c r="CX57" i="272"/>
  <c r="CW57" i="272"/>
  <c r="CV57" i="272"/>
  <c r="CU57" i="272"/>
  <c r="CT57" i="272"/>
  <c r="CS57" i="272"/>
  <c r="CR57" i="272"/>
  <c r="CQ57" i="272"/>
  <c r="CP57" i="272"/>
  <c r="CO57" i="272"/>
  <c r="CN57" i="272"/>
  <c r="CM57" i="272"/>
  <c r="CL57" i="272"/>
  <c r="CK57" i="272"/>
  <c r="CJ57" i="272"/>
  <c r="CI57" i="272"/>
  <c r="CH57" i="272"/>
  <c r="CG57" i="272"/>
  <c r="CF57" i="272"/>
  <c r="CE57" i="272"/>
  <c r="CD57" i="272"/>
  <c r="CC57" i="272"/>
  <c r="CB57" i="272"/>
  <c r="CA57" i="272"/>
  <c r="BZ57" i="272"/>
  <c r="BY57" i="272"/>
  <c r="BX57" i="272"/>
  <c r="BW57" i="272"/>
  <c r="BV57" i="272"/>
  <c r="BU57" i="272"/>
  <c r="BT57" i="272"/>
  <c r="BS57" i="272"/>
  <c r="BR57" i="272"/>
  <c r="BQ57" i="272"/>
  <c r="BP57" i="272"/>
  <c r="BO57" i="272"/>
  <c r="BN57" i="272"/>
  <c r="BM57" i="272"/>
  <c r="BL57" i="272"/>
  <c r="BK57" i="272"/>
  <c r="BJ57" i="272"/>
  <c r="BI57" i="272"/>
  <c r="BH57" i="272"/>
  <c r="BG57" i="272"/>
  <c r="BF57" i="272"/>
  <c r="BE57" i="272"/>
  <c r="BD57" i="272"/>
  <c r="BC57" i="272"/>
  <c r="BB57" i="272"/>
  <c r="BA57" i="272"/>
  <c r="AZ57" i="272"/>
  <c r="AY57" i="272"/>
  <c r="AX57" i="272"/>
  <c r="AW57" i="272"/>
  <c r="AV57" i="272"/>
  <c r="AU57" i="272"/>
  <c r="AT57" i="272"/>
  <c r="AS57" i="272"/>
  <c r="AR57" i="272"/>
  <c r="AQ57" i="272"/>
  <c r="AP57" i="272"/>
  <c r="AO57" i="272"/>
  <c r="AN57" i="272"/>
  <c r="AM57" i="272"/>
  <c r="AL57" i="272"/>
  <c r="AK57" i="272"/>
  <c r="AJ57" i="272"/>
  <c r="AI57" i="272"/>
  <c r="AH57" i="272"/>
  <c r="AG57" i="272"/>
  <c r="AF57" i="272"/>
  <c r="AE57" i="272"/>
  <c r="AD57" i="272"/>
  <c r="AB57" i="272"/>
  <c r="Z57" i="272"/>
  <c r="Y57" i="272"/>
  <c r="T57" i="272"/>
  <c r="U57" i="272" s="1"/>
  <c r="AA57" i="272" s="1"/>
  <c r="Q57" i="272"/>
  <c r="O57" i="272"/>
  <c r="DY57" i="272" s="1"/>
  <c r="N57" i="272"/>
  <c r="M57" i="272"/>
  <c r="G57" i="272"/>
  <c r="C57" i="272"/>
  <c r="HR56" i="272"/>
  <c r="HQ56" i="272"/>
  <c r="HP56" i="272"/>
  <c r="HO56" i="272"/>
  <c r="HN56" i="272"/>
  <c r="HM56" i="272"/>
  <c r="HL56" i="272"/>
  <c r="HK56" i="272"/>
  <c r="HJ56" i="272"/>
  <c r="HI56" i="272"/>
  <c r="HH56" i="272"/>
  <c r="HG56" i="272"/>
  <c r="HF56" i="272"/>
  <c r="HE56" i="272"/>
  <c r="HD56" i="272"/>
  <c r="HC56" i="272"/>
  <c r="HB56" i="272"/>
  <c r="HA56" i="272"/>
  <c r="GZ56" i="272"/>
  <c r="GY56" i="272"/>
  <c r="GX56" i="272"/>
  <c r="GW56" i="272"/>
  <c r="GV56" i="272"/>
  <c r="GU56" i="272"/>
  <c r="GT56" i="272"/>
  <c r="GS56" i="272"/>
  <c r="GR56" i="272"/>
  <c r="GQ56" i="272"/>
  <c r="GP56" i="272"/>
  <c r="GO56" i="272"/>
  <c r="GN56" i="272"/>
  <c r="GM56" i="272"/>
  <c r="GL56" i="272"/>
  <c r="GK56" i="272"/>
  <c r="GJ56" i="272"/>
  <c r="GI56" i="272"/>
  <c r="GH56" i="272"/>
  <c r="GG56" i="272"/>
  <c r="GF56" i="272"/>
  <c r="GE56" i="272"/>
  <c r="GD56" i="272"/>
  <c r="GC56" i="272"/>
  <c r="GB56" i="272"/>
  <c r="GA56" i="272"/>
  <c r="FZ56" i="272"/>
  <c r="FY56" i="272"/>
  <c r="FX56" i="272"/>
  <c r="FW56" i="272"/>
  <c r="FV56" i="272"/>
  <c r="FU56" i="272"/>
  <c r="FT56" i="272"/>
  <c r="FS56" i="272"/>
  <c r="FR56" i="272"/>
  <c r="FQ56" i="272"/>
  <c r="FP56" i="272"/>
  <c r="FO56" i="272"/>
  <c r="FN56" i="272"/>
  <c r="FM56" i="272"/>
  <c r="FL56" i="272"/>
  <c r="FK56" i="272"/>
  <c r="FJ56" i="272"/>
  <c r="FI56" i="272"/>
  <c r="FH56" i="272"/>
  <c r="FG56" i="272"/>
  <c r="FF56" i="272"/>
  <c r="FE56" i="272"/>
  <c r="FD56" i="272"/>
  <c r="FC56" i="272"/>
  <c r="FB56" i="272"/>
  <c r="FA56" i="272"/>
  <c r="EZ56" i="272"/>
  <c r="EY56" i="272"/>
  <c r="EX56" i="272"/>
  <c r="EW56" i="272"/>
  <c r="EV56" i="272"/>
  <c r="EU56" i="272"/>
  <c r="ET56" i="272"/>
  <c r="ES56" i="272"/>
  <c r="ER56" i="272"/>
  <c r="EQ56" i="272"/>
  <c r="EP56" i="272"/>
  <c r="EO56" i="272"/>
  <c r="EN56" i="272"/>
  <c r="EM56" i="272"/>
  <c r="EL56" i="272"/>
  <c r="EK56" i="272"/>
  <c r="EJ56" i="272"/>
  <c r="EI56" i="272"/>
  <c r="EH56" i="272"/>
  <c r="EG56" i="272"/>
  <c r="EF56" i="272"/>
  <c r="EE56" i="272"/>
  <c r="ED56" i="272"/>
  <c r="EC56" i="272"/>
  <c r="EB56" i="272"/>
  <c r="EA56" i="272"/>
  <c r="DX56" i="272"/>
  <c r="DW56" i="272"/>
  <c r="DT56" i="272"/>
  <c r="DS56" i="272"/>
  <c r="DR56" i="272"/>
  <c r="DQ56" i="272"/>
  <c r="DP56" i="272"/>
  <c r="DO56" i="272"/>
  <c r="DN56" i="272"/>
  <c r="DM56" i="272"/>
  <c r="DL56" i="272"/>
  <c r="DK56" i="272"/>
  <c r="DJ56" i="272"/>
  <c r="DI56" i="272"/>
  <c r="DH56" i="272"/>
  <c r="DG56" i="272"/>
  <c r="DF56" i="272"/>
  <c r="DE56" i="272"/>
  <c r="DD56" i="272"/>
  <c r="DC56" i="272"/>
  <c r="DB56" i="272"/>
  <c r="DA56" i="272"/>
  <c r="CZ56" i="272"/>
  <c r="CY56" i="272"/>
  <c r="CX56" i="272"/>
  <c r="CW56" i="272"/>
  <c r="CV56" i="272"/>
  <c r="CU56" i="272"/>
  <c r="CT56" i="272"/>
  <c r="CS56" i="272"/>
  <c r="CR56" i="272"/>
  <c r="CQ56" i="272"/>
  <c r="CP56" i="272"/>
  <c r="CO56" i="272"/>
  <c r="CN56" i="272"/>
  <c r="CM56" i="272"/>
  <c r="CL56" i="272"/>
  <c r="CK56" i="272"/>
  <c r="CJ56" i="272"/>
  <c r="CI56" i="272"/>
  <c r="CH56" i="272"/>
  <c r="CG56" i="272"/>
  <c r="CF56" i="272"/>
  <c r="CE56" i="272"/>
  <c r="CD56" i="272"/>
  <c r="CC56" i="272"/>
  <c r="CB56" i="272"/>
  <c r="CA56" i="272"/>
  <c r="BZ56" i="272"/>
  <c r="BY56" i="272"/>
  <c r="BX56" i="272"/>
  <c r="BW56" i="272"/>
  <c r="BV56" i="272"/>
  <c r="BU56" i="272"/>
  <c r="BT56" i="272"/>
  <c r="BS56" i="272"/>
  <c r="BR56" i="272"/>
  <c r="BQ56" i="272"/>
  <c r="BP56" i="272"/>
  <c r="BO56" i="272"/>
  <c r="BN56" i="272"/>
  <c r="BM56" i="272"/>
  <c r="BL56" i="272"/>
  <c r="BK56" i="272"/>
  <c r="BJ56" i="272"/>
  <c r="BI56" i="272"/>
  <c r="BH56" i="272"/>
  <c r="BG56" i="272"/>
  <c r="BF56" i="272"/>
  <c r="BE56" i="272"/>
  <c r="BD56" i="272"/>
  <c r="BC56" i="272"/>
  <c r="BB56" i="272"/>
  <c r="BA56" i="272"/>
  <c r="AZ56" i="272"/>
  <c r="AY56" i="272"/>
  <c r="AX56" i="272"/>
  <c r="AW56" i="272"/>
  <c r="AV56" i="272"/>
  <c r="AU56" i="272"/>
  <c r="AT56" i="272"/>
  <c r="AS56" i="272"/>
  <c r="AR56" i="272"/>
  <c r="AQ56" i="272"/>
  <c r="AP56" i="272"/>
  <c r="AO56" i="272"/>
  <c r="AN56" i="272"/>
  <c r="AM56" i="272"/>
  <c r="AL56" i="272"/>
  <c r="AK56" i="272"/>
  <c r="AJ56" i="272"/>
  <c r="AI56" i="272"/>
  <c r="AH56" i="272"/>
  <c r="AG56" i="272"/>
  <c r="AF56" i="272"/>
  <c r="AE56" i="272"/>
  <c r="AD56" i="272"/>
  <c r="AC56" i="272"/>
  <c r="Z56" i="272"/>
  <c r="Y56" i="272"/>
  <c r="T56" i="272"/>
  <c r="U56" i="272" s="1"/>
  <c r="AA56" i="272" s="1"/>
  <c r="R56" i="272"/>
  <c r="N56" i="272"/>
  <c r="M56" i="272"/>
  <c r="G56" i="272"/>
  <c r="C56" i="272"/>
  <c r="D7" i="272"/>
  <c r="B10" i="272"/>
  <c r="T121" i="272"/>
  <c r="U121" i="272" s="1"/>
  <c r="T120" i="272"/>
  <c r="T113" i="272"/>
  <c r="T112" i="272"/>
  <c r="T111" i="272"/>
  <c r="U111" i="272" s="1"/>
  <c r="T110" i="272"/>
  <c r="T109" i="272"/>
  <c r="N121" i="272"/>
  <c r="N120" i="272"/>
  <c r="N113" i="272"/>
  <c r="N112" i="272"/>
  <c r="N111" i="272"/>
  <c r="N110" i="272"/>
  <c r="N109" i="272"/>
  <c r="G121" i="272"/>
  <c r="G120" i="272"/>
  <c r="G113" i="272"/>
  <c r="G112" i="272"/>
  <c r="G111" i="272"/>
  <c r="G110" i="272"/>
  <c r="G109" i="272"/>
  <c r="C121" i="272"/>
  <c r="C120" i="272"/>
  <c r="C113" i="272"/>
  <c r="C112" i="272"/>
  <c r="C111" i="272"/>
  <c r="C110" i="272"/>
  <c r="C109" i="272"/>
  <c r="T103" i="272"/>
  <c r="U103" i="272" s="1"/>
  <c r="T102" i="272"/>
  <c r="T95" i="272"/>
  <c r="T94" i="272"/>
  <c r="T93" i="272"/>
  <c r="U93" i="272" s="1"/>
  <c r="T92" i="272"/>
  <c r="T91" i="272"/>
  <c r="T90" i="272"/>
  <c r="U90" i="272" s="1"/>
  <c r="BY90" i="272" s="1"/>
  <c r="T89" i="272"/>
  <c r="U89" i="272" s="1"/>
  <c r="BX89" i="272" s="1"/>
  <c r="T88" i="272"/>
  <c r="T87" i="272"/>
  <c r="T86" i="272"/>
  <c r="U86" i="272" s="1"/>
  <c r="T85" i="272"/>
  <c r="T84" i="272"/>
  <c r="T83" i="272"/>
  <c r="T82" i="272"/>
  <c r="U82" i="272" s="1"/>
  <c r="BV82" i="272" s="1"/>
  <c r="T81" i="272"/>
  <c r="T80" i="272"/>
  <c r="N103" i="272"/>
  <c r="N102" i="272"/>
  <c r="N95" i="272"/>
  <c r="N94" i="272"/>
  <c r="N93" i="272"/>
  <c r="N92" i="272"/>
  <c r="N91" i="272"/>
  <c r="N90" i="272"/>
  <c r="N89" i="272"/>
  <c r="N88" i="272"/>
  <c r="N87" i="272"/>
  <c r="N86" i="272"/>
  <c r="N85" i="272"/>
  <c r="N84" i="272"/>
  <c r="N83" i="272"/>
  <c r="N82" i="272"/>
  <c r="N81" i="272"/>
  <c r="N80" i="272"/>
  <c r="G103" i="272"/>
  <c r="G102" i="272"/>
  <c r="G95" i="272"/>
  <c r="G94" i="272"/>
  <c r="G93" i="272"/>
  <c r="G92" i="272"/>
  <c r="G91" i="272"/>
  <c r="G90" i="272"/>
  <c r="G89" i="272"/>
  <c r="G88" i="272"/>
  <c r="G87" i="272"/>
  <c r="G86" i="272"/>
  <c r="G85" i="272"/>
  <c r="G84" i="272"/>
  <c r="G83" i="272"/>
  <c r="G82" i="272"/>
  <c r="G81" i="272"/>
  <c r="G80" i="272"/>
  <c r="C103" i="272"/>
  <c r="C102" i="272"/>
  <c r="C95" i="272"/>
  <c r="C94" i="272"/>
  <c r="C93" i="272"/>
  <c r="C92" i="272"/>
  <c r="C91" i="272"/>
  <c r="C90" i="272"/>
  <c r="C89" i="272"/>
  <c r="C88" i="272"/>
  <c r="C87" i="272"/>
  <c r="C86" i="272"/>
  <c r="C85" i="272"/>
  <c r="C84" i="272"/>
  <c r="C83" i="272"/>
  <c r="C82" i="272"/>
  <c r="C81" i="272"/>
  <c r="C80" i="272"/>
  <c r="T74" i="272"/>
  <c r="U74" i="272" s="1"/>
  <c r="T73" i="272"/>
  <c r="T55" i="272"/>
  <c r="T54" i="272"/>
  <c r="U54" i="272" s="1"/>
  <c r="AA54" i="272" s="1"/>
  <c r="T53" i="272"/>
  <c r="U53" i="272" s="1"/>
  <c r="AA53" i="272" s="1"/>
  <c r="T52" i="272"/>
  <c r="T51" i="272"/>
  <c r="T50" i="272"/>
  <c r="U50" i="272" s="1"/>
  <c r="Z50" i="272" s="1"/>
  <c r="T49" i="272"/>
  <c r="U49" i="272" s="1"/>
  <c r="Z49" i="272" s="1"/>
  <c r="T48" i="272"/>
  <c r="T47" i="272"/>
  <c r="T46" i="272"/>
  <c r="T45" i="272"/>
  <c r="T44" i="272"/>
  <c r="T43" i="272"/>
  <c r="T42" i="272"/>
  <c r="T41" i="272"/>
  <c r="U41" i="272" s="1"/>
  <c r="AB41" i="272" s="1"/>
  <c r="T40" i="272"/>
  <c r="T39" i="272"/>
  <c r="T38" i="272"/>
  <c r="U38" i="272" s="1"/>
  <c r="Z38" i="272" s="1"/>
  <c r="T37" i="272"/>
  <c r="U37" i="272" s="1"/>
  <c r="Z37" i="272" s="1"/>
  <c r="T36" i="272"/>
  <c r="T35" i="272"/>
  <c r="T34" i="272"/>
  <c r="U34" i="272" s="1"/>
  <c r="Z34" i="272" s="1"/>
  <c r="T33" i="272"/>
  <c r="T32" i="272"/>
  <c r="T31" i="272"/>
  <c r="T30" i="272"/>
  <c r="T29" i="272"/>
  <c r="U29" i="272" s="1"/>
  <c r="Z29" i="272" s="1"/>
  <c r="T28" i="272"/>
  <c r="T27" i="272"/>
  <c r="T26" i="272"/>
  <c r="U26" i="272" s="1"/>
  <c r="Y26" i="272" s="1"/>
  <c r="T25" i="272"/>
  <c r="U25" i="272" s="1"/>
  <c r="Y25" i="272" s="1"/>
  <c r="T24" i="272"/>
  <c r="T23" i="272"/>
  <c r="T22" i="272"/>
  <c r="U22" i="272" s="1"/>
  <c r="Y22" i="272" s="1"/>
  <c r="T21" i="272"/>
  <c r="U21" i="272" s="1"/>
  <c r="Y21" i="272" s="1"/>
  <c r="T20" i="272"/>
  <c r="T19" i="272"/>
  <c r="T18" i="272"/>
  <c r="U18" i="272" s="1"/>
  <c r="Y18" i="272" s="1"/>
  <c r="T17" i="272"/>
  <c r="U17" i="272" s="1"/>
  <c r="Y17" i="272" s="1"/>
  <c r="T16" i="272"/>
  <c r="T15" i="272"/>
  <c r="T14" i="272"/>
  <c r="U14" i="272" s="1"/>
  <c r="N74" i="272"/>
  <c r="N73" i="272"/>
  <c r="N55" i="272"/>
  <c r="N54" i="272"/>
  <c r="N53" i="272"/>
  <c r="N52" i="272"/>
  <c r="N50" i="272"/>
  <c r="N49" i="272"/>
  <c r="N48" i="272"/>
  <c r="N47" i="272"/>
  <c r="N46" i="272"/>
  <c r="N45" i="272"/>
  <c r="N44" i="272"/>
  <c r="N43" i="272"/>
  <c r="N42" i="272"/>
  <c r="N41" i="272"/>
  <c r="N40" i="272"/>
  <c r="N39" i="272"/>
  <c r="N38" i="272"/>
  <c r="N37" i="272"/>
  <c r="N36" i="272"/>
  <c r="N35" i="272"/>
  <c r="N34" i="272"/>
  <c r="N33" i="272"/>
  <c r="N32" i="272"/>
  <c r="N31" i="272"/>
  <c r="N30" i="272"/>
  <c r="N29" i="272"/>
  <c r="N28" i="272"/>
  <c r="N27" i="272"/>
  <c r="N26" i="272"/>
  <c r="N25" i="272"/>
  <c r="N24" i="272"/>
  <c r="N23" i="272"/>
  <c r="N22" i="272"/>
  <c r="N21" i="272"/>
  <c r="N20" i="272"/>
  <c r="N19" i="272"/>
  <c r="N18" i="272"/>
  <c r="N17" i="272"/>
  <c r="N16" i="272"/>
  <c r="N15" i="272"/>
  <c r="N14" i="272"/>
  <c r="G74" i="272"/>
  <c r="G73" i="272"/>
  <c r="G55" i="272"/>
  <c r="G54" i="272"/>
  <c r="G53" i="272"/>
  <c r="G52" i="272"/>
  <c r="G51" i="272"/>
  <c r="G50" i="272"/>
  <c r="G49" i="272"/>
  <c r="G48" i="272"/>
  <c r="G47" i="272"/>
  <c r="G46" i="272"/>
  <c r="G45" i="272"/>
  <c r="G44" i="272"/>
  <c r="G43" i="272"/>
  <c r="G42" i="272"/>
  <c r="G41" i="272"/>
  <c r="G40" i="272"/>
  <c r="G39" i="272"/>
  <c r="G38" i="272"/>
  <c r="G37" i="272"/>
  <c r="G36" i="272"/>
  <c r="G35" i="272"/>
  <c r="G34" i="272"/>
  <c r="G33" i="272"/>
  <c r="G32" i="272"/>
  <c r="G31" i="272"/>
  <c r="G30" i="272"/>
  <c r="G29" i="272"/>
  <c r="G28" i="272"/>
  <c r="G27" i="272"/>
  <c r="G26" i="272"/>
  <c r="G25" i="272"/>
  <c r="G24" i="272"/>
  <c r="G23" i="272"/>
  <c r="G22" i="272"/>
  <c r="G21" i="272"/>
  <c r="G20" i="272"/>
  <c r="G19" i="272"/>
  <c r="G18" i="272"/>
  <c r="G17" i="272"/>
  <c r="G16" i="272"/>
  <c r="G15" i="272"/>
  <c r="G14" i="272"/>
  <c r="C74" i="272"/>
  <c r="C73" i="272"/>
  <c r="C55" i="272"/>
  <c r="C54" i="272"/>
  <c r="C53" i="272"/>
  <c r="C52" i="272"/>
  <c r="C51" i="272"/>
  <c r="C50" i="272"/>
  <c r="C49" i="272"/>
  <c r="C48" i="272"/>
  <c r="C47" i="272"/>
  <c r="C46" i="272"/>
  <c r="C45" i="272"/>
  <c r="C44" i="272"/>
  <c r="C43" i="272"/>
  <c r="C42" i="272"/>
  <c r="C41" i="272"/>
  <c r="C40" i="272"/>
  <c r="C39" i="272"/>
  <c r="C38" i="272"/>
  <c r="C37" i="272"/>
  <c r="C36" i="272"/>
  <c r="C35" i="272"/>
  <c r="C34" i="272"/>
  <c r="C33" i="272"/>
  <c r="C32" i="272"/>
  <c r="C31" i="272"/>
  <c r="C30" i="272"/>
  <c r="C29" i="272"/>
  <c r="C28" i="272"/>
  <c r="C27" i="272"/>
  <c r="C26" i="272"/>
  <c r="C25" i="272"/>
  <c r="C24" i="272"/>
  <c r="C23" i="272"/>
  <c r="C22" i="272"/>
  <c r="C21" i="272"/>
  <c r="C20" i="272"/>
  <c r="C19" i="272"/>
  <c r="C18" i="272"/>
  <c r="C17" i="272"/>
  <c r="C16" i="272"/>
  <c r="C15" i="272"/>
  <c r="C14" i="272"/>
  <c r="HR55" i="272"/>
  <c r="HQ55" i="272"/>
  <c r="HP55" i="272"/>
  <c r="HO55" i="272"/>
  <c r="HN55" i="272"/>
  <c r="HM55" i="272"/>
  <c r="HL55" i="272"/>
  <c r="HK55" i="272"/>
  <c r="HJ55" i="272"/>
  <c r="HI55" i="272"/>
  <c r="HH55" i="272"/>
  <c r="HG55" i="272"/>
  <c r="HF55" i="272"/>
  <c r="HE55" i="272"/>
  <c r="HD55" i="272"/>
  <c r="HC55" i="272"/>
  <c r="HB55" i="272"/>
  <c r="HA55" i="272"/>
  <c r="GZ55" i="272"/>
  <c r="GY55" i="272"/>
  <c r="GX55" i="272"/>
  <c r="GW55" i="272"/>
  <c r="GV55" i="272"/>
  <c r="GU55" i="272"/>
  <c r="GT55" i="272"/>
  <c r="GS55" i="272"/>
  <c r="GR55" i="272"/>
  <c r="GQ55" i="272"/>
  <c r="GP55" i="272"/>
  <c r="GO55" i="272"/>
  <c r="GN55" i="272"/>
  <c r="GM55" i="272"/>
  <c r="GL55" i="272"/>
  <c r="GK55" i="272"/>
  <c r="GJ55" i="272"/>
  <c r="GI55" i="272"/>
  <c r="GH55" i="272"/>
  <c r="GG55" i="272"/>
  <c r="GF55" i="272"/>
  <c r="GE55" i="272"/>
  <c r="GD55" i="272"/>
  <c r="GC55" i="272"/>
  <c r="GB55" i="272"/>
  <c r="GA55" i="272"/>
  <c r="FZ55" i="272"/>
  <c r="FY55" i="272"/>
  <c r="FX55" i="272"/>
  <c r="FW55" i="272"/>
  <c r="FV55" i="272"/>
  <c r="FU55" i="272"/>
  <c r="FT55" i="272"/>
  <c r="FS55" i="272"/>
  <c r="FR55" i="272"/>
  <c r="FQ55" i="272"/>
  <c r="FP55" i="272"/>
  <c r="FO55" i="272"/>
  <c r="FN55" i="272"/>
  <c r="FM55" i="272"/>
  <c r="FL55" i="272"/>
  <c r="FK55" i="272"/>
  <c r="FJ55" i="272"/>
  <c r="FI55" i="272"/>
  <c r="FH55" i="272"/>
  <c r="FG55" i="272"/>
  <c r="FF55" i="272"/>
  <c r="FE55" i="272"/>
  <c r="FD55" i="272"/>
  <c r="FC55" i="272"/>
  <c r="FB55" i="272"/>
  <c r="FA55" i="272"/>
  <c r="EZ55" i="272"/>
  <c r="EY55" i="272"/>
  <c r="EX55" i="272"/>
  <c r="EW55" i="272"/>
  <c r="EV55" i="272"/>
  <c r="EU55" i="272"/>
  <c r="ET55" i="272"/>
  <c r="ES55" i="272"/>
  <c r="ER55" i="272"/>
  <c r="EQ55" i="272"/>
  <c r="EP55" i="272"/>
  <c r="EO55" i="272"/>
  <c r="EN55" i="272"/>
  <c r="EM55" i="272"/>
  <c r="EL55" i="272"/>
  <c r="EK55" i="272"/>
  <c r="EJ55" i="272"/>
  <c r="EI55" i="272"/>
  <c r="EH55" i="272"/>
  <c r="EG55" i="272"/>
  <c r="EF55" i="272"/>
  <c r="EE55" i="272"/>
  <c r="ED55" i="272"/>
  <c r="EC55" i="272"/>
  <c r="EB55" i="272"/>
  <c r="EA55" i="272"/>
  <c r="DX55" i="272"/>
  <c r="DW55" i="272"/>
  <c r="DT55" i="272"/>
  <c r="DS55" i="272"/>
  <c r="DR55" i="272"/>
  <c r="DQ55" i="272"/>
  <c r="DP55" i="272"/>
  <c r="DO55" i="272"/>
  <c r="DN55" i="272"/>
  <c r="DM55" i="272"/>
  <c r="DL55" i="272"/>
  <c r="DK55" i="272"/>
  <c r="DJ55" i="272"/>
  <c r="DI55" i="272"/>
  <c r="DH55" i="272"/>
  <c r="DG55" i="272"/>
  <c r="DF55" i="272"/>
  <c r="DE55" i="272"/>
  <c r="DD55" i="272"/>
  <c r="DC55" i="272"/>
  <c r="DB55" i="272"/>
  <c r="DA55" i="272"/>
  <c r="CZ55" i="272"/>
  <c r="CY55" i="272"/>
  <c r="CX55" i="272"/>
  <c r="CW55" i="272"/>
  <c r="CV55" i="272"/>
  <c r="CU55" i="272"/>
  <c r="CT55" i="272"/>
  <c r="CS55" i="272"/>
  <c r="CR55" i="272"/>
  <c r="CQ55" i="272"/>
  <c r="CP55" i="272"/>
  <c r="CO55" i="272"/>
  <c r="CN55" i="272"/>
  <c r="CM55" i="272"/>
  <c r="CL55" i="272"/>
  <c r="CK55" i="272"/>
  <c r="CJ55" i="272"/>
  <c r="CI55" i="272"/>
  <c r="CH55" i="272"/>
  <c r="CG55" i="272"/>
  <c r="CF55" i="272"/>
  <c r="CE55" i="272"/>
  <c r="CD55" i="272"/>
  <c r="CC55" i="272"/>
  <c r="CB55" i="272"/>
  <c r="CA55" i="272"/>
  <c r="BZ55" i="272"/>
  <c r="BY55" i="272"/>
  <c r="BX55" i="272"/>
  <c r="BW55" i="272"/>
  <c r="BV55" i="272"/>
  <c r="BU55" i="272"/>
  <c r="BT55" i="272"/>
  <c r="BS55" i="272"/>
  <c r="BR55" i="272"/>
  <c r="BQ55" i="272"/>
  <c r="BP55" i="272"/>
  <c r="BO55" i="272"/>
  <c r="BN55" i="272"/>
  <c r="BM55" i="272"/>
  <c r="BL55" i="272"/>
  <c r="BK55" i="272"/>
  <c r="BJ55" i="272"/>
  <c r="BI55" i="272"/>
  <c r="BH55" i="272"/>
  <c r="BG55" i="272"/>
  <c r="BF55" i="272"/>
  <c r="BE55" i="272"/>
  <c r="BD55" i="272"/>
  <c r="BC55" i="272"/>
  <c r="BB55" i="272"/>
  <c r="BA55" i="272"/>
  <c r="AZ55" i="272"/>
  <c r="AY55" i="272"/>
  <c r="AX55" i="272"/>
  <c r="AW55" i="272"/>
  <c r="AV55" i="272"/>
  <c r="AU55" i="272"/>
  <c r="AT55" i="272"/>
  <c r="AS55" i="272"/>
  <c r="AR55" i="272"/>
  <c r="AQ55" i="272"/>
  <c r="AP55" i="272"/>
  <c r="AO55" i="272"/>
  <c r="AN55" i="272"/>
  <c r="AM55" i="272"/>
  <c r="AL55" i="272"/>
  <c r="AK55" i="272"/>
  <c r="AJ55" i="272"/>
  <c r="AI55" i="272"/>
  <c r="AH55" i="272"/>
  <c r="AG55" i="272"/>
  <c r="AF55" i="272"/>
  <c r="AE55" i="272"/>
  <c r="AD55" i="272"/>
  <c r="AC55" i="272"/>
  <c r="Z55" i="272"/>
  <c r="Y55" i="272"/>
  <c r="U55" i="272"/>
  <c r="AA55" i="272" s="1"/>
  <c r="Q55" i="272"/>
  <c r="O55" i="272"/>
  <c r="DY55" i="272" s="1"/>
  <c r="M55" i="272"/>
  <c r="HR54" i="272"/>
  <c r="HQ54" i="272"/>
  <c r="HP54" i="272"/>
  <c r="HO54" i="272"/>
  <c r="HN54" i="272"/>
  <c r="HM54" i="272"/>
  <c r="HL54" i="272"/>
  <c r="HK54" i="272"/>
  <c r="HJ54" i="272"/>
  <c r="HI54" i="272"/>
  <c r="HH54" i="272"/>
  <c r="HG54" i="272"/>
  <c r="HF54" i="272"/>
  <c r="HE54" i="272"/>
  <c r="HD54" i="272"/>
  <c r="HC54" i="272"/>
  <c r="HB54" i="272"/>
  <c r="HA54" i="272"/>
  <c r="GZ54" i="272"/>
  <c r="GY54" i="272"/>
  <c r="GX54" i="272"/>
  <c r="GW54" i="272"/>
  <c r="GV54" i="272"/>
  <c r="GU54" i="272"/>
  <c r="GT54" i="272"/>
  <c r="GS54" i="272"/>
  <c r="GR54" i="272"/>
  <c r="GQ54" i="272"/>
  <c r="GP54" i="272"/>
  <c r="GO54" i="272"/>
  <c r="GN54" i="272"/>
  <c r="GM54" i="272"/>
  <c r="GL54" i="272"/>
  <c r="GK54" i="272"/>
  <c r="GJ54" i="272"/>
  <c r="GI54" i="272"/>
  <c r="GH54" i="272"/>
  <c r="GG54" i="272"/>
  <c r="GF54" i="272"/>
  <c r="GE54" i="272"/>
  <c r="GD54" i="272"/>
  <c r="GC54" i="272"/>
  <c r="GB54" i="272"/>
  <c r="GA54" i="272"/>
  <c r="FZ54" i="272"/>
  <c r="FY54" i="272"/>
  <c r="FX54" i="272"/>
  <c r="FW54" i="272"/>
  <c r="FV54" i="272"/>
  <c r="FU54" i="272"/>
  <c r="FT54" i="272"/>
  <c r="FS54" i="272"/>
  <c r="FR54" i="272"/>
  <c r="FQ54" i="272"/>
  <c r="FP54" i="272"/>
  <c r="FO54" i="272"/>
  <c r="FN54" i="272"/>
  <c r="FM54" i="272"/>
  <c r="FL54" i="272"/>
  <c r="FK54" i="272"/>
  <c r="FJ54" i="272"/>
  <c r="FI54" i="272"/>
  <c r="FH54" i="272"/>
  <c r="FG54" i="272"/>
  <c r="FF54" i="272"/>
  <c r="FE54" i="272"/>
  <c r="FD54" i="272"/>
  <c r="FC54" i="272"/>
  <c r="FB54" i="272"/>
  <c r="FA54" i="272"/>
  <c r="EZ54" i="272"/>
  <c r="EY54" i="272"/>
  <c r="EX54" i="272"/>
  <c r="EW54" i="272"/>
  <c r="EV54" i="272"/>
  <c r="EU54" i="272"/>
  <c r="ET54" i="272"/>
  <c r="ES54" i="272"/>
  <c r="ER54" i="272"/>
  <c r="EQ54" i="272"/>
  <c r="EP54" i="272"/>
  <c r="EO54" i="272"/>
  <c r="EN54" i="272"/>
  <c r="EM54" i="272"/>
  <c r="EL54" i="272"/>
  <c r="EK54" i="272"/>
  <c r="EJ54" i="272"/>
  <c r="EI54" i="272"/>
  <c r="EH54" i="272"/>
  <c r="EG54" i="272"/>
  <c r="EF54" i="272"/>
  <c r="EE54" i="272"/>
  <c r="ED54" i="272"/>
  <c r="EC54" i="272"/>
  <c r="EB54" i="272"/>
  <c r="EA54" i="272"/>
  <c r="DZ54" i="272"/>
  <c r="DX54" i="272"/>
  <c r="DW54" i="272"/>
  <c r="DT54" i="272"/>
  <c r="DS54" i="272"/>
  <c r="DR54" i="272"/>
  <c r="DQ54" i="272"/>
  <c r="DP54" i="272"/>
  <c r="DO54" i="272"/>
  <c r="DN54" i="272"/>
  <c r="DM54" i="272"/>
  <c r="DL54" i="272"/>
  <c r="DK54" i="272"/>
  <c r="DJ54" i="272"/>
  <c r="DI54" i="272"/>
  <c r="DH54" i="272"/>
  <c r="DG54" i="272"/>
  <c r="DF54" i="272"/>
  <c r="DE54" i="272"/>
  <c r="DD54" i="272"/>
  <c r="DC54" i="272"/>
  <c r="DB54" i="272"/>
  <c r="DA54" i="272"/>
  <c r="CZ54" i="272"/>
  <c r="CY54" i="272"/>
  <c r="CX54" i="272"/>
  <c r="CW54" i="272"/>
  <c r="CV54" i="272"/>
  <c r="CU54" i="272"/>
  <c r="CT54" i="272"/>
  <c r="CS54" i="272"/>
  <c r="CR54" i="272"/>
  <c r="CQ54" i="272"/>
  <c r="CP54" i="272"/>
  <c r="CO54" i="272"/>
  <c r="CN54" i="272"/>
  <c r="CM54" i="272"/>
  <c r="CL54" i="272"/>
  <c r="CK54" i="272"/>
  <c r="CJ54" i="272"/>
  <c r="CI54" i="272"/>
  <c r="CH54" i="272"/>
  <c r="CG54" i="272"/>
  <c r="CF54" i="272"/>
  <c r="CE54" i="272"/>
  <c r="CD54" i="272"/>
  <c r="CC54" i="272"/>
  <c r="CB54" i="272"/>
  <c r="CA54" i="272"/>
  <c r="BZ54" i="272"/>
  <c r="BY54" i="272"/>
  <c r="BX54" i="272"/>
  <c r="BW54" i="272"/>
  <c r="BV54" i="272"/>
  <c r="BU54" i="272"/>
  <c r="BT54" i="272"/>
  <c r="BS54" i="272"/>
  <c r="BR54" i="272"/>
  <c r="BQ54" i="272"/>
  <c r="BP54" i="272"/>
  <c r="BO54" i="272"/>
  <c r="BN54" i="272"/>
  <c r="BM54" i="272"/>
  <c r="BL54" i="272"/>
  <c r="BK54" i="272"/>
  <c r="BJ54" i="272"/>
  <c r="BI54" i="272"/>
  <c r="BH54" i="272"/>
  <c r="BG54" i="272"/>
  <c r="BF54" i="272"/>
  <c r="BE54" i="272"/>
  <c r="BD54" i="272"/>
  <c r="BC54" i="272"/>
  <c r="BB54" i="272"/>
  <c r="BA54" i="272"/>
  <c r="AZ54" i="272"/>
  <c r="AY54" i="272"/>
  <c r="AX54" i="272"/>
  <c r="AW54" i="272"/>
  <c r="AV54" i="272"/>
  <c r="AU54" i="272"/>
  <c r="AT54" i="272"/>
  <c r="AS54" i="272"/>
  <c r="AR54" i="272"/>
  <c r="AQ54" i="272"/>
  <c r="AP54" i="272"/>
  <c r="AO54" i="272"/>
  <c r="AN54" i="272"/>
  <c r="AM54" i="272"/>
  <c r="AL54" i="272"/>
  <c r="AK54" i="272"/>
  <c r="AJ54" i="272"/>
  <c r="AI54" i="272"/>
  <c r="AH54" i="272"/>
  <c r="AG54" i="272"/>
  <c r="AF54" i="272"/>
  <c r="AE54" i="272"/>
  <c r="AD54" i="272"/>
  <c r="AC54" i="272"/>
  <c r="AB54" i="272"/>
  <c r="Z54" i="272"/>
  <c r="Y54" i="272"/>
  <c r="R54" i="272"/>
  <c r="M54" i="272"/>
  <c r="I48" i="272"/>
  <c r="M48" i="272" s="1"/>
  <c r="I40" i="272"/>
  <c r="L38" i="272"/>
  <c r="M38" i="272" s="1"/>
  <c r="HR53" i="272"/>
  <c r="HQ53" i="272"/>
  <c r="HP53" i="272"/>
  <c r="HO53" i="272"/>
  <c r="HN53" i="272"/>
  <c r="HM53" i="272"/>
  <c r="HL53" i="272"/>
  <c r="HK53" i="272"/>
  <c r="HJ53" i="272"/>
  <c r="HI53" i="272"/>
  <c r="HH53" i="272"/>
  <c r="HG53" i="272"/>
  <c r="HF53" i="272"/>
  <c r="HE53" i="272"/>
  <c r="HD53" i="272"/>
  <c r="HC53" i="272"/>
  <c r="HB53" i="272"/>
  <c r="HA53" i="272"/>
  <c r="GZ53" i="272"/>
  <c r="GY53" i="272"/>
  <c r="GX53" i="272"/>
  <c r="GW53" i="272"/>
  <c r="GV53" i="272"/>
  <c r="GU53" i="272"/>
  <c r="GT53" i="272"/>
  <c r="GS53" i="272"/>
  <c r="GR53" i="272"/>
  <c r="GQ53" i="272"/>
  <c r="GP53" i="272"/>
  <c r="GO53" i="272"/>
  <c r="GN53" i="272"/>
  <c r="GM53" i="272"/>
  <c r="GL53" i="272"/>
  <c r="GK53" i="272"/>
  <c r="GJ53" i="272"/>
  <c r="GI53" i="272"/>
  <c r="GH53" i="272"/>
  <c r="GG53" i="272"/>
  <c r="GF53" i="272"/>
  <c r="GE53" i="272"/>
  <c r="GD53" i="272"/>
  <c r="GC53" i="272"/>
  <c r="GB53" i="272"/>
  <c r="GA53" i="272"/>
  <c r="FZ53" i="272"/>
  <c r="FY53" i="272"/>
  <c r="FX53" i="272"/>
  <c r="FW53" i="272"/>
  <c r="FV53" i="272"/>
  <c r="FU53" i="272"/>
  <c r="FT53" i="272"/>
  <c r="FS53" i="272"/>
  <c r="FR53" i="272"/>
  <c r="FQ53" i="272"/>
  <c r="FP53" i="272"/>
  <c r="FO53" i="272"/>
  <c r="FN53" i="272"/>
  <c r="FM53" i="272"/>
  <c r="FL53" i="272"/>
  <c r="FK53" i="272"/>
  <c r="FJ53" i="272"/>
  <c r="FI53" i="272"/>
  <c r="FH53" i="272"/>
  <c r="FG53" i="272"/>
  <c r="FF53" i="272"/>
  <c r="FE53" i="272"/>
  <c r="FD53" i="272"/>
  <c r="FC53" i="272"/>
  <c r="FB53" i="272"/>
  <c r="FA53" i="272"/>
  <c r="EZ53" i="272"/>
  <c r="EY53" i="272"/>
  <c r="EX53" i="272"/>
  <c r="EW53" i="272"/>
  <c r="EV53" i="272"/>
  <c r="EU53" i="272"/>
  <c r="ET53" i="272"/>
  <c r="ES53" i="272"/>
  <c r="ER53" i="272"/>
  <c r="EQ53" i="272"/>
  <c r="EP53" i="272"/>
  <c r="EO53" i="272"/>
  <c r="EN53" i="272"/>
  <c r="EM53" i="272"/>
  <c r="EL53" i="272"/>
  <c r="EK53" i="272"/>
  <c r="EJ53" i="272"/>
  <c r="EI53" i="272"/>
  <c r="EH53" i="272"/>
  <c r="EG53" i="272"/>
  <c r="EF53" i="272"/>
  <c r="EE53" i="272"/>
  <c r="ED53" i="272"/>
  <c r="EC53" i="272"/>
  <c r="EB53" i="272"/>
  <c r="EA53" i="272"/>
  <c r="DZ53" i="272"/>
  <c r="DX53" i="272"/>
  <c r="DW53" i="272"/>
  <c r="DT53" i="272"/>
  <c r="DS53" i="272"/>
  <c r="DR53" i="272"/>
  <c r="DQ53" i="272"/>
  <c r="DP53" i="272"/>
  <c r="DO53" i="272"/>
  <c r="DN53" i="272"/>
  <c r="DM53" i="272"/>
  <c r="DL53" i="272"/>
  <c r="DK53" i="272"/>
  <c r="DJ53" i="272"/>
  <c r="DI53" i="272"/>
  <c r="DH53" i="272"/>
  <c r="DG53" i="272"/>
  <c r="DF53" i="272"/>
  <c r="DE53" i="272"/>
  <c r="DD53" i="272"/>
  <c r="DC53" i="272"/>
  <c r="DB53" i="272"/>
  <c r="DA53" i="272"/>
  <c r="CZ53" i="272"/>
  <c r="CY53" i="272"/>
  <c r="CX53" i="272"/>
  <c r="CW53" i="272"/>
  <c r="CV53" i="272"/>
  <c r="CU53" i="272"/>
  <c r="CT53" i="272"/>
  <c r="CS53" i="272"/>
  <c r="CR53" i="272"/>
  <c r="CQ53" i="272"/>
  <c r="CP53" i="272"/>
  <c r="CO53" i="272"/>
  <c r="CN53" i="272"/>
  <c r="CM53" i="272"/>
  <c r="CL53" i="272"/>
  <c r="CK53" i="272"/>
  <c r="CJ53" i="272"/>
  <c r="CI53" i="272"/>
  <c r="CH53" i="272"/>
  <c r="CG53" i="272"/>
  <c r="CF53" i="272"/>
  <c r="CE53" i="272"/>
  <c r="CD53" i="272"/>
  <c r="CC53" i="272"/>
  <c r="CB53" i="272"/>
  <c r="CA53" i="272"/>
  <c r="BZ53" i="272"/>
  <c r="BY53" i="272"/>
  <c r="BX53" i="272"/>
  <c r="BW53" i="272"/>
  <c r="BV53" i="272"/>
  <c r="BU53" i="272"/>
  <c r="BT53" i="272"/>
  <c r="BS53" i="272"/>
  <c r="BR53" i="272"/>
  <c r="BQ53" i="272"/>
  <c r="BP53" i="272"/>
  <c r="BO53" i="272"/>
  <c r="BN53" i="272"/>
  <c r="BM53" i="272"/>
  <c r="BL53" i="272"/>
  <c r="BK53" i="272"/>
  <c r="BJ53" i="272"/>
  <c r="BI53" i="272"/>
  <c r="BH53" i="272"/>
  <c r="BG53" i="272"/>
  <c r="BF53" i="272"/>
  <c r="BE53" i="272"/>
  <c r="BD53" i="272"/>
  <c r="BC53" i="272"/>
  <c r="BB53" i="272"/>
  <c r="BA53" i="272"/>
  <c r="AZ53" i="272"/>
  <c r="AY53" i="272"/>
  <c r="AX53" i="272"/>
  <c r="AW53" i="272"/>
  <c r="AV53" i="272"/>
  <c r="AU53" i="272"/>
  <c r="AT53" i="272"/>
  <c r="AS53" i="272"/>
  <c r="AR53" i="272"/>
  <c r="AQ53" i="272"/>
  <c r="AP53" i="272"/>
  <c r="AO53" i="272"/>
  <c r="AN53" i="272"/>
  <c r="AM53" i="272"/>
  <c r="AL53" i="272"/>
  <c r="AK53" i="272"/>
  <c r="AJ53" i="272"/>
  <c r="AI53" i="272"/>
  <c r="AH53" i="272"/>
  <c r="AG53" i="272"/>
  <c r="AF53" i="272"/>
  <c r="AE53" i="272"/>
  <c r="AD53" i="272"/>
  <c r="AC53" i="272"/>
  <c r="AB53" i="272"/>
  <c r="Z53" i="272"/>
  <c r="Y53" i="272"/>
  <c r="Q53" i="272"/>
  <c r="O53" i="272"/>
  <c r="DY53" i="272" s="1"/>
  <c r="M53" i="272"/>
  <c r="HR52" i="272"/>
  <c r="HQ52" i="272"/>
  <c r="HP52" i="272"/>
  <c r="HO52" i="272"/>
  <c r="HN52" i="272"/>
  <c r="HM52" i="272"/>
  <c r="HL52" i="272"/>
  <c r="HK52" i="272"/>
  <c r="HJ52" i="272"/>
  <c r="HI52" i="272"/>
  <c r="HH52" i="272"/>
  <c r="HG52" i="272"/>
  <c r="HF52" i="272"/>
  <c r="HE52" i="272"/>
  <c r="HD52" i="272"/>
  <c r="HC52" i="272"/>
  <c r="HB52" i="272"/>
  <c r="HA52" i="272"/>
  <c r="GZ52" i="272"/>
  <c r="GY52" i="272"/>
  <c r="GX52" i="272"/>
  <c r="GW52" i="272"/>
  <c r="GV52" i="272"/>
  <c r="GU52" i="272"/>
  <c r="GT52" i="272"/>
  <c r="GS52" i="272"/>
  <c r="GR52" i="272"/>
  <c r="GQ52" i="272"/>
  <c r="GP52" i="272"/>
  <c r="GO52" i="272"/>
  <c r="GN52" i="272"/>
  <c r="GM52" i="272"/>
  <c r="GL52" i="272"/>
  <c r="GK52" i="272"/>
  <c r="GJ52" i="272"/>
  <c r="GI52" i="272"/>
  <c r="GH52" i="272"/>
  <c r="GG52" i="272"/>
  <c r="GF52" i="272"/>
  <c r="GE52" i="272"/>
  <c r="GD52" i="272"/>
  <c r="GC52" i="272"/>
  <c r="GB52" i="272"/>
  <c r="GA52" i="272"/>
  <c r="FZ52" i="272"/>
  <c r="FY52" i="272"/>
  <c r="FX52" i="272"/>
  <c r="FW52" i="272"/>
  <c r="FV52" i="272"/>
  <c r="FU52" i="272"/>
  <c r="FT52" i="272"/>
  <c r="FS52" i="272"/>
  <c r="FR52" i="272"/>
  <c r="FQ52" i="272"/>
  <c r="FP52" i="272"/>
  <c r="FO52" i="272"/>
  <c r="FN52" i="272"/>
  <c r="FM52" i="272"/>
  <c r="FL52" i="272"/>
  <c r="FK52" i="272"/>
  <c r="FJ52" i="272"/>
  <c r="FI52" i="272"/>
  <c r="FH52" i="272"/>
  <c r="FG52" i="272"/>
  <c r="FF52" i="272"/>
  <c r="FE52" i="272"/>
  <c r="FD52" i="272"/>
  <c r="FC52" i="272"/>
  <c r="FB52" i="272"/>
  <c r="FA52" i="272"/>
  <c r="EZ52" i="272"/>
  <c r="EY52" i="272"/>
  <c r="EX52" i="272"/>
  <c r="EW52" i="272"/>
  <c r="EV52" i="272"/>
  <c r="EU52" i="272"/>
  <c r="ET52" i="272"/>
  <c r="ES52" i="272"/>
  <c r="ER52" i="272"/>
  <c r="EQ52" i="272"/>
  <c r="EP52" i="272"/>
  <c r="EO52" i="272"/>
  <c r="EN52" i="272"/>
  <c r="EM52" i="272"/>
  <c r="EL52" i="272"/>
  <c r="EK52" i="272"/>
  <c r="EJ52" i="272"/>
  <c r="EI52" i="272"/>
  <c r="EH52" i="272"/>
  <c r="EG52" i="272"/>
  <c r="EF52" i="272"/>
  <c r="EE52" i="272"/>
  <c r="ED52" i="272"/>
  <c r="EC52" i="272"/>
  <c r="EB52" i="272"/>
  <c r="EA52" i="272"/>
  <c r="DZ52" i="272"/>
  <c r="DY52" i="272"/>
  <c r="DX52" i="272"/>
  <c r="DW52" i="272"/>
  <c r="DT52" i="272"/>
  <c r="DS52" i="272"/>
  <c r="DR52" i="272"/>
  <c r="DQ52" i="272"/>
  <c r="DP52" i="272"/>
  <c r="DO52" i="272"/>
  <c r="DN52" i="272"/>
  <c r="DM52" i="272"/>
  <c r="DL52" i="272"/>
  <c r="DK52" i="272"/>
  <c r="DJ52" i="272"/>
  <c r="DI52" i="272"/>
  <c r="DH52" i="272"/>
  <c r="DG52" i="272"/>
  <c r="DF52" i="272"/>
  <c r="DE52" i="272"/>
  <c r="DD52" i="272"/>
  <c r="DC52" i="272"/>
  <c r="DB52" i="272"/>
  <c r="DA52" i="272"/>
  <c r="CZ52" i="272"/>
  <c r="CY52" i="272"/>
  <c r="CX52" i="272"/>
  <c r="CW52" i="272"/>
  <c r="CV52" i="272"/>
  <c r="CU52" i="272"/>
  <c r="CT52" i="272"/>
  <c r="CS52" i="272"/>
  <c r="CR52" i="272"/>
  <c r="CQ52" i="272"/>
  <c r="CP52" i="272"/>
  <c r="CO52" i="272"/>
  <c r="CN52" i="272"/>
  <c r="CM52" i="272"/>
  <c r="CL52" i="272"/>
  <c r="CK52" i="272"/>
  <c r="CJ52" i="272"/>
  <c r="CI52" i="272"/>
  <c r="CH52" i="272"/>
  <c r="CG52" i="272"/>
  <c r="CF52" i="272"/>
  <c r="CE52" i="272"/>
  <c r="CD52" i="272"/>
  <c r="CC52" i="272"/>
  <c r="CB52" i="272"/>
  <c r="CA52" i="272"/>
  <c r="BZ52" i="272"/>
  <c r="BY52" i="272"/>
  <c r="BX52" i="272"/>
  <c r="BW52" i="272"/>
  <c r="BV52" i="272"/>
  <c r="BU52" i="272"/>
  <c r="BT52" i="272"/>
  <c r="BS52" i="272"/>
  <c r="BR52" i="272"/>
  <c r="BQ52" i="272"/>
  <c r="BP52" i="272"/>
  <c r="BO52" i="272"/>
  <c r="BN52" i="272"/>
  <c r="BM52" i="272"/>
  <c r="BL52" i="272"/>
  <c r="BK52" i="272"/>
  <c r="BJ52" i="272"/>
  <c r="BI52" i="272"/>
  <c r="BH52" i="272"/>
  <c r="BG52" i="272"/>
  <c r="BF52" i="272"/>
  <c r="BE52" i="272"/>
  <c r="BD52" i="272"/>
  <c r="BC52" i="272"/>
  <c r="BB52" i="272"/>
  <c r="BA52" i="272"/>
  <c r="AZ52" i="272"/>
  <c r="AY52" i="272"/>
  <c r="AX52" i="272"/>
  <c r="AW52" i="272"/>
  <c r="AV52" i="272"/>
  <c r="AU52" i="272"/>
  <c r="AT52" i="272"/>
  <c r="AS52" i="272"/>
  <c r="AR52" i="272"/>
  <c r="AQ52" i="272"/>
  <c r="AP52" i="272"/>
  <c r="AO52" i="272"/>
  <c r="AN52" i="272"/>
  <c r="AM52" i="272"/>
  <c r="AL52" i="272"/>
  <c r="AK52" i="272"/>
  <c r="AJ52" i="272"/>
  <c r="AI52" i="272"/>
  <c r="AH52" i="272"/>
  <c r="AG52" i="272"/>
  <c r="AF52" i="272"/>
  <c r="AE52" i="272"/>
  <c r="AD52" i="272"/>
  <c r="AC52" i="272"/>
  <c r="AB52" i="272"/>
  <c r="AA52" i="272"/>
  <c r="Z52" i="272"/>
  <c r="Y52" i="272"/>
  <c r="U52" i="272"/>
  <c r="R52" i="272"/>
  <c r="Q52" i="272"/>
  <c r="O52" i="272"/>
  <c r="M52" i="272"/>
  <c r="HR51" i="272"/>
  <c r="HQ51" i="272"/>
  <c r="HP51" i="272"/>
  <c r="HO51" i="272"/>
  <c r="HN51" i="272"/>
  <c r="HM51" i="272"/>
  <c r="HL51" i="272"/>
  <c r="HK51" i="272"/>
  <c r="HJ51" i="272"/>
  <c r="HI51" i="272"/>
  <c r="HH51" i="272"/>
  <c r="HG51" i="272"/>
  <c r="HF51" i="272"/>
  <c r="HE51" i="272"/>
  <c r="HD51" i="272"/>
  <c r="HC51" i="272"/>
  <c r="HB51" i="272"/>
  <c r="HA51" i="272"/>
  <c r="GZ51" i="272"/>
  <c r="GY51" i="272"/>
  <c r="GX51" i="272"/>
  <c r="GW51" i="272"/>
  <c r="GV51" i="272"/>
  <c r="GU51" i="272"/>
  <c r="GT51" i="272"/>
  <c r="GS51" i="272"/>
  <c r="GR51" i="272"/>
  <c r="GQ51" i="272"/>
  <c r="GP51" i="272"/>
  <c r="GO51" i="272"/>
  <c r="GN51" i="272"/>
  <c r="GM51" i="272"/>
  <c r="GL51" i="272"/>
  <c r="GK51" i="272"/>
  <c r="GJ51" i="272"/>
  <c r="GI51" i="272"/>
  <c r="GH51" i="272"/>
  <c r="GG51" i="272"/>
  <c r="GF51" i="272"/>
  <c r="GE51" i="272"/>
  <c r="GD51" i="272"/>
  <c r="GC51" i="272"/>
  <c r="GB51" i="272"/>
  <c r="GA51" i="272"/>
  <c r="FZ51" i="272"/>
  <c r="FY51" i="272"/>
  <c r="FX51" i="272"/>
  <c r="FW51" i="272"/>
  <c r="FV51" i="272"/>
  <c r="FU51" i="272"/>
  <c r="FT51" i="272"/>
  <c r="FS51" i="272"/>
  <c r="FR51" i="272"/>
  <c r="FQ51" i="272"/>
  <c r="FP51" i="272"/>
  <c r="FO51" i="272"/>
  <c r="FN51" i="272"/>
  <c r="FM51" i="272"/>
  <c r="FL51" i="272"/>
  <c r="FK51" i="272"/>
  <c r="FJ51" i="272"/>
  <c r="FI51" i="272"/>
  <c r="FH51" i="272"/>
  <c r="FG51" i="272"/>
  <c r="FF51" i="272"/>
  <c r="FE51" i="272"/>
  <c r="FD51" i="272"/>
  <c r="FC51" i="272"/>
  <c r="FB51" i="272"/>
  <c r="FA51" i="272"/>
  <c r="EZ51" i="272"/>
  <c r="EY51" i="272"/>
  <c r="EX51" i="272"/>
  <c r="EW51" i="272"/>
  <c r="EV51" i="272"/>
  <c r="EU51" i="272"/>
  <c r="ET51" i="272"/>
  <c r="ES51" i="272"/>
  <c r="ER51" i="272"/>
  <c r="EQ51" i="272"/>
  <c r="EP51" i="272"/>
  <c r="EO51" i="272"/>
  <c r="EN51" i="272"/>
  <c r="EM51" i="272"/>
  <c r="EL51" i="272"/>
  <c r="EK51" i="272"/>
  <c r="EJ51" i="272"/>
  <c r="EI51" i="272"/>
  <c r="EH51" i="272"/>
  <c r="EG51" i="272"/>
  <c r="EF51" i="272"/>
  <c r="EE51" i="272"/>
  <c r="ED51" i="272"/>
  <c r="EC51" i="272"/>
  <c r="EB51" i="272"/>
  <c r="EA51" i="272"/>
  <c r="DZ51" i="272"/>
  <c r="DY51" i="272"/>
  <c r="DW51" i="272"/>
  <c r="DT51" i="272"/>
  <c r="DS51" i="272"/>
  <c r="DR51" i="272"/>
  <c r="DQ51" i="272"/>
  <c r="DP51" i="272"/>
  <c r="DO51" i="272"/>
  <c r="DN51" i="272"/>
  <c r="DM51" i="272"/>
  <c r="DL51" i="272"/>
  <c r="DK51" i="272"/>
  <c r="DJ51" i="272"/>
  <c r="DI51" i="272"/>
  <c r="DH51" i="272"/>
  <c r="DG51" i="272"/>
  <c r="DF51" i="272"/>
  <c r="DE51" i="272"/>
  <c r="DD51" i="272"/>
  <c r="DC51" i="272"/>
  <c r="DB51" i="272"/>
  <c r="DA51" i="272"/>
  <c r="CZ51" i="272"/>
  <c r="CY51" i="272"/>
  <c r="CX51" i="272"/>
  <c r="CW51" i="272"/>
  <c r="CV51" i="272"/>
  <c r="CU51" i="272"/>
  <c r="CT51" i="272"/>
  <c r="CS51" i="272"/>
  <c r="CR51" i="272"/>
  <c r="CQ51" i="272"/>
  <c r="CP51" i="272"/>
  <c r="CO51" i="272"/>
  <c r="CN51" i="272"/>
  <c r="CM51" i="272"/>
  <c r="CL51" i="272"/>
  <c r="CK51" i="272"/>
  <c r="CJ51" i="272"/>
  <c r="CI51" i="272"/>
  <c r="CH51" i="272"/>
  <c r="CG51" i="272"/>
  <c r="CF51" i="272"/>
  <c r="CE51" i="272"/>
  <c r="CD51" i="272"/>
  <c r="CC51" i="272"/>
  <c r="CB51" i="272"/>
  <c r="CA51" i="272"/>
  <c r="BZ51" i="272"/>
  <c r="BY51" i="272"/>
  <c r="BX51" i="272"/>
  <c r="BW51" i="272"/>
  <c r="BV51" i="272"/>
  <c r="BU51" i="272"/>
  <c r="BT51" i="272"/>
  <c r="BS51" i="272"/>
  <c r="BR51" i="272"/>
  <c r="BQ51" i="272"/>
  <c r="BP51" i="272"/>
  <c r="BO51" i="272"/>
  <c r="BN51" i="272"/>
  <c r="BM51" i="272"/>
  <c r="BL51" i="272"/>
  <c r="BK51" i="272"/>
  <c r="BJ51" i="272"/>
  <c r="BI51" i="272"/>
  <c r="BH51" i="272"/>
  <c r="BG51" i="272"/>
  <c r="BF51" i="272"/>
  <c r="BE51" i="272"/>
  <c r="BD51" i="272"/>
  <c r="BC51" i="272"/>
  <c r="BB51" i="272"/>
  <c r="BA51" i="272"/>
  <c r="AZ51" i="272"/>
  <c r="AY51" i="272"/>
  <c r="AX51" i="272"/>
  <c r="AW51" i="272"/>
  <c r="AV51" i="272"/>
  <c r="AU51" i="272"/>
  <c r="AT51" i="272"/>
  <c r="AS51" i="272"/>
  <c r="AR51" i="272"/>
  <c r="AQ51" i="272"/>
  <c r="AP51" i="272"/>
  <c r="AO51" i="272"/>
  <c r="AN51" i="272"/>
  <c r="AM51" i="272"/>
  <c r="AL51" i="272"/>
  <c r="AK51" i="272"/>
  <c r="AJ51" i="272"/>
  <c r="AI51" i="272"/>
  <c r="AH51" i="272"/>
  <c r="AG51" i="272"/>
  <c r="AF51" i="272"/>
  <c r="AE51" i="272"/>
  <c r="AD51" i="272"/>
  <c r="AC51" i="272"/>
  <c r="AB51" i="272"/>
  <c r="AA51" i="272"/>
  <c r="Y51" i="272"/>
  <c r="U51" i="272"/>
  <c r="Z51" i="272" s="1"/>
  <c r="R51" i="272"/>
  <c r="M51" i="272"/>
  <c r="R123" i="272"/>
  <c r="C122" i="272"/>
  <c r="HR121" i="272"/>
  <c r="HQ121" i="272"/>
  <c r="HP121" i="272"/>
  <c r="HO121" i="272"/>
  <c r="HN121" i="272"/>
  <c r="HM121" i="272"/>
  <c r="HL121" i="272"/>
  <c r="HK121" i="272"/>
  <c r="HJ121" i="272"/>
  <c r="HI121" i="272"/>
  <c r="HH121" i="272"/>
  <c r="HG121" i="272"/>
  <c r="HF121" i="272"/>
  <c r="HE121" i="272"/>
  <c r="HD121" i="272"/>
  <c r="HC121" i="272"/>
  <c r="HB121" i="272"/>
  <c r="HA121" i="272"/>
  <c r="GZ121" i="272"/>
  <c r="GY121" i="272"/>
  <c r="GX121" i="272"/>
  <c r="GW121" i="272"/>
  <c r="GV121" i="272"/>
  <c r="GU121" i="272"/>
  <c r="GT121" i="272"/>
  <c r="GS121" i="272"/>
  <c r="GR121" i="272"/>
  <c r="GQ121" i="272"/>
  <c r="GP121" i="272"/>
  <c r="GO121" i="272"/>
  <c r="GN121" i="272"/>
  <c r="GM121" i="272"/>
  <c r="GL121" i="272"/>
  <c r="GK121" i="272"/>
  <c r="GJ121" i="272"/>
  <c r="GI121" i="272"/>
  <c r="GH121" i="272"/>
  <c r="GG121" i="272"/>
  <c r="GF121" i="272"/>
  <c r="GE121" i="272"/>
  <c r="GD121" i="272"/>
  <c r="GC121" i="272"/>
  <c r="GB121" i="272"/>
  <c r="GA121" i="272"/>
  <c r="FZ121" i="272"/>
  <c r="FY121" i="272"/>
  <c r="FX121" i="272"/>
  <c r="FW121" i="272"/>
  <c r="FV121" i="272"/>
  <c r="FU121" i="272"/>
  <c r="FT121" i="272"/>
  <c r="FS121" i="272"/>
  <c r="FR121" i="272"/>
  <c r="FQ121" i="272"/>
  <c r="FP121" i="272"/>
  <c r="FO121" i="272"/>
  <c r="FN121" i="272"/>
  <c r="FM121" i="272"/>
  <c r="FL121" i="272"/>
  <c r="FK121" i="272"/>
  <c r="FJ121" i="272"/>
  <c r="FI121" i="272"/>
  <c r="FH121" i="272"/>
  <c r="FG121" i="272"/>
  <c r="FF121" i="272"/>
  <c r="FE121" i="272"/>
  <c r="FD121" i="272"/>
  <c r="FC121" i="272"/>
  <c r="FB121" i="272"/>
  <c r="FA121" i="272"/>
  <c r="EZ121" i="272"/>
  <c r="EY121" i="272"/>
  <c r="EX121" i="272"/>
  <c r="EW121" i="272"/>
  <c r="EV121" i="272"/>
  <c r="EU121" i="272"/>
  <c r="ET121" i="272"/>
  <c r="ES121" i="272"/>
  <c r="ER121" i="272"/>
  <c r="EQ121" i="272"/>
  <c r="EP121" i="272"/>
  <c r="EO121" i="272"/>
  <c r="EN121" i="272"/>
  <c r="EM121" i="272"/>
  <c r="EL121" i="272"/>
  <c r="EK121" i="272"/>
  <c r="EJ121" i="272"/>
  <c r="EI121" i="272"/>
  <c r="EH121" i="272"/>
  <c r="EG121" i="272"/>
  <c r="EF121" i="272"/>
  <c r="EE121" i="272"/>
  <c r="ED121" i="272"/>
  <c r="EC121" i="272"/>
  <c r="EB121" i="272"/>
  <c r="EA121" i="272"/>
  <c r="DZ121" i="272"/>
  <c r="DY121" i="272"/>
  <c r="DX121" i="272"/>
  <c r="DW121" i="272"/>
  <c r="DT121" i="272"/>
  <c r="DS121" i="272"/>
  <c r="DR121" i="272"/>
  <c r="DQ121" i="272"/>
  <c r="DP121" i="272"/>
  <c r="DO121" i="272"/>
  <c r="DN121" i="272"/>
  <c r="DM121" i="272"/>
  <c r="DL121" i="272"/>
  <c r="DK121" i="272"/>
  <c r="DJ121" i="272"/>
  <c r="DI121" i="272"/>
  <c r="DH121" i="272"/>
  <c r="DG121" i="272"/>
  <c r="DF121" i="272"/>
  <c r="DE121" i="272"/>
  <c r="DD121" i="272"/>
  <c r="DC121" i="272"/>
  <c r="DB121" i="272"/>
  <c r="DA121" i="272"/>
  <c r="CZ121" i="272"/>
  <c r="CY121" i="272"/>
  <c r="CX121" i="272"/>
  <c r="CW121" i="272"/>
  <c r="CV121" i="272"/>
  <c r="CU121" i="272"/>
  <c r="CT121" i="272"/>
  <c r="CS121" i="272"/>
  <c r="CR121" i="272"/>
  <c r="CQ121" i="272"/>
  <c r="CP121" i="272"/>
  <c r="CO121" i="272"/>
  <c r="CN121" i="272"/>
  <c r="CM121" i="272"/>
  <c r="CL121" i="272"/>
  <c r="CK121" i="272"/>
  <c r="CJ121" i="272"/>
  <c r="CI121" i="272"/>
  <c r="CH121" i="272"/>
  <c r="CG121" i="272"/>
  <c r="CF121" i="272"/>
  <c r="CE121" i="272"/>
  <c r="CD121" i="272"/>
  <c r="CC121" i="272"/>
  <c r="CB121" i="272"/>
  <c r="CA121" i="272"/>
  <c r="BZ121" i="272"/>
  <c r="BY121" i="272"/>
  <c r="BX121" i="272"/>
  <c r="BW121" i="272"/>
  <c r="BV121" i="272"/>
  <c r="BU121" i="272"/>
  <c r="BT121" i="272"/>
  <c r="BS121" i="272"/>
  <c r="BR121" i="272"/>
  <c r="BQ121" i="272"/>
  <c r="BP121" i="272"/>
  <c r="BO121" i="272"/>
  <c r="BN121" i="272"/>
  <c r="BM121" i="272"/>
  <c r="BL121" i="272"/>
  <c r="BK121" i="272"/>
  <c r="BJ121" i="272"/>
  <c r="BI121" i="272"/>
  <c r="BH121" i="272"/>
  <c r="BG121" i="272"/>
  <c r="BF121" i="272"/>
  <c r="BE121" i="272"/>
  <c r="BD121" i="272"/>
  <c r="BC121" i="272"/>
  <c r="BB121" i="272"/>
  <c r="BA121" i="272"/>
  <c r="AZ121" i="272"/>
  <c r="AY121" i="272"/>
  <c r="AX121" i="272"/>
  <c r="AW121" i="272"/>
  <c r="AV121" i="272"/>
  <c r="AU121" i="272"/>
  <c r="AT121" i="272"/>
  <c r="AS121" i="272"/>
  <c r="AR121" i="272"/>
  <c r="AQ121" i="272"/>
  <c r="AP121" i="272"/>
  <c r="AO121" i="272"/>
  <c r="AN121" i="272"/>
  <c r="AM121" i="272"/>
  <c r="AL121" i="272"/>
  <c r="AK121" i="272"/>
  <c r="AJ121" i="272"/>
  <c r="AI121" i="272"/>
  <c r="AH121" i="272"/>
  <c r="AG121" i="272"/>
  <c r="AF121" i="272"/>
  <c r="AE121" i="272"/>
  <c r="AD121" i="272"/>
  <c r="AC121" i="272"/>
  <c r="AB121" i="272"/>
  <c r="AA121" i="272"/>
  <c r="Z121" i="272"/>
  <c r="Y121" i="272"/>
  <c r="Q121" i="272"/>
  <c r="O121" i="272"/>
  <c r="M121" i="272"/>
  <c r="F121" i="272"/>
  <c r="HR120" i="272"/>
  <c r="HQ120" i="272"/>
  <c r="HP120" i="272"/>
  <c r="HO120" i="272"/>
  <c r="HN120" i="272"/>
  <c r="HM120" i="272"/>
  <c r="HL120" i="272"/>
  <c r="HK120" i="272"/>
  <c r="HJ120" i="272"/>
  <c r="HI120" i="272"/>
  <c r="HH120" i="272"/>
  <c r="HG120" i="272"/>
  <c r="HF120" i="272"/>
  <c r="HE120" i="272"/>
  <c r="HD120" i="272"/>
  <c r="HC120" i="272"/>
  <c r="HB120" i="272"/>
  <c r="HA120" i="272"/>
  <c r="GZ120" i="272"/>
  <c r="GY120" i="272"/>
  <c r="GX120" i="272"/>
  <c r="GW120" i="272"/>
  <c r="GV120" i="272"/>
  <c r="GU120" i="272"/>
  <c r="GT120" i="272"/>
  <c r="GS120" i="272"/>
  <c r="GR120" i="272"/>
  <c r="GQ120" i="272"/>
  <c r="GP120" i="272"/>
  <c r="GO120" i="272"/>
  <c r="GN120" i="272"/>
  <c r="GM120" i="272"/>
  <c r="GL120" i="272"/>
  <c r="GK120" i="272"/>
  <c r="GJ120" i="272"/>
  <c r="GI120" i="272"/>
  <c r="GH120" i="272"/>
  <c r="GG120" i="272"/>
  <c r="GF120" i="272"/>
  <c r="GE120" i="272"/>
  <c r="GD120" i="272"/>
  <c r="GC120" i="272"/>
  <c r="GB120" i="272"/>
  <c r="GA120" i="272"/>
  <c r="FZ120" i="272"/>
  <c r="FY120" i="272"/>
  <c r="FX120" i="272"/>
  <c r="FW120" i="272"/>
  <c r="FV120" i="272"/>
  <c r="FU120" i="272"/>
  <c r="FT120" i="272"/>
  <c r="FS120" i="272"/>
  <c r="FR120" i="272"/>
  <c r="FQ120" i="272"/>
  <c r="FP120" i="272"/>
  <c r="FO120" i="272"/>
  <c r="FN120" i="272"/>
  <c r="FM120" i="272"/>
  <c r="FL120" i="272"/>
  <c r="FK120" i="272"/>
  <c r="FJ120" i="272"/>
  <c r="FI120" i="272"/>
  <c r="FH120" i="272"/>
  <c r="FG120" i="272"/>
  <c r="FF120" i="272"/>
  <c r="FE120" i="272"/>
  <c r="FD120" i="272"/>
  <c r="FC120" i="272"/>
  <c r="FB120" i="272"/>
  <c r="FA120" i="272"/>
  <c r="EZ120" i="272"/>
  <c r="EY120" i="272"/>
  <c r="EX120" i="272"/>
  <c r="EW120" i="272"/>
  <c r="EV120" i="272"/>
  <c r="EU120" i="272"/>
  <c r="ET120" i="272"/>
  <c r="ES120" i="272"/>
  <c r="ER120" i="272"/>
  <c r="EQ120" i="272"/>
  <c r="EP120" i="272"/>
  <c r="EO120" i="272"/>
  <c r="EN120" i="272"/>
  <c r="EM120" i="272"/>
  <c r="EL120" i="272"/>
  <c r="EK120" i="272"/>
  <c r="EJ120" i="272"/>
  <c r="EI120" i="272"/>
  <c r="EH120" i="272"/>
  <c r="EG120" i="272"/>
  <c r="EF120" i="272"/>
  <c r="EE120" i="272"/>
  <c r="ED120" i="272"/>
  <c r="EC120" i="272"/>
  <c r="EB120" i="272"/>
  <c r="EA120" i="272"/>
  <c r="DZ120" i="272"/>
  <c r="DY120" i="272"/>
  <c r="DX120" i="272"/>
  <c r="DW120" i="272"/>
  <c r="DT120" i="272"/>
  <c r="DS120" i="272"/>
  <c r="DR120" i="272"/>
  <c r="DQ120" i="272"/>
  <c r="DP120" i="272"/>
  <c r="DO120" i="272"/>
  <c r="DN120" i="272"/>
  <c r="DM120" i="272"/>
  <c r="DL120" i="272"/>
  <c r="DK120" i="272"/>
  <c r="DJ120" i="272"/>
  <c r="DI120" i="272"/>
  <c r="DH120" i="272"/>
  <c r="DG120" i="272"/>
  <c r="DF120" i="272"/>
  <c r="DE120" i="272"/>
  <c r="DD120" i="272"/>
  <c r="DC120" i="272"/>
  <c r="DB120" i="272"/>
  <c r="DA120" i="272"/>
  <c r="CZ120" i="272"/>
  <c r="CY120" i="272"/>
  <c r="CX120" i="272"/>
  <c r="CW120" i="272"/>
  <c r="CV120" i="272"/>
  <c r="CU120" i="272"/>
  <c r="CT120" i="272"/>
  <c r="CS120" i="272"/>
  <c r="CR120" i="272"/>
  <c r="CQ120" i="272"/>
  <c r="CP120" i="272"/>
  <c r="CO120" i="272"/>
  <c r="CN120" i="272"/>
  <c r="CM120" i="272"/>
  <c r="CL120" i="272"/>
  <c r="CK120" i="272"/>
  <c r="CJ120" i="272"/>
  <c r="CI120" i="272"/>
  <c r="CH120" i="272"/>
  <c r="CG120" i="272"/>
  <c r="CF120" i="272"/>
  <c r="CE120" i="272"/>
  <c r="CD120" i="272"/>
  <c r="CC120" i="272"/>
  <c r="CB120" i="272"/>
  <c r="CA120" i="272"/>
  <c r="BZ120" i="272"/>
  <c r="BY120" i="272"/>
  <c r="BX120" i="272"/>
  <c r="BW120" i="272"/>
  <c r="BV120" i="272"/>
  <c r="BU120" i="272"/>
  <c r="BT120" i="272"/>
  <c r="BS120" i="272"/>
  <c r="BR120" i="272"/>
  <c r="BQ120" i="272"/>
  <c r="BP120" i="272"/>
  <c r="BO120" i="272"/>
  <c r="BN120" i="272"/>
  <c r="BM120" i="272"/>
  <c r="BL120" i="272"/>
  <c r="BK120" i="272"/>
  <c r="BJ120" i="272"/>
  <c r="BI120" i="272"/>
  <c r="BH120" i="272"/>
  <c r="BG120" i="272"/>
  <c r="BF120" i="272"/>
  <c r="BE120" i="272"/>
  <c r="BD120" i="272"/>
  <c r="BC120" i="272"/>
  <c r="BB120" i="272"/>
  <c r="BA120" i="272"/>
  <c r="AZ120" i="272"/>
  <c r="AY120" i="272"/>
  <c r="AX120" i="272"/>
  <c r="AW120" i="272"/>
  <c r="AV120" i="272"/>
  <c r="AU120" i="272"/>
  <c r="AT120" i="272"/>
  <c r="AS120" i="272"/>
  <c r="AR120" i="272"/>
  <c r="AQ120" i="272"/>
  <c r="AP120" i="272"/>
  <c r="AO120" i="272"/>
  <c r="AN120" i="272"/>
  <c r="AM120" i="272"/>
  <c r="AL120" i="272"/>
  <c r="AK120" i="272"/>
  <c r="AJ120" i="272"/>
  <c r="AI120" i="272"/>
  <c r="AH120" i="272"/>
  <c r="AG120" i="272"/>
  <c r="AF120" i="272"/>
  <c r="AE120" i="272"/>
  <c r="AD120" i="272"/>
  <c r="AC120" i="272"/>
  <c r="AB120" i="272"/>
  <c r="AA120" i="272"/>
  <c r="Z120" i="272"/>
  <c r="Y120" i="272"/>
  <c r="U120" i="272"/>
  <c r="Q120" i="272"/>
  <c r="O120" i="272"/>
  <c r="M120" i="272"/>
  <c r="F120" i="272"/>
  <c r="HR113" i="272"/>
  <c r="HQ113" i="272"/>
  <c r="HP113" i="272"/>
  <c r="HO113" i="272"/>
  <c r="HN113" i="272"/>
  <c r="HM113" i="272"/>
  <c r="HL113" i="272"/>
  <c r="HK113" i="272"/>
  <c r="HJ113" i="272"/>
  <c r="HI113" i="272"/>
  <c r="HH113" i="272"/>
  <c r="HG113" i="272"/>
  <c r="HF113" i="272"/>
  <c r="HE113" i="272"/>
  <c r="HD113" i="272"/>
  <c r="HC113" i="272"/>
  <c r="HB113" i="272"/>
  <c r="HA113" i="272"/>
  <c r="GZ113" i="272"/>
  <c r="GY113" i="272"/>
  <c r="GX113" i="272"/>
  <c r="GW113" i="272"/>
  <c r="GV113" i="272"/>
  <c r="GU113" i="272"/>
  <c r="GT113" i="272"/>
  <c r="GS113" i="272"/>
  <c r="GR113" i="272"/>
  <c r="GQ113" i="272"/>
  <c r="GP113" i="272"/>
  <c r="GO113" i="272"/>
  <c r="GN113" i="272"/>
  <c r="GM113" i="272"/>
  <c r="GL113" i="272"/>
  <c r="GK113" i="272"/>
  <c r="GJ113" i="272"/>
  <c r="GI113" i="272"/>
  <c r="GH113" i="272"/>
  <c r="GG113" i="272"/>
  <c r="GF113" i="272"/>
  <c r="GE113" i="272"/>
  <c r="GD113" i="272"/>
  <c r="GC113" i="272"/>
  <c r="GB113" i="272"/>
  <c r="GA113" i="272"/>
  <c r="FZ113" i="272"/>
  <c r="FY113" i="272"/>
  <c r="FX113" i="272"/>
  <c r="FW113" i="272"/>
  <c r="FV113" i="272"/>
  <c r="FU113" i="272"/>
  <c r="FT113" i="272"/>
  <c r="FS113" i="272"/>
  <c r="FR113" i="272"/>
  <c r="FQ113" i="272"/>
  <c r="FP113" i="272"/>
  <c r="FO113" i="272"/>
  <c r="FN113" i="272"/>
  <c r="FM113" i="272"/>
  <c r="FL113" i="272"/>
  <c r="FK113" i="272"/>
  <c r="FJ113" i="272"/>
  <c r="FI113" i="272"/>
  <c r="FH113" i="272"/>
  <c r="FG113" i="272"/>
  <c r="FF113" i="272"/>
  <c r="FE113" i="272"/>
  <c r="FD113" i="272"/>
  <c r="FC113" i="272"/>
  <c r="FB113" i="272"/>
  <c r="FA113" i="272"/>
  <c r="EZ113" i="272"/>
  <c r="EY113" i="272"/>
  <c r="EX113" i="272"/>
  <c r="EW113" i="272"/>
  <c r="EV113" i="272"/>
  <c r="EU113" i="272"/>
  <c r="ET113" i="272"/>
  <c r="ES113" i="272"/>
  <c r="ER113" i="272"/>
  <c r="EQ113" i="272"/>
  <c r="EP113" i="272"/>
  <c r="EO113" i="272"/>
  <c r="EN113" i="272"/>
  <c r="EM113" i="272"/>
  <c r="EL113" i="272"/>
  <c r="EK113" i="272"/>
  <c r="EJ113" i="272"/>
  <c r="EI113" i="272"/>
  <c r="EH113" i="272"/>
  <c r="EG113" i="272"/>
  <c r="EF113" i="272"/>
  <c r="EE113" i="272"/>
  <c r="ED113" i="272"/>
  <c r="EC113" i="272"/>
  <c r="EB113" i="272"/>
  <c r="EA113" i="272"/>
  <c r="DZ113" i="272"/>
  <c r="DY113" i="272"/>
  <c r="DX113" i="272"/>
  <c r="DW113" i="272"/>
  <c r="DT113" i="272"/>
  <c r="DS113" i="272"/>
  <c r="DR113" i="272"/>
  <c r="DQ113" i="272"/>
  <c r="DP113" i="272"/>
  <c r="DO113" i="272"/>
  <c r="DN113" i="272"/>
  <c r="DM113" i="272"/>
  <c r="DL113" i="272"/>
  <c r="DK113" i="272"/>
  <c r="DJ113" i="272"/>
  <c r="DI113" i="272"/>
  <c r="DH113" i="272"/>
  <c r="DG113" i="272"/>
  <c r="DF113" i="272"/>
  <c r="DE113" i="272"/>
  <c r="DD113" i="272"/>
  <c r="DC113" i="272"/>
  <c r="DB113" i="272"/>
  <c r="DA113" i="272"/>
  <c r="CZ113" i="272"/>
  <c r="CY113" i="272"/>
  <c r="CX113" i="272"/>
  <c r="CW113" i="272"/>
  <c r="CV113" i="272"/>
  <c r="CU113" i="272"/>
  <c r="CT113" i="272"/>
  <c r="CS113" i="272"/>
  <c r="CR113" i="272"/>
  <c r="CQ113" i="272"/>
  <c r="CP113" i="272"/>
  <c r="CO113" i="272"/>
  <c r="CN113" i="272"/>
  <c r="CM113" i="272"/>
  <c r="CL113" i="272"/>
  <c r="CK113" i="272"/>
  <c r="CJ113" i="272"/>
  <c r="CI113" i="272"/>
  <c r="CH113" i="272"/>
  <c r="CG113" i="272"/>
  <c r="CF113" i="272"/>
  <c r="CE113" i="272"/>
  <c r="CD113" i="272"/>
  <c r="CC113" i="272"/>
  <c r="CB113" i="272"/>
  <c r="CA113" i="272"/>
  <c r="BZ113" i="272"/>
  <c r="BY113" i="272"/>
  <c r="BX113" i="272"/>
  <c r="BW113" i="272"/>
  <c r="BV113" i="272"/>
  <c r="BU113" i="272"/>
  <c r="BT113" i="272"/>
  <c r="BS113" i="272"/>
  <c r="BR113" i="272"/>
  <c r="BQ113" i="272"/>
  <c r="BP113" i="272"/>
  <c r="BO113" i="272"/>
  <c r="BN113" i="272"/>
  <c r="BM113" i="272"/>
  <c r="BL113" i="272"/>
  <c r="BK113" i="272"/>
  <c r="BJ113" i="272"/>
  <c r="BI113" i="272"/>
  <c r="BH113" i="272"/>
  <c r="BG113" i="272"/>
  <c r="BF113" i="272"/>
  <c r="BE113" i="272"/>
  <c r="BD113" i="272"/>
  <c r="BC113" i="272"/>
  <c r="BB113" i="272"/>
  <c r="BA113" i="272"/>
  <c r="AZ113" i="272"/>
  <c r="AY113" i="272"/>
  <c r="AX113" i="272"/>
  <c r="AW113" i="272"/>
  <c r="AV113" i="272"/>
  <c r="AU113" i="272"/>
  <c r="AT113" i="272"/>
  <c r="AS113" i="272"/>
  <c r="AR113" i="272"/>
  <c r="AQ113" i="272"/>
  <c r="AP113" i="272"/>
  <c r="AO113" i="272"/>
  <c r="AN113" i="272"/>
  <c r="AM113" i="272"/>
  <c r="AL113" i="272"/>
  <c r="AK113" i="272"/>
  <c r="AJ113" i="272"/>
  <c r="AI113" i="272"/>
  <c r="AH113" i="272"/>
  <c r="AG113" i="272"/>
  <c r="AF113" i="272"/>
  <c r="AE113" i="272"/>
  <c r="AD113" i="272"/>
  <c r="AC113" i="272"/>
  <c r="AB113" i="272"/>
  <c r="AA113" i="272"/>
  <c r="Z113" i="272"/>
  <c r="Y113" i="272"/>
  <c r="U113" i="272"/>
  <c r="Q113" i="272"/>
  <c r="O113" i="272"/>
  <c r="M113" i="272"/>
  <c r="F113" i="272"/>
  <c r="HR112" i="272"/>
  <c r="HQ112" i="272"/>
  <c r="HP112" i="272"/>
  <c r="HO112" i="272"/>
  <c r="HN112" i="272"/>
  <c r="HM112" i="272"/>
  <c r="HL112" i="272"/>
  <c r="HK112" i="272"/>
  <c r="HJ112" i="272"/>
  <c r="HI112" i="272"/>
  <c r="HH112" i="272"/>
  <c r="HG112" i="272"/>
  <c r="HF112" i="272"/>
  <c r="HE112" i="272"/>
  <c r="HD112" i="272"/>
  <c r="HC112" i="272"/>
  <c r="HB112" i="272"/>
  <c r="HA112" i="272"/>
  <c r="GZ112" i="272"/>
  <c r="GY112" i="272"/>
  <c r="GX112" i="272"/>
  <c r="GW112" i="272"/>
  <c r="GV112" i="272"/>
  <c r="GU112" i="272"/>
  <c r="GT112" i="272"/>
  <c r="GS112" i="272"/>
  <c r="GR112" i="272"/>
  <c r="GQ112" i="272"/>
  <c r="GP112" i="272"/>
  <c r="GO112" i="272"/>
  <c r="GN112" i="272"/>
  <c r="GM112" i="272"/>
  <c r="GL112" i="272"/>
  <c r="GK112" i="272"/>
  <c r="GJ112" i="272"/>
  <c r="GI112" i="272"/>
  <c r="GH112" i="272"/>
  <c r="GG112" i="272"/>
  <c r="GF112" i="272"/>
  <c r="GE112" i="272"/>
  <c r="GD112" i="272"/>
  <c r="GC112" i="272"/>
  <c r="GB112" i="272"/>
  <c r="GA112" i="272"/>
  <c r="FZ112" i="272"/>
  <c r="FY112" i="272"/>
  <c r="FX112" i="272"/>
  <c r="FW112" i="272"/>
  <c r="FV112" i="272"/>
  <c r="FU112" i="272"/>
  <c r="FT112" i="272"/>
  <c r="FS112" i="272"/>
  <c r="FR112" i="272"/>
  <c r="FQ112" i="272"/>
  <c r="FP112" i="272"/>
  <c r="FO112" i="272"/>
  <c r="FN112" i="272"/>
  <c r="FM112" i="272"/>
  <c r="FL112" i="272"/>
  <c r="FK112" i="272"/>
  <c r="FJ112" i="272"/>
  <c r="FI112" i="272"/>
  <c r="FH112" i="272"/>
  <c r="FG112" i="272"/>
  <c r="FF112" i="272"/>
  <c r="FE112" i="272"/>
  <c r="FD112" i="272"/>
  <c r="FC112" i="272"/>
  <c r="FB112" i="272"/>
  <c r="FA112" i="272"/>
  <c r="EZ112" i="272"/>
  <c r="EY112" i="272"/>
  <c r="EX112" i="272"/>
  <c r="EW112" i="272"/>
  <c r="EV112" i="272"/>
  <c r="EU112" i="272"/>
  <c r="ET112" i="272"/>
  <c r="ES112" i="272"/>
  <c r="ER112" i="272"/>
  <c r="EQ112" i="272"/>
  <c r="EP112" i="272"/>
  <c r="EO112" i="272"/>
  <c r="EN112" i="272"/>
  <c r="EM112" i="272"/>
  <c r="EL112" i="272"/>
  <c r="EK112" i="272"/>
  <c r="EJ112" i="272"/>
  <c r="EI112" i="272"/>
  <c r="EH112" i="272"/>
  <c r="EG112" i="272"/>
  <c r="EF112" i="272"/>
  <c r="EE112" i="272"/>
  <c r="ED112" i="272"/>
  <c r="EC112" i="272"/>
  <c r="EB112" i="272"/>
  <c r="EA112" i="272"/>
  <c r="DZ112" i="272"/>
  <c r="DY112" i="272"/>
  <c r="DX112" i="272"/>
  <c r="DW112" i="272"/>
  <c r="DT112" i="272"/>
  <c r="DS112" i="272"/>
  <c r="DR112" i="272"/>
  <c r="DQ112" i="272"/>
  <c r="DP112" i="272"/>
  <c r="DO112" i="272"/>
  <c r="DN112" i="272"/>
  <c r="DM112" i="272"/>
  <c r="DL112" i="272"/>
  <c r="DK112" i="272"/>
  <c r="DJ112" i="272"/>
  <c r="DI112" i="272"/>
  <c r="DH112" i="272"/>
  <c r="DG112" i="272"/>
  <c r="DF112" i="272"/>
  <c r="DE112" i="272"/>
  <c r="DD112" i="272"/>
  <c r="DC112" i="272"/>
  <c r="DB112" i="272"/>
  <c r="DA112" i="272"/>
  <c r="CZ112" i="272"/>
  <c r="CY112" i="272"/>
  <c r="CX112" i="272"/>
  <c r="CW112" i="272"/>
  <c r="CV112" i="272"/>
  <c r="CU112" i="272"/>
  <c r="CT112" i="272"/>
  <c r="CS112" i="272"/>
  <c r="CR112" i="272"/>
  <c r="CQ112" i="272"/>
  <c r="CP112" i="272"/>
  <c r="CO112" i="272"/>
  <c r="CN112" i="272"/>
  <c r="CM112" i="272"/>
  <c r="CL112" i="272"/>
  <c r="CK112" i="272"/>
  <c r="CJ112" i="272"/>
  <c r="CI112" i="272"/>
  <c r="CH112" i="272"/>
  <c r="CG112" i="272"/>
  <c r="CF112" i="272"/>
  <c r="CE112" i="272"/>
  <c r="CD112" i="272"/>
  <c r="CC112" i="272"/>
  <c r="CB112" i="272"/>
  <c r="CA112" i="272"/>
  <c r="BZ112" i="272"/>
  <c r="BY112" i="272"/>
  <c r="BX112" i="272"/>
  <c r="BW112" i="272"/>
  <c r="BV112" i="272"/>
  <c r="BU112" i="272"/>
  <c r="BT112" i="272"/>
  <c r="BS112" i="272"/>
  <c r="BR112" i="272"/>
  <c r="BQ112" i="272"/>
  <c r="BP112" i="272"/>
  <c r="BO112" i="272"/>
  <c r="BN112" i="272"/>
  <c r="BM112" i="272"/>
  <c r="BL112" i="272"/>
  <c r="BK112" i="272"/>
  <c r="BJ112" i="272"/>
  <c r="BI112" i="272"/>
  <c r="BH112" i="272"/>
  <c r="BG112" i="272"/>
  <c r="BF112" i="272"/>
  <c r="BE112" i="272"/>
  <c r="BD112" i="272"/>
  <c r="BC112" i="272"/>
  <c r="BB112" i="272"/>
  <c r="BA112" i="272"/>
  <c r="AZ112" i="272"/>
  <c r="AY112" i="272"/>
  <c r="AX112" i="272"/>
  <c r="AW112" i="272"/>
  <c r="AV112" i="272"/>
  <c r="AU112" i="272"/>
  <c r="AT112" i="272"/>
  <c r="AS112" i="272"/>
  <c r="AR112" i="272"/>
  <c r="AQ112" i="272"/>
  <c r="AP112" i="272"/>
  <c r="AO112" i="272"/>
  <c r="AN112" i="272"/>
  <c r="AM112" i="272"/>
  <c r="AL112" i="272"/>
  <c r="AK112" i="272"/>
  <c r="AJ112" i="272"/>
  <c r="AI112" i="272"/>
  <c r="AH112" i="272"/>
  <c r="AG112" i="272"/>
  <c r="AF112" i="272"/>
  <c r="AE112" i="272"/>
  <c r="AD112" i="272"/>
  <c r="AC112" i="272"/>
  <c r="AB112" i="272"/>
  <c r="AA112" i="272"/>
  <c r="Z112" i="272"/>
  <c r="Y112" i="272"/>
  <c r="U112" i="272"/>
  <c r="Q112" i="272"/>
  <c r="O112" i="272"/>
  <c r="M112" i="272"/>
  <c r="F112" i="272"/>
  <c r="HR111" i="272"/>
  <c r="HQ111" i="272"/>
  <c r="HP111" i="272"/>
  <c r="HO111" i="272"/>
  <c r="HN111" i="272"/>
  <c r="HM111" i="272"/>
  <c r="HL111" i="272"/>
  <c r="HK111" i="272"/>
  <c r="HJ111" i="272"/>
  <c r="HI111" i="272"/>
  <c r="HH111" i="272"/>
  <c r="HG111" i="272"/>
  <c r="HF111" i="272"/>
  <c r="HE111" i="272"/>
  <c r="HD111" i="272"/>
  <c r="HC111" i="272"/>
  <c r="HB111" i="272"/>
  <c r="HA111" i="272"/>
  <c r="GZ111" i="272"/>
  <c r="GY111" i="272"/>
  <c r="GX111" i="272"/>
  <c r="GW111" i="272"/>
  <c r="GV111" i="272"/>
  <c r="GU111" i="272"/>
  <c r="GT111" i="272"/>
  <c r="GS111" i="272"/>
  <c r="GR111" i="272"/>
  <c r="GQ111" i="272"/>
  <c r="GP111" i="272"/>
  <c r="GO111" i="272"/>
  <c r="GN111" i="272"/>
  <c r="GM111" i="272"/>
  <c r="GL111" i="272"/>
  <c r="GK111" i="272"/>
  <c r="GJ111" i="272"/>
  <c r="GI111" i="272"/>
  <c r="GH111" i="272"/>
  <c r="GG111" i="272"/>
  <c r="GF111" i="272"/>
  <c r="GE111" i="272"/>
  <c r="GD111" i="272"/>
  <c r="GC111" i="272"/>
  <c r="GB111" i="272"/>
  <c r="GA111" i="272"/>
  <c r="FZ111" i="272"/>
  <c r="FY111" i="272"/>
  <c r="FX111" i="272"/>
  <c r="FW111" i="272"/>
  <c r="FV111" i="272"/>
  <c r="FU111" i="272"/>
  <c r="FT111" i="272"/>
  <c r="FS111" i="272"/>
  <c r="FR111" i="272"/>
  <c r="FQ111" i="272"/>
  <c r="FP111" i="272"/>
  <c r="FO111" i="272"/>
  <c r="FN111" i="272"/>
  <c r="FM111" i="272"/>
  <c r="FL111" i="272"/>
  <c r="FK111" i="272"/>
  <c r="FJ111" i="272"/>
  <c r="FI111" i="272"/>
  <c r="FH111" i="272"/>
  <c r="FG111" i="272"/>
  <c r="FF111" i="272"/>
  <c r="FE111" i="272"/>
  <c r="FD111" i="272"/>
  <c r="FC111" i="272"/>
  <c r="FB111" i="272"/>
  <c r="FA111" i="272"/>
  <c r="EZ111" i="272"/>
  <c r="EY111" i="272"/>
  <c r="EX111" i="272"/>
  <c r="EW111" i="272"/>
  <c r="EV111" i="272"/>
  <c r="EU111" i="272"/>
  <c r="ET111" i="272"/>
  <c r="ES111" i="272"/>
  <c r="ER111" i="272"/>
  <c r="EQ111" i="272"/>
  <c r="EP111" i="272"/>
  <c r="EO111" i="272"/>
  <c r="EN111" i="272"/>
  <c r="EM111" i="272"/>
  <c r="EL111" i="272"/>
  <c r="EK111" i="272"/>
  <c r="EJ111" i="272"/>
  <c r="EI111" i="272"/>
  <c r="EH111" i="272"/>
  <c r="EG111" i="272"/>
  <c r="EF111" i="272"/>
  <c r="EE111" i="272"/>
  <c r="ED111" i="272"/>
  <c r="EC111" i="272"/>
  <c r="EB111" i="272"/>
  <c r="EA111" i="272"/>
  <c r="DZ111" i="272"/>
  <c r="DY111" i="272"/>
  <c r="DX111" i="272"/>
  <c r="DW111" i="272"/>
  <c r="DT111" i="272"/>
  <c r="DS111" i="272"/>
  <c r="DR111" i="272"/>
  <c r="DQ111" i="272"/>
  <c r="DP111" i="272"/>
  <c r="DO111" i="272"/>
  <c r="DN111" i="272"/>
  <c r="DM111" i="272"/>
  <c r="DL111" i="272"/>
  <c r="DK111" i="272"/>
  <c r="DJ111" i="272"/>
  <c r="DI111" i="272"/>
  <c r="DH111" i="272"/>
  <c r="DG111" i="272"/>
  <c r="DF111" i="272"/>
  <c r="DE111" i="272"/>
  <c r="DD111" i="272"/>
  <c r="DC111" i="272"/>
  <c r="DB111" i="272"/>
  <c r="DA111" i="272"/>
  <c r="CZ111" i="272"/>
  <c r="CY111" i="272"/>
  <c r="CX111" i="272"/>
  <c r="CW111" i="272"/>
  <c r="CV111" i="272"/>
  <c r="CU111" i="272"/>
  <c r="CT111" i="272"/>
  <c r="CS111" i="272"/>
  <c r="CR111" i="272"/>
  <c r="CQ111" i="272"/>
  <c r="CP111" i="272"/>
  <c r="CO111" i="272"/>
  <c r="CN111" i="272"/>
  <c r="CM111" i="272"/>
  <c r="CL111" i="272"/>
  <c r="CK111" i="272"/>
  <c r="CJ111" i="272"/>
  <c r="CI111" i="272"/>
  <c r="CH111" i="272"/>
  <c r="CG111" i="272"/>
  <c r="CF111" i="272"/>
  <c r="CE111" i="272"/>
  <c r="CD111" i="272"/>
  <c r="CC111" i="272"/>
  <c r="CB111" i="272"/>
  <c r="CA111" i="272"/>
  <c r="BZ111" i="272"/>
  <c r="BY111" i="272"/>
  <c r="BX111" i="272"/>
  <c r="BW111" i="272"/>
  <c r="BV111" i="272"/>
  <c r="BU111" i="272"/>
  <c r="BT111" i="272"/>
  <c r="BS111" i="272"/>
  <c r="BR111" i="272"/>
  <c r="BQ111" i="272"/>
  <c r="BP111" i="272"/>
  <c r="BO111" i="272"/>
  <c r="BN111" i="272"/>
  <c r="BM111" i="272"/>
  <c r="BL111" i="272"/>
  <c r="BK111" i="272"/>
  <c r="BJ111" i="272"/>
  <c r="BI111" i="272"/>
  <c r="BH111" i="272"/>
  <c r="BG111" i="272"/>
  <c r="BF111" i="272"/>
  <c r="BE111" i="272"/>
  <c r="BD111" i="272"/>
  <c r="BC111" i="272"/>
  <c r="BB111" i="272"/>
  <c r="BA111" i="272"/>
  <c r="AZ111" i="272"/>
  <c r="AY111" i="272"/>
  <c r="AX111" i="272"/>
  <c r="AW111" i="272"/>
  <c r="AV111" i="272"/>
  <c r="AU111" i="272"/>
  <c r="AT111" i="272"/>
  <c r="AS111" i="272"/>
  <c r="AR111" i="272"/>
  <c r="AQ111" i="272"/>
  <c r="AP111" i="272"/>
  <c r="AO111" i="272"/>
  <c r="AN111" i="272"/>
  <c r="AM111" i="272"/>
  <c r="AL111" i="272"/>
  <c r="AK111" i="272"/>
  <c r="AJ111" i="272"/>
  <c r="AI111" i="272"/>
  <c r="AH111" i="272"/>
  <c r="AG111" i="272"/>
  <c r="AF111" i="272"/>
  <c r="AE111" i="272"/>
  <c r="AD111" i="272"/>
  <c r="AC111" i="272"/>
  <c r="AB111" i="272"/>
  <c r="AA111" i="272"/>
  <c r="Z111" i="272"/>
  <c r="Y111" i="272"/>
  <c r="Q111" i="272"/>
  <c r="O111" i="272"/>
  <c r="M111" i="272"/>
  <c r="F111" i="272"/>
  <c r="HR110" i="272"/>
  <c r="HQ110" i="272"/>
  <c r="HP110" i="272"/>
  <c r="HO110" i="272"/>
  <c r="HN110" i="272"/>
  <c r="HM110" i="272"/>
  <c r="HL110" i="272"/>
  <c r="HK110" i="272"/>
  <c r="HJ110" i="272"/>
  <c r="HI110" i="272"/>
  <c r="HH110" i="272"/>
  <c r="HG110" i="272"/>
  <c r="HF110" i="272"/>
  <c r="HE110" i="272"/>
  <c r="HD110" i="272"/>
  <c r="HC110" i="272"/>
  <c r="HB110" i="272"/>
  <c r="HA110" i="272"/>
  <c r="GZ110" i="272"/>
  <c r="GY110" i="272"/>
  <c r="GX110" i="272"/>
  <c r="GW110" i="272"/>
  <c r="GV110" i="272"/>
  <c r="GU110" i="272"/>
  <c r="GT110" i="272"/>
  <c r="GR110" i="272"/>
  <c r="GQ110" i="272"/>
  <c r="GP110" i="272"/>
  <c r="GO110" i="272"/>
  <c r="GN110" i="272"/>
  <c r="GM110" i="272"/>
  <c r="GL110" i="272"/>
  <c r="GK110" i="272"/>
  <c r="GJ110" i="272"/>
  <c r="GI110" i="272"/>
  <c r="GH110" i="272"/>
  <c r="GG110" i="272"/>
  <c r="GF110" i="272"/>
  <c r="GE110" i="272"/>
  <c r="GD110" i="272"/>
  <c r="GC110" i="272"/>
  <c r="GB110" i="272"/>
  <c r="GA110" i="272"/>
  <c r="FZ110" i="272"/>
  <c r="FY110" i="272"/>
  <c r="FX110" i="272"/>
  <c r="FW110" i="272"/>
  <c r="FV110" i="272"/>
  <c r="FU110" i="272"/>
  <c r="FT110" i="272"/>
  <c r="FS110" i="272"/>
  <c r="FR110" i="272"/>
  <c r="FQ110" i="272"/>
  <c r="FP110" i="272"/>
  <c r="FO110" i="272"/>
  <c r="FN110" i="272"/>
  <c r="FM110" i="272"/>
  <c r="FL110" i="272"/>
  <c r="FK110" i="272"/>
  <c r="FJ110" i="272"/>
  <c r="FI110" i="272"/>
  <c r="FH110" i="272"/>
  <c r="FG110" i="272"/>
  <c r="FF110" i="272"/>
  <c r="FE110" i="272"/>
  <c r="FD110" i="272"/>
  <c r="FC110" i="272"/>
  <c r="FB110" i="272"/>
  <c r="FA110" i="272"/>
  <c r="EZ110" i="272"/>
  <c r="EY110" i="272"/>
  <c r="EX110" i="272"/>
  <c r="EW110" i="272"/>
  <c r="EV110" i="272"/>
  <c r="EU110" i="272"/>
  <c r="ET110" i="272"/>
  <c r="ES110" i="272"/>
  <c r="ER110" i="272"/>
  <c r="EQ110" i="272"/>
  <c r="EP110" i="272"/>
  <c r="EO110" i="272"/>
  <c r="EN110" i="272"/>
  <c r="EM110" i="272"/>
  <c r="EL110" i="272"/>
  <c r="EK110" i="272"/>
  <c r="EJ110" i="272"/>
  <c r="EI110" i="272"/>
  <c r="EH110" i="272"/>
  <c r="EG110" i="272"/>
  <c r="EF110" i="272"/>
  <c r="EE110" i="272"/>
  <c r="ED110" i="272"/>
  <c r="EC110" i="272"/>
  <c r="EB110" i="272"/>
  <c r="EA110" i="272"/>
  <c r="DZ110" i="272"/>
  <c r="DY110" i="272"/>
  <c r="DX110" i="272"/>
  <c r="DW110" i="272"/>
  <c r="DT110" i="272"/>
  <c r="DS110" i="272"/>
  <c r="DR110" i="272"/>
  <c r="DQ110" i="272"/>
  <c r="DP110" i="272"/>
  <c r="DO110" i="272"/>
  <c r="DN110" i="272"/>
  <c r="DM110" i="272"/>
  <c r="DL110" i="272"/>
  <c r="DK110" i="272"/>
  <c r="DJ110" i="272"/>
  <c r="DI110" i="272"/>
  <c r="DH110" i="272"/>
  <c r="DG110" i="272"/>
  <c r="DF110" i="272"/>
  <c r="DE110" i="272"/>
  <c r="DD110" i="272"/>
  <c r="DC110" i="272"/>
  <c r="DB110" i="272"/>
  <c r="DA110" i="272"/>
  <c r="CZ110" i="272"/>
  <c r="CY110" i="272"/>
  <c r="CX110" i="272"/>
  <c r="CW110" i="272"/>
  <c r="CV110" i="272"/>
  <c r="CT110" i="272"/>
  <c r="CS110" i="272"/>
  <c r="CR110" i="272"/>
  <c r="CQ110" i="272"/>
  <c r="CP110" i="272"/>
  <c r="CO110" i="272"/>
  <c r="CN110" i="272"/>
  <c r="CM110" i="272"/>
  <c r="CL110" i="272"/>
  <c r="CK110" i="272"/>
  <c r="CJ110" i="272"/>
  <c r="CI110" i="272"/>
  <c r="CH110" i="272"/>
  <c r="CG110" i="272"/>
  <c r="CF110" i="272"/>
  <c r="CE110" i="272"/>
  <c r="CD110" i="272"/>
  <c r="CC110" i="272"/>
  <c r="CB110" i="272"/>
  <c r="CA110" i="272"/>
  <c r="BZ110" i="272"/>
  <c r="BY110" i="272"/>
  <c r="BX110" i="272"/>
  <c r="BW110" i="272"/>
  <c r="BV110" i="272"/>
  <c r="BU110" i="272"/>
  <c r="BT110" i="272"/>
  <c r="BS110" i="272"/>
  <c r="BR110" i="272"/>
  <c r="BQ110" i="272"/>
  <c r="BP110" i="272"/>
  <c r="BO110" i="272"/>
  <c r="BN110" i="272"/>
  <c r="BM110" i="272"/>
  <c r="BL110" i="272"/>
  <c r="BK110" i="272"/>
  <c r="BJ110" i="272"/>
  <c r="BI110" i="272"/>
  <c r="BH110" i="272"/>
  <c r="BG110" i="272"/>
  <c r="BF110" i="272"/>
  <c r="BE110" i="272"/>
  <c r="BD110" i="272"/>
  <c r="BC110" i="272"/>
  <c r="BB110" i="272"/>
  <c r="BA110" i="272"/>
  <c r="AZ110" i="272"/>
  <c r="AY110" i="272"/>
  <c r="AX110" i="272"/>
  <c r="AW110" i="272"/>
  <c r="AV110" i="272"/>
  <c r="AU110" i="272"/>
  <c r="AT110" i="272"/>
  <c r="AS110" i="272"/>
  <c r="AR110" i="272"/>
  <c r="AQ110" i="272"/>
  <c r="AP110" i="272"/>
  <c r="AO110" i="272"/>
  <c r="AN110" i="272"/>
  <c r="AM110" i="272"/>
  <c r="AL110" i="272"/>
  <c r="AK110" i="272"/>
  <c r="AJ110" i="272"/>
  <c r="AI110" i="272"/>
  <c r="AH110" i="272"/>
  <c r="AG110" i="272"/>
  <c r="AF110" i="272"/>
  <c r="AE110" i="272"/>
  <c r="AD110" i="272"/>
  <c r="AC110" i="272"/>
  <c r="AB110" i="272"/>
  <c r="AA110" i="272"/>
  <c r="Z110" i="272"/>
  <c r="Y110" i="272"/>
  <c r="U110" i="272"/>
  <c r="CU110" i="272" s="1"/>
  <c r="HR109" i="272"/>
  <c r="HQ109" i="272"/>
  <c r="HP109" i="272"/>
  <c r="HO109" i="272"/>
  <c r="HN109" i="272"/>
  <c r="HM109" i="272"/>
  <c r="HL109" i="272"/>
  <c r="HK109" i="272"/>
  <c r="HJ109" i="272"/>
  <c r="HI109" i="272"/>
  <c r="HH109" i="272"/>
  <c r="HG109" i="272"/>
  <c r="HF109" i="272"/>
  <c r="HE109" i="272"/>
  <c r="HD109" i="272"/>
  <c r="HC109" i="272"/>
  <c r="HB109" i="272"/>
  <c r="HA109" i="272"/>
  <c r="GZ109" i="272"/>
  <c r="GY109" i="272"/>
  <c r="GX109" i="272"/>
  <c r="GW109" i="272"/>
  <c r="GV109" i="272"/>
  <c r="GU109" i="272"/>
  <c r="GT109" i="272"/>
  <c r="GS109" i="272"/>
  <c r="GR109" i="272"/>
  <c r="GQ109" i="272"/>
  <c r="GP109" i="272"/>
  <c r="GO109" i="272"/>
  <c r="GN109" i="272"/>
  <c r="GM109" i="272"/>
  <c r="GL109" i="272"/>
  <c r="GK109" i="272"/>
  <c r="GJ109" i="272"/>
  <c r="GI109" i="272"/>
  <c r="GH109" i="272"/>
  <c r="GG109" i="272"/>
  <c r="GF109" i="272"/>
  <c r="GE109" i="272"/>
  <c r="GD109" i="272"/>
  <c r="GC109" i="272"/>
  <c r="GB109" i="272"/>
  <c r="GA109" i="272"/>
  <c r="FZ109" i="272"/>
  <c r="FY109" i="272"/>
  <c r="FX109" i="272"/>
  <c r="FW109" i="272"/>
  <c r="FV109" i="272"/>
  <c r="FU109" i="272"/>
  <c r="FT109" i="272"/>
  <c r="FS109" i="272"/>
  <c r="FR109" i="272"/>
  <c r="FQ109" i="272"/>
  <c r="FP109" i="272"/>
  <c r="FO109" i="272"/>
  <c r="FN109" i="272"/>
  <c r="FM109" i="272"/>
  <c r="FL109" i="272"/>
  <c r="FK109" i="272"/>
  <c r="FJ109" i="272"/>
  <c r="FI109" i="272"/>
  <c r="FH109" i="272"/>
  <c r="FG109" i="272"/>
  <c r="FF109" i="272"/>
  <c r="FE109" i="272"/>
  <c r="FD109" i="272"/>
  <c r="FC109" i="272"/>
  <c r="FB109" i="272"/>
  <c r="FA109" i="272"/>
  <c r="EZ109" i="272"/>
  <c r="EY109" i="272"/>
  <c r="EX109" i="272"/>
  <c r="EW109" i="272"/>
  <c r="EV109" i="272"/>
  <c r="EU109" i="272"/>
  <c r="ET109" i="272"/>
  <c r="ES109" i="272"/>
  <c r="ER109" i="272"/>
  <c r="EQ109" i="272"/>
  <c r="EP109" i="272"/>
  <c r="EO109" i="272"/>
  <c r="EN109" i="272"/>
  <c r="EM109" i="272"/>
  <c r="EL109" i="272"/>
  <c r="EK109" i="272"/>
  <c r="EJ109" i="272"/>
  <c r="EI109" i="272"/>
  <c r="EH109" i="272"/>
  <c r="EG109" i="272"/>
  <c r="EF109" i="272"/>
  <c r="EE109" i="272"/>
  <c r="ED109" i="272"/>
  <c r="EC109" i="272"/>
  <c r="EB109" i="272"/>
  <c r="EA109" i="272"/>
  <c r="DZ109" i="272"/>
  <c r="DY109" i="272"/>
  <c r="DX109" i="272"/>
  <c r="DW109" i="272"/>
  <c r="DT109" i="272"/>
  <c r="DS109" i="272"/>
  <c r="DR109" i="272"/>
  <c r="DQ109" i="272"/>
  <c r="DP109" i="272"/>
  <c r="DO109" i="272"/>
  <c r="DN109" i="272"/>
  <c r="DM109" i="272"/>
  <c r="DL109" i="272"/>
  <c r="DK109" i="272"/>
  <c r="DJ109" i="272"/>
  <c r="DI109" i="272"/>
  <c r="DH109" i="272"/>
  <c r="DG109" i="272"/>
  <c r="DF109" i="272"/>
  <c r="DE109" i="272"/>
  <c r="DD109" i="272"/>
  <c r="DC109" i="272"/>
  <c r="DB109" i="272"/>
  <c r="DA109" i="272"/>
  <c r="CZ109" i="272"/>
  <c r="CY109" i="272"/>
  <c r="CX109" i="272"/>
  <c r="CW109" i="272"/>
  <c r="CV109" i="272"/>
  <c r="CU109" i="272"/>
  <c r="CT109" i="272"/>
  <c r="CS109" i="272"/>
  <c r="CR109" i="272"/>
  <c r="CQ109" i="272"/>
  <c r="CP109" i="272"/>
  <c r="CO109" i="272"/>
  <c r="CN109" i="272"/>
  <c r="CM109" i="272"/>
  <c r="CL109" i="272"/>
  <c r="CK109" i="272"/>
  <c r="CJ109" i="272"/>
  <c r="CI109" i="272"/>
  <c r="CH109" i="272"/>
  <c r="CG109" i="272"/>
  <c r="CF109" i="272"/>
  <c r="CE109" i="272"/>
  <c r="CD109" i="272"/>
  <c r="CC109" i="272"/>
  <c r="CB109" i="272"/>
  <c r="CA109" i="272"/>
  <c r="BZ109" i="272"/>
  <c r="BY109" i="272"/>
  <c r="BX109" i="272"/>
  <c r="BW109" i="272"/>
  <c r="BV109" i="272"/>
  <c r="BU109" i="272"/>
  <c r="BT109" i="272"/>
  <c r="BS109" i="272"/>
  <c r="BR109" i="272"/>
  <c r="BQ109" i="272"/>
  <c r="BP109" i="272"/>
  <c r="BO109" i="272"/>
  <c r="BN109" i="272"/>
  <c r="BM109" i="272"/>
  <c r="BL109" i="272"/>
  <c r="BK109" i="272"/>
  <c r="BJ109" i="272"/>
  <c r="BI109" i="272"/>
  <c r="BH109" i="272"/>
  <c r="BG109" i="272"/>
  <c r="BF109" i="272"/>
  <c r="BE109" i="272"/>
  <c r="BD109" i="272"/>
  <c r="BC109" i="272"/>
  <c r="BB109" i="272"/>
  <c r="BA109" i="272"/>
  <c r="AZ109" i="272"/>
  <c r="AY109" i="272"/>
  <c r="AX109" i="272"/>
  <c r="AW109" i="272"/>
  <c r="AV109" i="272"/>
  <c r="AU109" i="272"/>
  <c r="AT109" i="272"/>
  <c r="AS109" i="272"/>
  <c r="AR109" i="272"/>
  <c r="AQ109" i="272"/>
  <c r="AP109" i="272"/>
  <c r="AO109" i="272"/>
  <c r="AN109" i="272"/>
  <c r="AM109" i="272"/>
  <c r="AL109" i="272"/>
  <c r="AK109" i="272"/>
  <c r="AJ109" i="272"/>
  <c r="AI109" i="272"/>
  <c r="AH109" i="272"/>
  <c r="AG109" i="272"/>
  <c r="AF109" i="272"/>
  <c r="AE109" i="272"/>
  <c r="AD109" i="272"/>
  <c r="AC109" i="272"/>
  <c r="AB109" i="272"/>
  <c r="AA109" i="272"/>
  <c r="Z109" i="272"/>
  <c r="Y109" i="272"/>
  <c r="U109" i="272"/>
  <c r="Q109" i="272"/>
  <c r="O109" i="272"/>
  <c r="M109" i="272"/>
  <c r="HR103" i="272"/>
  <c r="HQ103" i="272"/>
  <c r="HP103" i="272"/>
  <c r="HO103" i="272"/>
  <c r="HN103" i="272"/>
  <c r="HM103" i="272"/>
  <c r="HL103" i="272"/>
  <c r="HK103" i="272"/>
  <c r="HJ103" i="272"/>
  <c r="HI103" i="272"/>
  <c r="HH103" i="272"/>
  <c r="HG103" i="272"/>
  <c r="HF103" i="272"/>
  <c r="HE103" i="272"/>
  <c r="HD103" i="272"/>
  <c r="HC103" i="272"/>
  <c r="HB103" i="272"/>
  <c r="HA103" i="272"/>
  <c r="GZ103" i="272"/>
  <c r="GY103" i="272"/>
  <c r="GX103" i="272"/>
  <c r="GW103" i="272"/>
  <c r="GV103" i="272"/>
  <c r="GU103" i="272"/>
  <c r="GT103" i="272"/>
  <c r="GS103" i="272"/>
  <c r="GR103" i="272"/>
  <c r="GQ103" i="272"/>
  <c r="GP103" i="272"/>
  <c r="GO103" i="272"/>
  <c r="GN103" i="272"/>
  <c r="GM103" i="272"/>
  <c r="GL103" i="272"/>
  <c r="GK103" i="272"/>
  <c r="GJ103" i="272"/>
  <c r="GI103" i="272"/>
  <c r="GH103" i="272"/>
  <c r="GG103" i="272"/>
  <c r="GF103" i="272"/>
  <c r="GE103" i="272"/>
  <c r="GD103" i="272"/>
  <c r="GC103" i="272"/>
  <c r="GB103" i="272"/>
  <c r="GA103" i="272"/>
  <c r="FZ103" i="272"/>
  <c r="FY103" i="272"/>
  <c r="FX103" i="272"/>
  <c r="FW103" i="272"/>
  <c r="FV103" i="272"/>
  <c r="FU103" i="272"/>
  <c r="FT103" i="272"/>
  <c r="FS103" i="272"/>
  <c r="FR103" i="272"/>
  <c r="FQ103" i="272"/>
  <c r="FP103" i="272"/>
  <c r="FO103" i="272"/>
  <c r="FN103" i="272"/>
  <c r="FM103" i="272"/>
  <c r="FL103" i="272"/>
  <c r="FK103" i="272"/>
  <c r="FJ103" i="272"/>
  <c r="FI103" i="272"/>
  <c r="FH103" i="272"/>
  <c r="FG103" i="272"/>
  <c r="FF103" i="272"/>
  <c r="FE103" i="272"/>
  <c r="FD103" i="272"/>
  <c r="FC103" i="272"/>
  <c r="FB103" i="272"/>
  <c r="FA103" i="272"/>
  <c r="EZ103" i="272"/>
  <c r="EY103" i="272"/>
  <c r="EX103" i="272"/>
  <c r="EW103" i="272"/>
  <c r="EV103" i="272"/>
  <c r="EU103" i="272"/>
  <c r="ET103" i="272"/>
  <c r="ES103" i="272"/>
  <c r="ER103" i="272"/>
  <c r="EQ103" i="272"/>
  <c r="EP103" i="272"/>
  <c r="EO103" i="272"/>
  <c r="EN103" i="272"/>
  <c r="EM103" i="272"/>
  <c r="EL103" i="272"/>
  <c r="EK103" i="272"/>
  <c r="EJ103" i="272"/>
  <c r="EI103" i="272"/>
  <c r="EH103" i="272"/>
  <c r="EG103" i="272"/>
  <c r="EF103" i="272"/>
  <c r="EE103" i="272"/>
  <c r="ED103" i="272"/>
  <c r="EC103" i="272"/>
  <c r="EB103" i="272"/>
  <c r="EA103" i="272"/>
  <c r="DZ103" i="272"/>
  <c r="DY103" i="272"/>
  <c r="DX103" i="272"/>
  <c r="DW103" i="272"/>
  <c r="DT103" i="272"/>
  <c r="DS103" i="272"/>
  <c r="DR103" i="272"/>
  <c r="DQ103" i="272"/>
  <c r="DP103" i="272"/>
  <c r="DO103" i="272"/>
  <c r="DN103" i="272"/>
  <c r="DM103" i="272"/>
  <c r="DL103" i="272"/>
  <c r="DK103" i="272"/>
  <c r="DJ103" i="272"/>
  <c r="DI103" i="272"/>
  <c r="DH103" i="272"/>
  <c r="DG103" i="272"/>
  <c r="DF103" i="272"/>
  <c r="DE103" i="272"/>
  <c r="DD103" i="272"/>
  <c r="DC103" i="272"/>
  <c r="DB103" i="272"/>
  <c r="DA103" i="272"/>
  <c r="CZ103" i="272"/>
  <c r="CY103" i="272"/>
  <c r="CX103" i="272"/>
  <c r="CW103" i="272"/>
  <c r="CV103" i="272"/>
  <c r="CU103" i="272"/>
  <c r="CT103" i="272"/>
  <c r="CS103" i="272"/>
  <c r="CR103" i="272"/>
  <c r="CQ103" i="272"/>
  <c r="CP103" i="272"/>
  <c r="CO103" i="272"/>
  <c r="CN103" i="272"/>
  <c r="CM103" i="272"/>
  <c r="CL103" i="272"/>
  <c r="CK103" i="272"/>
  <c r="CJ103" i="272"/>
  <c r="CI103" i="272"/>
  <c r="CH103" i="272"/>
  <c r="CG103" i="272"/>
  <c r="CF103" i="272"/>
  <c r="CE103" i="272"/>
  <c r="CD103" i="272"/>
  <c r="CC103" i="272"/>
  <c r="CB103" i="272"/>
  <c r="CA103" i="272"/>
  <c r="BZ103" i="272"/>
  <c r="BY103" i="272"/>
  <c r="BX103" i="272"/>
  <c r="BW103" i="272"/>
  <c r="BV103" i="272"/>
  <c r="BU103" i="272"/>
  <c r="BT103" i="272"/>
  <c r="BS103" i="272"/>
  <c r="BR103" i="272"/>
  <c r="BQ103" i="272"/>
  <c r="BP103" i="272"/>
  <c r="BO103" i="272"/>
  <c r="BN103" i="272"/>
  <c r="BM103" i="272"/>
  <c r="BL103" i="272"/>
  <c r="BK103" i="272"/>
  <c r="BJ103" i="272"/>
  <c r="BI103" i="272"/>
  <c r="BH103" i="272"/>
  <c r="BG103" i="272"/>
  <c r="BF103" i="272"/>
  <c r="BE103" i="272"/>
  <c r="BD103" i="272"/>
  <c r="BC103" i="272"/>
  <c r="BB103" i="272"/>
  <c r="BA103" i="272"/>
  <c r="AZ103" i="272"/>
  <c r="AY103" i="272"/>
  <c r="AX103" i="272"/>
  <c r="AW103" i="272"/>
  <c r="AV103" i="272"/>
  <c r="AU103" i="272"/>
  <c r="AT103" i="272"/>
  <c r="AS103" i="272"/>
  <c r="AR103" i="272"/>
  <c r="AQ103" i="272"/>
  <c r="AP103" i="272"/>
  <c r="AO103" i="272"/>
  <c r="AN103" i="272"/>
  <c r="AM103" i="272"/>
  <c r="AL103" i="272"/>
  <c r="AK103" i="272"/>
  <c r="AJ103" i="272"/>
  <c r="AI103" i="272"/>
  <c r="AH103" i="272"/>
  <c r="AG103" i="272"/>
  <c r="AF103" i="272"/>
  <c r="AE103" i="272"/>
  <c r="AD103" i="272"/>
  <c r="AC103" i="272"/>
  <c r="AB103" i="272"/>
  <c r="AA103" i="272"/>
  <c r="Z103" i="272"/>
  <c r="Y103" i="272"/>
  <c r="R103" i="272"/>
  <c r="Q103" i="272"/>
  <c r="O103" i="272"/>
  <c r="M103" i="272"/>
  <c r="HR102" i="272"/>
  <c r="HQ102" i="272"/>
  <c r="HP102" i="272"/>
  <c r="HO102" i="272"/>
  <c r="HN102" i="272"/>
  <c r="HM102" i="272"/>
  <c r="HL102" i="272"/>
  <c r="HK102" i="272"/>
  <c r="HJ102" i="272"/>
  <c r="HI102" i="272"/>
  <c r="HH102" i="272"/>
  <c r="HG102" i="272"/>
  <c r="HF102" i="272"/>
  <c r="HE102" i="272"/>
  <c r="HD102" i="272"/>
  <c r="HC102" i="272"/>
  <c r="HB102" i="272"/>
  <c r="HA102" i="272"/>
  <c r="GZ102" i="272"/>
  <c r="GY102" i="272"/>
  <c r="GX102" i="272"/>
  <c r="GW102" i="272"/>
  <c r="GV102" i="272"/>
  <c r="GU102" i="272"/>
  <c r="GT102" i="272"/>
  <c r="GS102" i="272"/>
  <c r="GR102" i="272"/>
  <c r="GQ102" i="272"/>
  <c r="GP102" i="272"/>
  <c r="GO102" i="272"/>
  <c r="GN102" i="272"/>
  <c r="GM102" i="272"/>
  <c r="GL102" i="272"/>
  <c r="GK102" i="272"/>
  <c r="GJ102" i="272"/>
  <c r="GI102" i="272"/>
  <c r="GH102" i="272"/>
  <c r="GG102" i="272"/>
  <c r="GF102" i="272"/>
  <c r="GE102" i="272"/>
  <c r="GD102" i="272"/>
  <c r="GC102" i="272"/>
  <c r="GB102" i="272"/>
  <c r="GA102" i="272"/>
  <c r="FZ102" i="272"/>
  <c r="FY102" i="272"/>
  <c r="FX102" i="272"/>
  <c r="FW102" i="272"/>
  <c r="FV102" i="272"/>
  <c r="FU102" i="272"/>
  <c r="FT102" i="272"/>
  <c r="FS102" i="272"/>
  <c r="FR102" i="272"/>
  <c r="FQ102" i="272"/>
  <c r="FP102" i="272"/>
  <c r="FO102" i="272"/>
  <c r="FN102" i="272"/>
  <c r="FM102" i="272"/>
  <c r="FL102" i="272"/>
  <c r="FK102" i="272"/>
  <c r="FJ102" i="272"/>
  <c r="FI102" i="272"/>
  <c r="FH102" i="272"/>
  <c r="FG102" i="272"/>
  <c r="FF102" i="272"/>
  <c r="FE102" i="272"/>
  <c r="FD102" i="272"/>
  <c r="FC102" i="272"/>
  <c r="FB102" i="272"/>
  <c r="FA102" i="272"/>
  <c r="EZ102" i="272"/>
  <c r="EY102" i="272"/>
  <c r="EX102" i="272"/>
  <c r="EW102" i="272"/>
  <c r="EV102" i="272"/>
  <c r="EU102" i="272"/>
  <c r="ET102" i="272"/>
  <c r="ES102" i="272"/>
  <c r="ER102" i="272"/>
  <c r="EQ102" i="272"/>
  <c r="EP102" i="272"/>
  <c r="EO102" i="272"/>
  <c r="EN102" i="272"/>
  <c r="EM102" i="272"/>
  <c r="EL102" i="272"/>
  <c r="EK102" i="272"/>
  <c r="EJ102" i="272"/>
  <c r="EI102" i="272"/>
  <c r="EH102" i="272"/>
  <c r="EG102" i="272"/>
  <c r="EF102" i="272"/>
  <c r="EE102" i="272"/>
  <c r="ED102" i="272"/>
  <c r="EC102" i="272"/>
  <c r="EB102" i="272"/>
  <c r="EA102" i="272"/>
  <c r="DZ102" i="272"/>
  <c r="DY102" i="272"/>
  <c r="DX102" i="272"/>
  <c r="DW102" i="272"/>
  <c r="DT102" i="272"/>
  <c r="DS102" i="272"/>
  <c r="DR102" i="272"/>
  <c r="DQ102" i="272"/>
  <c r="DP102" i="272"/>
  <c r="DO102" i="272"/>
  <c r="DN102" i="272"/>
  <c r="DM102" i="272"/>
  <c r="DL102" i="272"/>
  <c r="DK102" i="272"/>
  <c r="DJ102" i="272"/>
  <c r="DI102" i="272"/>
  <c r="DH102" i="272"/>
  <c r="DG102" i="272"/>
  <c r="DF102" i="272"/>
  <c r="DE102" i="272"/>
  <c r="DD102" i="272"/>
  <c r="DC102" i="272"/>
  <c r="DB102" i="272"/>
  <c r="DA102" i="272"/>
  <c r="CZ102" i="272"/>
  <c r="CY102" i="272"/>
  <c r="CX102" i="272"/>
  <c r="CW102" i="272"/>
  <c r="CV102" i="272"/>
  <c r="CU102" i="272"/>
  <c r="CT102" i="272"/>
  <c r="CS102" i="272"/>
  <c r="CR102" i="272"/>
  <c r="CQ102" i="272"/>
  <c r="CP102" i="272"/>
  <c r="CO102" i="272"/>
  <c r="CN102" i="272"/>
  <c r="CM102" i="272"/>
  <c r="CL102" i="272"/>
  <c r="CK102" i="272"/>
  <c r="CJ102" i="272"/>
  <c r="CI102" i="272"/>
  <c r="CH102" i="272"/>
  <c r="CG102" i="272"/>
  <c r="CF102" i="272"/>
  <c r="CE102" i="272"/>
  <c r="CD102" i="272"/>
  <c r="CC102" i="272"/>
  <c r="CB102" i="272"/>
  <c r="CA102" i="272"/>
  <c r="BZ102" i="272"/>
  <c r="BY102" i="272"/>
  <c r="BX102" i="272"/>
  <c r="BW102" i="272"/>
  <c r="BV102" i="272"/>
  <c r="BU102" i="272"/>
  <c r="BT102" i="272"/>
  <c r="BS102" i="272"/>
  <c r="BR102" i="272"/>
  <c r="BQ102" i="272"/>
  <c r="BP102" i="272"/>
  <c r="BO102" i="272"/>
  <c r="BN102" i="272"/>
  <c r="BM102" i="272"/>
  <c r="BL102" i="272"/>
  <c r="BK102" i="272"/>
  <c r="BJ102" i="272"/>
  <c r="BI102" i="272"/>
  <c r="BH102" i="272"/>
  <c r="BG102" i="272"/>
  <c r="BF102" i="272"/>
  <c r="BE102" i="272"/>
  <c r="BD102" i="272"/>
  <c r="BC102" i="272"/>
  <c r="BB102" i="272"/>
  <c r="BA102" i="272"/>
  <c r="AZ102" i="272"/>
  <c r="AY102" i="272"/>
  <c r="AX102" i="272"/>
  <c r="AW102" i="272"/>
  <c r="AV102" i="272"/>
  <c r="AU102" i="272"/>
  <c r="AT102" i="272"/>
  <c r="AS102" i="272"/>
  <c r="AR102" i="272"/>
  <c r="AQ102" i="272"/>
  <c r="AP102" i="272"/>
  <c r="AO102" i="272"/>
  <c r="AN102" i="272"/>
  <c r="AM102" i="272"/>
  <c r="AL102" i="272"/>
  <c r="AK102" i="272"/>
  <c r="AJ102" i="272"/>
  <c r="AI102" i="272"/>
  <c r="AH102" i="272"/>
  <c r="AG102" i="272"/>
  <c r="AF102" i="272"/>
  <c r="AE102" i="272"/>
  <c r="AD102" i="272"/>
  <c r="AC102" i="272"/>
  <c r="AB102" i="272"/>
  <c r="AA102" i="272"/>
  <c r="Z102" i="272"/>
  <c r="Y102" i="272"/>
  <c r="U102" i="272"/>
  <c r="R102" i="272"/>
  <c r="Q102" i="272"/>
  <c r="O102" i="272"/>
  <c r="M102" i="272"/>
  <c r="HR95" i="272"/>
  <c r="HQ95" i="272"/>
  <c r="HP95" i="272"/>
  <c r="HO95" i="272"/>
  <c r="HN95" i="272"/>
  <c r="HM95" i="272"/>
  <c r="HL95" i="272"/>
  <c r="HK95" i="272"/>
  <c r="HJ95" i="272"/>
  <c r="HI95" i="272"/>
  <c r="HH95" i="272"/>
  <c r="HG95" i="272"/>
  <c r="HF95" i="272"/>
  <c r="HE95" i="272"/>
  <c r="HD95" i="272"/>
  <c r="HC95" i="272"/>
  <c r="HB95" i="272"/>
  <c r="HA95" i="272"/>
  <c r="GZ95" i="272"/>
  <c r="GY95" i="272"/>
  <c r="GX95" i="272"/>
  <c r="GW95" i="272"/>
  <c r="GV95" i="272"/>
  <c r="GU95" i="272"/>
  <c r="GT95" i="272"/>
  <c r="GS95" i="272"/>
  <c r="GR95" i="272"/>
  <c r="GQ95" i="272"/>
  <c r="GP95" i="272"/>
  <c r="GO95" i="272"/>
  <c r="GN95" i="272"/>
  <c r="GM95" i="272"/>
  <c r="GL95" i="272"/>
  <c r="GK95" i="272"/>
  <c r="GJ95" i="272"/>
  <c r="GI95" i="272"/>
  <c r="GH95" i="272"/>
  <c r="GG95" i="272"/>
  <c r="GF95" i="272"/>
  <c r="GE95" i="272"/>
  <c r="GD95" i="272"/>
  <c r="GC95" i="272"/>
  <c r="GB95" i="272"/>
  <c r="GA95" i="272"/>
  <c r="FZ95" i="272"/>
  <c r="FY95" i="272"/>
  <c r="FX95" i="272"/>
  <c r="FW95" i="272"/>
  <c r="FV95" i="272"/>
  <c r="FU95" i="272"/>
  <c r="FT95" i="272"/>
  <c r="FS95" i="272"/>
  <c r="FR95" i="272"/>
  <c r="FQ95" i="272"/>
  <c r="FP95" i="272"/>
  <c r="FO95" i="272"/>
  <c r="FN95" i="272"/>
  <c r="FM95" i="272"/>
  <c r="FL95" i="272"/>
  <c r="FK95" i="272"/>
  <c r="FJ95" i="272"/>
  <c r="FI95" i="272"/>
  <c r="FH95" i="272"/>
  <c r="FG95" i="272"/>
  <c r="FF95" i="272"/>
  <c r="FE95" i="272"/>
  <c r="FD95" i="272"/>
  <c r="FC95" i="272"/>
  <c r="FB95" i="272"/>
  <c r="FA95" i="272"/>
  <c r="EZ95" i="272"/>
  <c r="EY95" i="272"/>
  <c r="EX95" i="272"/>
  <c r="EW95" i="272"/>
  <c r="EV95" i="272"/>
  <c r="EU95" i="272"/>
  <c r="ET95" i="272"/>
  <c r="ES95" i="272"/>
  <c r="ER95" i="272"/>
  <c r="EQ95" i="272"/>
  <c r="EP95" i="272"/>
  <c r="EO95" i="272"/>
  <c r="EN95" i="272"/>
  <c r="EM95" i="272"/>
  <c r="EL95" i="272"/>
  <c r="EK95" i="272"/>
  <c r="EJ95" i="272"/>
  <c r="EI95" i="272"/>
  <c r="EH95" i="272"/>
  <c r="EG95" i="272"/>
  <c r="EF95" i="272"/>
  <c r="EE95" i="272"/>
  <c r="ED95" i="272"/>
  <c r="EC95" i="272"/>
  <c r="EB95" i="272"/>
  <c r="EA95" i="272"/>
  <c r="DZ95" i="272"/>
  <c r="DY95" i="272"/>
  <c r="DX95" i="272"/>
  <c r="DW95" i="272"/>
  <c r="DT95" i="272"/>
  <c r="DS95" i="272"/>
  <c r="DR95" i="272"/>
  <c r="DQ95" i="272"/>
  <c r="DP95" i="272"/>
  <c r="DO95" i="272"/>
  <c r="DN95" i="272"/>
  <c r="DM95" i="272"/>
  <c r="DL95" i="272"/>
  <c r="DK95" i="272"/>
  <c r="DJ95" i="272"/>
  <c r="DI95" i="272"/>
  <c r="DH95" i="272"/>
  <c r="DG95" i="272"/>
  <c r="DF95" i="272"/>
  <c r="DE95" i="272"/>
  <c r="DD95" i="272"/>
  <c r="DC95" i="272"/>
  <c r="DB95" i="272"/>
  <c r="DA95" i="272"/>
  <c r="CZ95" i="272"/>
  <c r="CY95" i="272"/>
  <c r="CX95" i="272"/>
  <c r="CW95" i="272"/>
  <c r="CV95" i="272"/>
  <c r="CU95" i="272"/>
  <c r="CT95" i="272"/>
  <c r="CS95" i="272"/>
  <c r="CR95" i="272"/>
  <c r="CQ95" i="272"/>
  <c r="CP95" i="272"/>
  <c r="CO95" i="272"/>
  <c r="CN95" i="272"/>
  <c r="CM95" i="272"/>
  <c r="CL95" i="272"/>
  <c r="CK95" i="272"/>
  <c r="CJ95" i="272"/>
  <c r="CI95" i="272"/>
  <c r="CH95" i="272"/>
  <c r="CG95" i="272"/>
  <c r="CF95" i="272"/>
  <c r="CE95" i="272"/>
  <c r="CD95" i="272"/>
  <c r="CC95" i="272"/>
  <c r="CB95" i="272"/>
  <c r="CA95" i="272"/>
  <c r="BZ95" i="272"/>
  <c r="BY95" i="272"/>
  <c r="BX95" i="272"/>
  <c r="BW95" i="272"/>
  <c r="BV95" i="272"/>
  <c r="BU95" i="272"/>
  <c r="BT95" i="272"/>
  <c r="BS95" i="272"/>
  <c r="BR95" i="272"/>
  <c r="BQ95" i="272"/>
  <c r="BP95" i="272"/>
  <c r="BO95" i="272"/>
  <c r="BN95" i="272"/>
  <c r="BM95" i="272"/>
  <c r="BL95" i="272"/>
  <c r="BK95" i="272"/>
  <c r="BJ95" i="272"/>
  <c r="BI95" i="272"/>
  <c r="BH95" i="272"/>
  <c r="BG95" i="272"/>
  <c r="BF95" i="272"/>
  <c r="BE95" i="272"/>
  <c r="BD95" i="272"/>
  <c r="BC95" i="272"/>
  <c r="BB95" i="272"/>
  <c r="BA95" i="272"/>
  <c r="AZ95" i="272"/>
  <c r="AY95" i="272"/>
  <c r="AX95" i="272"/>
  <c r="AW95" i="272"/>
  <c r="AV95" i="272"/>
  <c r="AU95" i="272"/>
  <c r="AT95" i="272"/>
  <c r="AS95" i="272"/>
  <c r="AR95" i="272"/>
  <c r="AQ95" i="272"/>
  <c r="AP95" i="272"/>
  <c r="AO95" i="272"/>
  <c r="AN95" i="272"/>
  <c r="AM95" i="272"/>
  <c r="AL95" i="272"/>
  <c r="AK95" i="272"/>
  <c r="AJ95" i="272"/>
  <c r="AI95" i="272"/>
  <c r="AH95" i="272"/>
  <c r="AG95" i="272"/>
  <c r="AF95" i="272"/>
  <c r="AE95" i="272"/>
  <c r="AD95" i="272"/>
  <c r="AC95" i="272"/>
  <c r="AB95" i="272"/>
  <c r="AA95" i="272"/>
  <c r="Z95" i="272"/>
  <c r="Y95" i="272"/>
  <c r="U95" i="272"/>
  <c r="R95" i="272"/>
  <c r="Q95" i="272"/>
  <c r="O95" i="272"/>
  <c r="M95" i="272"/>
  <c r="HR94" i="272"/>
  <c r="HQ94" i="272"/>
  <c r="HP94" i="272"/>
  <c r="HO94" i="272"/>
  <c r="HN94" i="272"/>
  <c r="HM94" i="272"/>
  <c r="HL94" i="272"/>
  <c r="HK94" i="272"/>
  <c r="HJ94" i="272"/>
  <c r="HI94" i="272"/>
  <c r="HH94" i="272"/>
  <c r="HG94" i="272"/>
  <c r="HF94" i="272"/>
  <c r="HE94" i="272"/>
  <c r="HD94" i="272"/>
  <c r="HC94" i="272"/>
  <c r="HB94" i="272"/>
  <c r="HA94" i="272"/>
  <c r="GZ94" i="272"/>
  <c r="GY94" i="272"/>
  <c r="GX94" i="272"/>
  <c r="GW94" i="272"/>
  <c r="GV94" i="272"/>
  <c r="GU94" i="272"/>
  <c r="GT94" i="272"/>
  <c r="GS94" i="272"/>
  <c r="GR94" i="272"/>
  <c r="GQ94" i="272"/>
  <c r="GP94" i="272"/>
  <c r="GO94" i="272"/>
  <c r="GN94" i="272"/>
  <c r="GM94" i="272"/>
  <c r="GL94" i="272"/>
  <c r="GK94" i="272"/>
  <c r="GJ94" i="272"/>
  <c r="GI94" i="272"/>
  <c r="GH94" i="272"/>
  <c r="GG94" i="272"/>
  <c r="GF94" i="272"/>
  <c r="GE94" i="272"/>
  <c r="GD94" i="272"/>
  <c r="GC94" i="272"/>
  <c r="GB94" i="272"/>
  <c r="GA94" i="272"/>
  <c r="FZ94" i="272"/>
  <c r="FY94" i="272"/>
  <c r="FX94" i="272"/>
  <c r="FW94" i="272"/>
  <c r="FV94" i="272"/>
  <c r="FU94" i="272"/>
  <c r="FT94" i="272"/>
  <c r="FS94" i="272"/>
  <c r="FR94" i="272"/>
  <c r="FQ94" i="272"/>
  <c r="FP94" i="272"/>
  <c r="FO94" i="272"/>
  <c r="FN94" i="272"/>
  <c r="FM94" i="272"/>
  <c r="FL94" i="272"/>
  <c r="FK94" i="272"/>
  <c r="FJ94" i="272"/>
  <c r="FI94" i="272"/>
  <c r="FH94" i="272"/>
  <c r="FG94" i="272"/>
  <c r="FF94" i="272"/>
  <c r="FE94" i="272"/>
  <c r="FD94" i="272"/>
  <c r="FC94" i="272"/>
  <c r="FB94" i="272"/>
  <c r="FA94" i="272"/>
  <c r="EZ94" i="272"/>
  <c r="EY94" i="272"/>
  <c r="EX94" i="272"/>
  <c r="EW94" i="272"/>
  <c r="EV94" i="272"/>
  <c r="EU94" i="272"/>
  <c r="ET94" i="272"/>
  <c r="ES94" i="272"/>
  <c r="ER94" i="272"/>
  <c r="EQ94" i="272"/>
  <c r="EP94" i="272"/>
  <c r="EO94" i="272"/>
  <c r="EN94" i="272"/>
  <c r="EM94" i="272"/>
  <c r="EL94" i="272"/>
  <c r="EK94" i="272"/>
  <c r="EJ94" i="272"/>
  <c r="EI94" i="272"/>
  <c r="EH94" i="272"/>
  <c r="EG94" i="272"/>
  <c r="EF94" i="272"/>
  <c r="EE94" i="272"/>
  <c r="ED94" i="272"/>
  <c r="EC94" i="272"/>
  <c r="EB94" i="272"/>
  <c r="EA94" i="272"/>
  <c r="DZ94" i="272"/>
  <c r="DY94" i="272"/>
  <c r="DX94" i="272"/>
  <c r="DW94" i="272"/>
  <c r="DT94" i="272"/>
  <c r="DS94" i="272"/>
  <c r="DR94" i="272"/>
  <c r="DQ94" i="272"/>
  <c r="DP94" i="272"/>
  <c r="DO94" i="272"/>
  <c r="DN94" i="272"/>
  <c r="DM94" i="272"/>
  <c r="DL94" i="272"/>
  <c r="DK94" i="272"/>
  <c r="DJ94" i="272"/>
  <c r="DI94" i="272"/>
  <c r="DH94" i="272"/>
  <c r="DG94" i="272"/>
  <c r="DF94" i="272"/>
  <c r="DE94" i="272"/>
  <c r="DD94" i="272"/>
  <c r="DC94" i="272"/>
  <c r="DB94" i="272"/>
  <c r="DA94" i="272"/>
  <c r="CZ94" i="272"/>
  <c r="CY94" i="272"/>
  <c r="CX94" i="272"/>
  <c r="CW94" i="272"/>
  <c r="CV94" i="272"/>
  <c r="CU94" i="272"/>
  <c r="CT94" i="272"/>
  <c r="CS94" i="272"/>
  <c r="CR94" i="272"/>
  <c r="CQ94" i="272"/>
  <c r="CP94" i="272"/>
  <c r="CO94" i="272"/>
  <c r="CN94" i="272"/>
  <c r="CM94" i="272"/>
  <c r="CL94" i="272"/>
  <c r="CK94" i="272"/>
  <c r="CJ94" i="272"/>
  <c r="CI94" i="272"/>
  <c r="CH94" i="272"/>
  <c r="CG94" i="272"/>
  <c r="CF94" i="272"/>
  <c r="CE94" i="272"/>
  <c r="CD94" i="272"/>
  <c r="CC94" i="272"/>
  <c r="CB94" i="272"/>
  <c r="CA94" i="272"/>
  <c r="BZ94" i="272"/>
  <c r="BY94" i="272"/>
  <c r="BX94" i="272"/>
  <c r="BW94" i="272"/>
  <c r="BV94" i="272"/>
  <c r="BU94" i="272"/>
  <c r="BT94" i="272"/>
  <c r="BS94" i="272"/>
  <c r="BR94" i="272"/>
  <c r="BQ94" i="272"/>
  <c r="BP94" i="272"/>
  <c r="BO94" i="272"/>
  <c r="BN94" i="272"/>
  <c r="BM94" i="272"/>
  <c r="BL94" i="272"/>
  <c r="BK94" i="272"/>
  <c r="BJ94" i="272"/>
  <c r="BI94" i="272"/>
  <c r="BH94" i="272"/>
  <c r="BG94" i="272"/>
  <c r="BF94" i="272"/>
  <c r="BE94" i="272"/>
  <c r="BD94" i="272"/>
  <c r="BC94" i="272"/>
  <c r="BB94" i="272"/>
  <c r="BA94" i="272"/>
  <c r="AZ94" i="272"/>
  <c r="AY94" i="272"/>
  <c r="AX94" i="272"/>
  <c r="AW94" i="272"/>
  <c r="AV94" i="272"/>
  <c r="AU94" i="272"/>
  <c r="AT94" i="272"/>
  <c r="AS94" i="272"/>
  <c r="AR94" i="272"/>
  <c r="AQ94" i="272"/>
  <c r="AP94" i="272"/>
  <c r="AO94" i="272"/>
  <c r="AN94" i="272"/>
  <c r="AM94" i="272"/>
  <c r="AL94" i="272"/>
  <c r="AK94" i="272"/>
  <c r="AJ94" i="272"/>
  <c r="AI94" i="272"/>
  <c r="AH94" i="272"/>
  <c r="AG94" i="272"/>
  <c r="AF94" i="272"/>
  <c r="AE94" i="272"/>
  <c r="AD94" i="272"/>
  <c r="AC94" i="272"/>
  <c r="AB94" i="272"/>
  <c r="AA94" i="272"/>
  <c r="Z94" i="272"/>
  <c r="Y94" i="272"/>
  <c r="U94" i="272"/>
  <c r="R94" i="272"/>
  <c r="Q94" i="272"/>
  <c r="O94" i="272"/>
  <c r="M94" i="272"/>
  <c r="HR93" i="272"/>
  <c r="HQ93" i="272"/>
  <c r="HP93" i="272"/>
  <c r="HO93" i="272"/>
  <c r="HN93" i="272"/>
  <c r="HM93" i="272"/>
  <c r="HL93" i="272"/>
  <c r="HK93" i="272"/>
  <c r="HJ93" i="272"/>
  <c r="HI93" i="272"/>
  <c r="HH93" i="272"/>
  <c r="HG93" i="272"/>
  <c r="HF93" i="272"/>
  <c r="HE93" i="272"/>
  <c r="HD93" i="272"/>
  <c r="HC93" i="272"/>
  <c r="HB93" i="272"/>
  <c r="HA93" i="272"/>
  <c r="GZ93" i="272"/>
  <c r="GY93" i="272"/>
  <c r="GX93" i="272"/>
  <c r="GW93" i="272"/>
  <c r="GV93" i="272"/>
  <c r="GU93" i="272"/>
  <c r="GT93" i="272"/>
  <c r="GS93" i="272"/>
  <c r="GR93" i="272"/>
  <c r="GQ93" i="272"/>
  <c r="GP93" i="272"/>
  <c r="GO93" i="272"/>
  <c r="GN93" i="272"/>
  <c r="GM93" i="272"/>
  <c r="GL93" i="272"/>
  <c r="GK93" i="272"/>
  <c r="GJ93" i="272"/>
  <c r="GI93" i="272"/>
  <c r="GH93" i="272"/>
  <c r="GG93" i="272"/>
  <c r="GF93" i="272"/>
  <c r="GE93" i="272"/>
  <c r="GD93" i="272"/>
  <c r="GC93" i="272"/>
  <c r="GB93" i="272"/>
  <c r="GA93" i="272"/>
  <c r="FZ93" i="272"/>
  <c r="FY93" i="272"/>
  <c r="FX93" i="272"/>
  <c r="FW93" i="272"/>
  <c r="FV93" i="272"/>
  <c r="FU93" i="272"/>
  <c r="FT93" i="272"/>
  <c r="FS93" i="272"/>
  <c r="FR93" i="272"/>
  <c r="FQ93" i="272"/>
  <c r="FP93" i="272"/>
  <c r="FO93" i="272"/>
  <c r="FN93" i="272"/>
  <c r="FM93" i="272"/>
  <c r="FL93" i="272"/>
  <c r="FK93" i="272"/>
  <c r="FJ93" i="272"/>
  <c r="FI93" i="272"/>
  <c r="FH93" i="272"/>
  <c r="FG93" i="272"/>
  <c r="FF93" i="272"/>
  <c r="FE93" i="272"/>
  <c r="FD93" i="272"/>
  <c r="FC93" i="272"/>
  <c r="FB93" i="272"/>
  <c r="FA93" i="272"/>
  <c r="EZ93" i="272"/>
  <c r="EY93" i="272"/>
  <c r="EX93" i="272"/>
  <c r="EW93" i="272"/>
  <c r="EV93" i="272"/>
  <c r="EU93" i="272"/>
  <c r="ET93" i="272"/>
  <c r="ES93" i="272"/>
  <c r="ER93" i="272"/>
  <c r="EQ93" i="272"/>
  <c r="EP93" i="272"/>
  <c r="EO93" i="272"/>
  <c r="EN93" i="272"/>
  <c r="EM93" i="272"/>
  <c r="EL93" i="272"/>
  <c r="EK93" i="272"/>
  <c r="EJ93" i="272"/>
  <c r="EI93" i="272"/>
  <c r="EH93" i="272"/>
  <c r="EG93" i="272"/>
  <c r="EF93" i="272"/>
  <c r="EE93" i="272"/>
  <c r="ED93" i="272"/>
  <c r="EC93" i="272"/>
  <c r="EB93" i="272"/>
  <c r="EA93" i="272"/>
  <c r="DZ93" i="272"/>
  <c r="DY93" i="272"/>
  <c r="DX93" i="272"/>
  <c r="DW93" i="272"/>
  <c r="DT93" i="272"/>
  <c r="DS93" i="272"/>
  <c r="DR93" i="272"/>
  <c r="DQ93" i="272"/>
  <c r="DP93" i="272"/>
  <c r="DO93" i="272"/>
  <c r="DN93" i="272"/>
  <c r="DM93" i="272"/>
  <c r="DL93" i="272"/>
  <c r="DK93" i="272"/>
  <c r="DJ93" i="272"/>
  <c r="DI93" i="272"/>
  <c r="DH93" i="272"/>
  <c r="DG93" i="272"/>
  <c r="DF93" i="272"/>
  <c r="DE93" i="272"/>
  <c r="DD93" i="272"/>
  <c r="DC93" i="272"/>
  <c r="DB93" i="272"/>
  <c r="DA93" i="272"/>
  <c r="CZ93" i="272"/>
  <c r="CY93" i="272"/>
  <c r="CX93" i="272"/>
  <c r="CW93" i="272"/>
  <c r="CV93" i="272"/>
  <c r="CU93" i="272"/>
  <c r="CT93" i="272"/>
  <c r="CS93" i="272"/>
  <c r="CR93" i="272"/>
  <c r="CQ93" i="272"/>
  <c r="CP93" i="272"/>
  <c r="CO93" i="272"/>
  <c r="CN93" i="272"/>
  <c r="CM93" i="272"/>
  <c r="CL93" i="272"/>
  <c r="CK93" i="272"/>
  <c r="CJ93" i="272"/>
  <c r="CI93" i="272"/>
  <c r="CH93" i="272"/>
  <c r="CG93" i="272"/>
  <c r="CF93" i="272"/>
  <c r="CE93" i="272"/>
  <c r="CD93" i="272"/>
  <c r="CC93" i="272"/>
  <c r="CB93" i="272"/>
  <c r="CA93" i="272"/>
  <c r="BZ93" i="272"/>
  <c r="BY93" i="272"/>
  <c r="BX93" i="272"/>
  <c r="BW93" i="272"/>
  <c r="BV93" i="272"/>
  <c r="BU93" i="272"/>
  <c r="BT93" i="272"/>
  <c r="BS93" i="272"/>
  <c r="BR93" i="272"/>
  <c r="BQ93" i="272"/>
  <c r="BP93" i="272"/>
  <c r="BO93" i="272"/>
  <c r="BN93" i="272"/>
  <c r="BM93" i="272"/>
  <c r="BL93" i="272"/>
  <c r="BK93" i="272"/>
  <c r="BJ93" i="272"/>
  <c r="BI93" i="272"/>
  <c r="BH93" i="272"/>
  <c r="BG93" i="272"/>
  <c r="BF93" i="272"/>
  <c r="BE93" i="272"/>
  <c r="BD93" i="272"/>
  <c r="BC93" i="272"/>
  <c r="BB93" i="272"/>
  <c r="BA93" i="272"/>
  <c r="AZ93" i="272"/>
  <c r="AY93" i="272"/>
  <c r="AX93" i="272"/>
  <c r="AW93" i="272"/>
  <c r="AV93" i="272"/>
  <c r="AU93" i="272"/>
  <c r="AT93" i="272"/>
  <c r="AS93" i="272"/>
  <c r="AR93" i="272"/>
  <c r="AQ93" i="272"/>
  <c r="AP93" i="272"/>
  <c r="AO93" i="272"/>
  <c r="AN93" i="272"/>
  <c r="AM93" i="272"/>
  <c r="AL93" i="272"/>
  <c r="AK93" i="272"/>
  <c r="AJ93" i="272"/>
  <c r="AI93" i="272"/>
  <c r="AH93" i="272"/>
  <c r="AG93" i="272"/>
  <c r="AF93" i="272"/>
  <c r="AE93" i="272"/>
  <c r="AD93" i="272"/>
  <c r="AC93" i="272"/>
  <c r="AB93" i="272"/>
  <c r="AA93" i="272"/>
  <c r="Z93" i="272"/>
  <c r="Y93" i="272"/>
  <c r="R93" i="272"/>
  <c r="Q93" i="272"/>
  <c r="O93" i="272"/>
  <c r="M93" i="272"/>
  <c r="HR92" i="272"/>
  <c r="HQ92" i="272"/>
  <c r="HP92" i="272"/>
  <c r="HO92" i="272"/>
  <c r="HN92" i="272"/>
  <c r="HM92" i="272"/>
  <c r="HL92" i="272"/>
  <c r="HK92" i="272"/>
  <c r="HJ92" i="272"/>
  <c r="HI92" i="272"/>
  <c r="HH92" i="272"/>
  <c r="HG92" i="272"/>
  <c r="HF92" i="272"/>
  <c r="HE92" i="272"/>
  <c r="HD92" i="272"/>
  <c r="HC92" i="272"/>
  <c r="HB92" i="272"/>
  <c r="HA92" i="272"/>
  <c r="GZ92" i="272"/>
  <c r="GY92" i="272"/>
  <c r="GX92" i="272"/>
  <c r="GW92" i="272"/>
  <c r="GV92" i="272"/>
  <c r="GU92" i="272"/>
  <c r="GT92" i="272"/>
  <c r="GS92" i="272"/>
  <c r="GR92" i="272"/>
  <c r="GQ92" i="272"/>
  <c r="GP92" i="272"/>
  <c r="GO92" i="272"/>
  <c r="GN92" i="272"/>
  <c r="GM92" i="272"/>
  <c r="GL92" i="272"/>
  <c r="GK92" i="272"/>
  <c r="GJ92" i="272"/>
  <c r="GI92" i="272"/>
  <c r="GH92" i="272"/>
  <c r="GG92" i="272"/>
  <c r="GF92" i="272"/>
  <c r="GE92" i="272"/>
  <c r="GD92" i="272"/>
  <c r="GC92" i="272"/>
  <c r="GB92" i="272"/>
  <c r="GA92" i="272"/>
  <c r="FZ92" i="272"/>
  <c r="FY92" i="272"/>
  <c r="FW92" i="272"/>
  <c r="FV92" i="272"/>
  <c r="FU92" i="272"/>
  <c r="FT92" i="272"/>
  <c r="FS92" i="272"/>
  <c r="FR92" i="272"/>
  <c r="FQ92" i="272"/>
  <c r="FP92" i="272"/>
  <c r="FO92" i="272"/>
  <c r="FN92" i="272"/>
  <c r="FM92" i="272"/>
  <c r="FL92" i="272"/>
  <c r="FK92" i="272"/>
  <c r="FJ92" i="272"/>
  <c r="FI92" i="272"/>
  <c r="FH92" i="272"/>
  <c r="FG92" i="272"/>
  <c r="FF92" i="272"/>
  <c r="FE92" i="272"/>
  <c r="FD92" i="272"/>
  <c r="FC92" i="272"/>
  <c r="FB92" i="272"/>
  <c r="FA92" i="272"/>
  <c r="EZ92" i="272"/>
  <c r="EY92" i="272"/>
  <c r="EX92" i="272"/>
  <c r="EW92" i="272"/>
  <c r="EV92" i="272"/>
  <c r="EU92" i="272"/>
  <c r="ET92" i="272"/>
  <c r="ES92" i="272"/>
  <c r="ER92" i="272"/>
  <c r="EQ92" i="272"/>
  <c r="EP92" i="272"/>
  <c r="EO92" i="272"/>
  <c r="EN92" i="272"/>
  <c r="EM92" i="272"/>
  <c r="EL92" i="272"/>
  <c r="EK92" i="272"/>
  <c r="EJ92" i="272"/>
  <c r="EI92" i="272"/>
  <c r="EH92" i="272"/>
  <c r="EG92" i="272"/>
  <c r="EF92" i="272"/>
  <c r="EE92" i="272"/>
  <c r="ED92" i="272"/>
  <c r="EC92" i="272"/>
  <c r="EB92" i="272"/>
  <c r="EA92" i="272"/>
  <c r="DZ92" i="272"/>
  <c r="DY92" i="272"/>
  <c r="DX92" i="272"/>
  <c r="DW92" i="272"/>
  <c r="DT92" i="272"/>
  <c r="DS92" i="272"/>
  <c r="DR92" i="272"/>
  <c r="DQ92" i="272"/>
  <c r="DP92" i="272"/>
  <c r="DO92" i="272"/>
  <c r="DN92" i="272"/>
  <c r="DM92" i="272"/>
  <c r="DL92" i="272"/>
  <c r="DK92" i="272"/>
  <c r="DJ92" i="272"/>
  <c r="DI92" i="272"/>
  <c r="DH92" i="272"/>
  <c r="DG92" i="272"/>
  <c r="DF92" i="272"/>
  <c r="DE92" i="272"/>
  <c r="DD92" i="272"/>
  <c r="DC92" i="272"/>
  <c r="DB92" i="272"/>
  <c r="DA92" i="272"/>
  <c r="CZ92" i="272"/>
  <c r="CY92" i="272"/>
  <c r="CX92" i="272"/>
  <c r="CW92" i="272"/>
  <c r="CV92" i="272"/>
  <c r="CU92" i="272"/>
  <c r="CT92" i="272"/>
  <c r="CS92" i="272"/>
  <c r="CR92" i="272"/>
  <c r="CQ92" i="272"/>
  <c r="CP92" i="272"/>
  <c r="CO92" i="272"/>
  <c r="CN92" i="272"/>
  <c r="CM92" i="272"/>
  <c r="CL92" i="272"/>
  <c r="CK92" i="272"/>
  <c r="CJ92" i="272"/>
  <c r="CI92" i="272"/>
  <c r="CH92" i="272"/>
  <c r="CG92" i="272"/>
  <c r="CF92" i="272"/>
  <c r="CE92" i="272"/>
  <c r="CD92" i="272"/>
  <c r="CC92" i="272"/>
  <c r="CB92" i="272"/>
  <c r="CA92" i="272"/>
  <c r="BZ92" i="272"/>
  <c r="BY92" i="272"/>
  <c r="BX92" i="272"/>
  <c r="BW92" i="272"/>
  <c r="BV92" i="272"/>
  <c r="BU92" i="272"/>
  <c r="BT92" i="272"/>
  <c r="BS92" i="272"/>
  <c r="BR92" i="272"/>
  <c r="BQ92" i="272"/>
  <c r="BP92" i="272"/>
  <c r="BO92" i="272"/>
  <c r="BN92" i="272"/>
  <c r="BM92" i="272"/>
  <c r="BL92" i="272"/>
  <c r="BK92" i="272"/>
  <c r="BJ92" i="272"/>
  <c r="BI92" i="272"/>
  <c r="BH92" i="272"/>
  <c r="BG92" i="272"/>
  <c r="BF92" i="272"/>
  <c r="BE92" i="272"/>
  <c r="BD92" i="272"/>
  <c r="BC92" i="272"/>
  <c r="BB92" i="272"/>
  <c r="BA92" i="272"/>
  <c r="AZ92" i="272"/>
  <c r="AY92" i="272"/>
  <c r="AX92" i="272"/>
  <c r="AW92" i="272"/>
  <c r="AV92" i="272"/>
  <c r="AU92" i="272"/>
  <c r="AT92" i="272"/>
  <c r="AS92" i="272"/>
  <c r="AR92" i="272"/>
  <c r="AQ92" i="272"/>
  <c r="AP92" i="272"/>
  <c r="AO92" i="272"/>
  <c r="AN92" i="272"/>
  <c r="AM92" i="272"/>
  <c r="AL92" i="272"/>
  <c r="AK92" i="272"/>
  <c r="AJ92" i="272"/>
  <c r="AI92" i="272"/>
  <c r="AH92" i="272"/>
  <c r="AG92" i="272"/>
  <c r="AF92" i="272"/>
  <c r="AE92" i="272"/>
  <c r="AD92" i="272"/>
  <c r="AC92" i="272"/>
  <c r="AB92" i="272"/>
  <c r="AA92" i="272"/>
  <c r="Z92" i="272"/>
  <c r="Y92" i="272"/>
  <c r="U92" i="272"/>
  <c r="M92" i="272"/>
  <c r="O92" i="272" s="1"/>
  <c r="FX92" i="272" s="1"/>
  <c r="HR91" i="272"/>
  <c r="HQ91" i="272"/>
  <c r="HP91" i="272"/>
  <c r="HO91" i="272"/>
  <c r="HN91" i="272"/>
  <c r="HM91" i="272"/>
  <c r="HL91" i="272"/>
  <c r="HK91" i="272"/>
  <c r="HJ91" i="272"/>
  <c r="HI91" i="272"/>
  <c r="HH91" i="272"/>
  <c r="HG91" i="272"/>
  <c r="HF91" i="272"/>
  <c r="HE91" i="272"/>
  <c r="HD91" i="272"/>
  <c r="HC91" i="272"/>
  <c r="HB91" i="272"/>
  <c r="HA91" i="272"/>
  <c r="GZ91" i="272"/>
  <c r="GY91" i="272"/>
  <c r="GX91" i="272"/>
  <c r="GW91" i="272"/>
  <c r="GV91" i="272"/>
  <c r="GU91" i="272"/>
  <c r="GT91" i="272"/>
  <c r="GS91" i="272"/>
  <c r="GR91" i="272"/>
  <c r="GQ91" i="272"/>
  <c r="GP91" i="272"/>
  <c r="GO91" i="272"/>
  <c r="GN91" i="272"/>
  <c r="GM91" i="272"/>
  <c r="GL91" i="272"/>
  <c r="GK91" i="272"/>
  <c r="GJ91" i="272"/>
  <c r="GI91" i="272"/>
  <c r="GH91" i="272"/>
  <c r="GG91" i="272"/>
  <c r="GF91" i="272"/>
  <c r="GE91" i="272"/>
  <c r="GD91" i="272"/>
  <c r="GC91" i="272"/>
  <c r="GB91" i="272"/>
  <c r="GA91" i="272"/>
  <c r="FZ91" i="272"/>
  <c r="FY91" i="272"/>
  <c r="FX91" i="272"/>
  <c r="FV91" i="272"/>
  <c r="FU91" i="272"/>
  <c r="FT91" i="272"/>
  <c r="FS91" i="272"/>
  <c r="FR91" i="272"/>
  <c r="FQ91" i="272"/>
  <c r="FP91" i="272"/>
  <c r="FO91" i="272"/>
  <c r="FN91" i="272"/>
  <c r="FM91" i="272"/>
  <c r="FL91" i="272"/>
  <c r="FK91" i="272"/>
  <c r="FJ91" i="272"/>
  <c r="FI91" i="272"/>
  <c r="FH91" i="272"/>
  <c r="FG91" i="272"/>
  <c r="FF91" i="272"/>
  <c r="FE91" i="272"/>
  <c r="FD91" i="272"/>
  <c r="FC91" i="272"/>
  <c r="FB91" i="272"/>
  <c r="FA91" i="272"/>
  <c r="EZ91" i="272"/>
  <c r="EY91" i="272"/>
  <c r="EX91" i="272"/>
  <c r="EW91" i="272"/>
  <c r="EV91" i="272"/>
  <c r="EU91" i="272"/>
  <c r="ET91" i="272"/>
  <c r="ES91" i="272"/>
  <c r="ER91" i="272"/>
  <c r="EQ91" i="272"/>
  <c r="EP91" i="272"/>
  <c r="EO91" i="272"/>
  <c r="EN91" i="272"/>
  <c r="EM91" i="272"/>
  <c r="EL91" i="272"/>
  <c r="EK91" i="272"/>
  <c r="EJ91" i="272"/>
  <c r="EI91" i="272"/>
  <c r="EH91" i="272"/>
  <c r="EG91" i="272"/>
  <c r="EF91" i="272"/>
  <c r="EE91" i="272"/>
  <c r="ED91" i="272"/>
  <c r="EC91" i="272"/>
  <c r="EB91" i="272"/>
  <c r="EA91" i="272"/>
  <c r="DZ91" i="272"/>
  <c r="DY91" i="272"/>
  <c r="DX91" i="272"/>
  <c r="DW91" i="272"/>
  <c r="DT91" i="272"/>
  <c r="DS91" i="272"/>
  <c r="DR91" i="272"/>
  <c r="DQ91" i="272"/>
  <c r="DP91" i="272"/>
  <c r="DO91" i="272"/>
  <c r="DN91" i="272"/>
  <c r="DM91" i="272"/>
  <c r="DL91" i="272"/>
  <c r="DK91" i="272"/>
  <c r="DJ91" i="272"/>
  <c r="DI91" i="272"/>
  <c r="DH91" i="272"/>
  <c r="DG91" i="272"/>
  <c r="DF91" i="272"/>
  <c r="DE91" i="272"/>
  <c r="DD91" i="272"/>
  <c r="DC91" i="272"/>
  <c r="DB91" i="272"/>
  <c r="DA91" i="272"/>
  <c r="CZ91" i="272"/>
  <c r="CY91" i="272"/>
  <c r="CX91" i="272"/>
  <c r="CW91" i="272"/>
  <c r="CV91" i="272"/>
  <c r="CU91" i="272"/>
  <c r="CT91" i="272"/>
  <c r="CS91" i="272"/>
  <c r="CR91" i="272"/>
  <c r="CQ91" i="272"/>
  <c r="CP91" i="272"/>
  <c r="CO91" i="272"/>
  <c r="CN91" i="272"/>
  <c r="CM91" i="272"/>
  <c r="CL91" i="272"/>
  <c r="CK91" i="272"/>
  <c r="CJ91" i="272"/>
  <c r="CI91" i="272"/>
  <c r="CH91" i="272"/>
  <c r="CG91" i="272"/>
  <c r="CF91" i="272"/>
  <c r="CE91" i="272"/>
  <c r="CD91" i="272"/>
  <c r="CC91" i="272"/>
  <c r="CB91" i="272"/>
  <c r="CA91" i="272"/>
  <c r="BZ91" i="272"/>
  <c r="BX91" i="272"/>
  <c r="BW91" i="272"/>
  <c r="BV91" i="272"/>
  <c r="BU91" i="272"/>
  <c r="BT91" i="272"/>
  <c r="BS91" i="272"/>
  <c r="BR91" i="272"/>
  <c r="BQ91" i="272"/>
  <c r="BP91" i="272"/>
  <c r="BO91" i="272"/>
  <c r="BN91" i="272"/>
  <c r="BM91" i="272"/>
  <c r="BL91" i="272"/>
  <c r="BK91" i="272"/>
  <c r="BJ91" i="272"/>
  <c r="BI91" i="272"/>
  <c r="BH91" i="272"/>
  <c r="BG91" i="272"/>
  <c r="BF91" i="272"/>
  <c r="BE91" i="272"/>
  <c r="BD91" i="272"/>
  <c r="BC91" i="272"/>
  <c r="BB91" i="272"/>
  <c r="BA91" i="272"/>
  <c r="AZ91" i="272"/>
  <c r="AY91" i="272"/>
  <c r="AX91" i="272"/>
  <c r="AW91" i="272"/>
  <c r="AV91" i="272"/>
  <c r="AU91" i="272"/>
  <c r="AT91" i="272"/>
  <c r="AS91" i="272"/>
  <c r="AR91" i="272"/>
  <c r="AQ91" i="272"/>
  <c r="AP91" i="272"/>
  <c r="AO91" i="272"/>
  <c r="AN91" i="272"/>
  <c r="AM91" i="272"/>
  <c r="AL91" i="272"/>
  <c r="AK91" i="272"/>
  <c r="AJ91" i="272"/>
  <c r="AI91" i="272"/>
  <c r="AH91" i="272"/>
  <c r="AG91" i="272"/>
  <c r="AF91" i="272"/>
  <c r="AE91" i="272"/>
  <c r="AD91" i="272"/>
  <c r="AC91" i="272"/>
  <c r="AB91" i="272"/>
  <c r="AA91" i="272"/>
  <c r="Z91" i="272"/>
  <c r="Y91" i="272"/>
  <c r="U91" i="272"/>
  <c r="BY91" i="272" s="1"/>
  <c r="R91" i="272"/>
  <c r="HR90" i="272"/>
  <c r="HQ90" i="272"/>
  <c r="HP90" i="272"/>
  <c r="HO90" i="272"/>
  <c r="HN90" i="272"/>
  <c r="HM90" i="272"/>
  <c r="HL90" i="272"/>
  <c r="HK90" i="272"/>
  <c r="HJ90" i="272"/>
  <c r="HI90" i="272"/>
  <c r="HH90" i="272"/>
  <c r="HG90" i="272"/>
  <c r="HF90" i="272"/>
  <c r="HE90" i="272"/>
  <c r="HD90" i="272"/>
  <c r="HC90" i="272"/>
  <c r="HB90" i="272"/>
  <c r="HA90" i="272"/>
  <c r="GZ90" i="272"/>
  <c r="GY90" i="272"/>
  <c r="GX90" i="272"/>
  <c r="GW90" i="272"/>
  <c r="GV90" i="272"/>
  <c r="GU90" i="272"/>
  <c r="GT90" i="272"/>
  <c r="GS90" i="272"/>
  <c r="GR90" i="272"/>
  <c r="GQ90" i="272"/>
  <c r="GP90" i="272"/>
  <c r="GO90" i="272"/>
  <c r="GN90" i="272"/>
  <c r="GM90" i="272"/>
  <c r="GL90" i="272"/>
  <c r="GK90" i="272"/>
  <c r="GJ90" i="272"/>
  <c r="GI90" i="272"/>
  <c r="GH90" i="272"/>
  <c r="GG90" i="272"/>
  <c r="GF90" i="272"/>
  <c r="GE90" i="272"/>
  <c r="GD90" i="272"/>
  <c r="GC90" i="272"/>
  <c r="GB90" i="272"/>
  <c r="GA90" i="272"/>
  <c r="FZ90" i="272"/>
  <c r="FY90" i="272"/>
  <c r="FX90" i="272"/>
  <c r="FV90" i="272"/>
  <c r="FU90" i="272"/>
  <c r="FT90" i="272"/>
  <c r="FS90" i="272"/>
  <c r="FR90" i="272"/>
  <c r="FQ90" i="272"/>
  <c r="FP90" i="272"/>
  <c r="FO90" i="272"/>
  <c r="FN90" i="272"/>
  <c r="FM90" i="272"/>
  <c r="FL90" i="272"/>
  <c r="FK90" i="272"/>
  <c r="FJ90" i="272"/>
  <c r="FI90" i="272"/>
  <c r="FH90" i="272"/>
  <c r="FG90" i="272"/>
  <c r="FF90" i="272"/>
  <c r="FE90" i="272"/>
  <c r="FD90" i="272"/>
  <c r="FC90" i="272"/>
  <c r="FB90" i="272"/>
  <c r="FA90" i="272"/>
  <c r="EZ90" i="272"/>
  <c r="EY90" i="272"/>
  <c r="EX90" i="272"/>
  <c r="EW90" i="272"/>
  <c r="EV90" i="272"/>
  <c r="EU90" i="272"/>
  <c r="ET90" i="272"/>
  <c r="ES90" i="272"/>
  <c r="ER90" i="272"/>
  <c r="EQ90" i="272"/>
  <c r="EP90" i="272"/>
  <c r="EO90" i="272"/>
  <c r="EN90" i="272"/>
  <c r="EM90" i="272"/>
  <c r="EL90" i="272"/>
  <c r="EK90" i="272"/>
  <c r="EJ90" i="272"/>
  <c r="EI90" i="272"/>
  <c r="EH90" i="272"/>
  <c r="EG90" i="272"/>
  <c r="EF90" i="272"/>
  <c r="EE90" i="272"/>
  <c r="ED90" i="272"/>
  <c r="EC90" i="272"/>
  <c r="EB90" i="272"/>
  <c r="EA90" i="272"/>
  <c r="DZ90" i="272"/>
  <c r="DY90" i="272"/>
  <c r="DX90" i="272"/>
  <c r="DW90" i="272"/>
  <c r="DT90" i="272"/>
  <c r="DS90" i="272"/>
  <c r="DR90" i="272"/>
  <c r="DQ90" i="272"/>
  <c r="DP90" i="272"/>
  <c r="DO90" i="272"/>
  <c r="DN90" i="272"/>
  <c r="DM90" i="272"/>
  <c r="DL90" i="272"/>
  <c r="DK90" i="272"/>
  <c r="DJ90" i="272"/>
  <c r="DI90" i="272"/>
  <c r="DH90" i="272"/>
  <c r="DG90" i="272"/>
  <c r="DF90" i="272"/>
  <c r="DE90" i="272"/>
  <c r="DD90" i="272"/>
  <c r="DC90" i="272"/>
  <c r="DB90" i="272"/>
  <c r="DA90" i="272"/>
  <c r="CZ90" i="272"/>
  <c r="CY90" i="272"/>
  <c r="CX90" i="272"/>
  <c r="CW90" i="272"/>
  <c r="CV90" i="272"/>
  <c r="CU90" i="272"/>
  <c r="CT90" i="272"/>
  <c r="CS90" i="272"/>
  <c r="CR90" i="272"/>
  <c r="CQ90" i="272"/>
  <c r="CP90" i="272"/>
  <c r="CO90" i="272"/>
  <c r="CN90" i="272"/>
  <c r="CM90" i="272"/>
  <c r="CL90" i="272"/>
  <c r="CK90" i="272"/>
  <c r="CJ90" i="272"/>
  <c r="CI90" i="272"/>
  <c r="CH90" i="272"/>
  <c r="CG90" i="272"/>
  <c r="CF90" i="272"/>
  <c r="CE90" i="272"/>
  <c r="CD90" i="272"/>
  <c r="CC90" i="272"/>
  <c r="CB90" i="272"/>
  <c r="CA90" i="272"/>
  <c r="BZ90" i="272"/>
  <c r="BX90" i="272"/>
  <c r="BW90" i="272"/>
  <c r="BV90" i="272"/>
  <c r="BU90" i="272"/>
  <c r="BT90" i="272"/>
  <c r="BS90" i="272"/>
  <c r="BR90" i="272"/>
  <c r="BQ90" i="272"/>
  <c r="BP90" i="272"/>
  <c r="BO90" i="272"/>
  <c r="BN90" i="272"/>
  <c r="BM90" i="272"/>
  <c r="BL90" i="272"/>
  <c r="BK90" i="272"/>
  <c r="BJ90" i="272"/>
  <c r="BI90" i="272"/>
  <c r="BH90" i="272"/>
  <c r="BG90" i="272"/>
  <c r="BF90" i="272"/>
  <c r="BE90" i="272"/>
  <c r="BD90" i="272"/>
  <c r="BC90" i="272"/>
  <c r="BB90" i="272"/>
  <c r="BA90" i="272"/>
  <c r="AZ90" i="272"/>
  <c r="AY90" i="272"/>
  <c r="AX90" i="272"/>
  <c r="AW90" i="272"/>
  <c r="AV90" i="272"/>
  <c r="AU90" i="272"/>
  <c r="AT90" i="272"/>
  <c r="AS90" i="272"/>
  <c r="AR90" i="272"/>
  <c r="AQ90" i="272"/>
  <c r="AP90" i="272"/>
  <c r="AO90" i="272"/>
  <c r="AN90" i="272"/>
  <c r="AM90" i="272"/>
  <c r="AL90" i="272"/>
  <c r="AK90" i="272"/>
  <c r="AJ90" i="272"/>
  <c r="AI90" i="272"/>
  <c r="AH90" i="272"/>
  <c r="AG90" i="272"/>
  <c r="AF90" i="272"/>
  <c r="AE90" i="272"/>
  <c r="AD90" i="272"/>
  <c r="AC90" i="272"/>
  <c r="AB90" i="272"/>
  <c r="AA90" i="272"/>
  <c r="Z90" i="272"/>
  <c r="Y90" i="272"/>
  <c r="Q90" i="272"/>
  <c r="M91" i="272"/>
  <c r="O91" i="272" s="1"/>
  <c r="FW91" i="272" s="1"/>
  <c r="HR89" i="272"/>
  <c r="HQ89" i="272"/>
  <c r="HP89" i="272"/>
  <c r="HO89" i="272"/>
  <c r="HN89" i="272"/>
  <c r="HM89" i="272"/>
  <c r="HL89" i="272"/>
  <c r="HK89" i="272"/>
  <c r="HJ89" i="272"/>
  <c r="HI89" i="272"/>
  <c r="HH89" i="272"/>
  <c r="HG89" i="272"/>
  <c r="HF89" i="272"/>
  <c r="HE89" i="272"/>
  <c r="HD89" i="272"/>
  <c r="HC89" i="272"/>
  <c r="HB89" i="272"/>
  <c r="HA89" i="272"/>
  <c r="GZ89" i="272"/>
  <c r="GY89" i="272"/>
  <c r="GX89" i="272"/>
  <c r="GW89" i="272"/>
  <c r="GV89" i="272"/>
  <c r="GU89" i="272"/>
  <c r="GT89" i="272"/>
  <c r="GS89" i="272"/>
  <c r="GR89" i="272"/>
  <c r="GQ89" i="272"/>
  <c r="GP89" i="272"/>
  <c r="GO89" i="272"/>
  <c r="GN89" i="272"/>
  <c r="GM89" i="272"/>
  <c r="GL89" i="272"/>
  <c r="GK89" i="272"/>
  <c r="GJ89" i="272"/>
  <c r="GI89" i="272"/>
  <c r="GH89" i="272"/>
  <c r="GG89" i="272"/>
  <c r="GF89" i="272"/>
  <c r="GE89" i="272"/>
  <c r="GD89" i="272"/>
  <c r="GC89" i="272"/>
  <c r="GB89" i="272"/>
  <c r="GA89" i="272"/>
  <c r="FZ89" i="272"/>
  <c r="FY89" i="272"/>
  <c r="FX89" i="272"/>
  <c r="FW89" i="272"/>
  <c r="FU89" i="272"/>
  <c r="FT89" i="272"/>
  <c r="FS89" i="272"/>
  <c r="FR89" i="272"/>
  <c r="FQ89" i="272"/>
  <c r="FP89" i="272"/>
  <c r="FO89" i="272"/>
  <c r="FN89" i="272"/>
  <c r="FM89" i="272"/>
  <c r="FL89" i="272"/>
  <c r="FK89" i="272"/>
  <c r="FJ89" i="272"/>
  <c r="FI89" i="272"/>
  <c r="FH89" i="272"/>
  <c r="FG89" i="272"/>
  <c r="FF89" i="272"/>
  <c r="FE89" i="272"/>
  <c r="FD89" i="272"/>
  <c r="FC89" i="272"/>
  <c r="FB89" i="272"/>
  <c r="FA89" i="272"/>
  <c r="EZ89" i="272"/>
  <c r="EY89" i="272"/>
  <c r="EX89" i="272"/>
  <c r="EW89" i="272"/>
  <c r="EV89" i="272"/>
  <c r="EU89" i="272"/>
  <c r="ET89" i="272"/>
  <c r="ES89" i="272"/>
  <c r="ER89" i="272"/>
  <c r="EQ89" i="272"/>
  <c r="EP89" i="272"/>
  <c r="EO89" i="272"/>
  <c r="EN89" i="272"/>
  <c r="EM89" i="272"/>
  <c r="EL89" i="272"/>
  <c r="EK89" i="272"/>
  <c r="EJ89" i="272"/>
  <c r="EI89" i="272"/>
  <c r="EH89" i="272"/>
  <c r="EG89" i="272"/>
  <c r="EF89" i="272"/>
  <c r="EE89" i="272"/>
  <c r="ED89" i="272"/>
  <c r="EC89" i="272"/>
  <c r="EB89" i="272"/>
  <c r="EA89" i="272"/>
  <c r="DZ89" i="272"/>
  <c r="DY89" i="272"/>
  <c r="DX89" i="272"/>
  <c r="DW89" i="272"/>
  <c r="DT89" i="272"/>
  <c r="DS89" i="272"/>
  <c r="DR89" i="272"/>
  <c r="DQ89" i="272"/>
  <c r="DP89" i="272"/>
  <c r="DO89" i="272"/>
  <c r="DN89" i="272"/>
  <c r="DM89" i="272"/>
  <c r="DL89" i="272"/>
  <c r="DK89" i="272"/>
  <c r="DJ89" i="272"/>
  <c r="DI89" i="272"/>
  <c r="DH89" i="272"/>
  <c r="DG89" i="272"/>
  <c r="DF89" i="272"/>
  <c r="DE89" i="272"/>
  <c r="DD89" i="272"/>
  <c r="DC89" i="272"/>
  <c r="DB89" i="272"/>
  <c r="DA89" i="272"/>
  <c r="CZ89" i="272"/>
  <c r="CY89" i="272"/>
  <c r="CX89" i="272"/>
  <c r="CW89" i="272"/>
  <c r="CV89" i="272"/>
  <c r="CU89" i="272"/>
  <c r="CT89" i="272"/>
  <c r="CS89" i="272"/>
  <c r="CR89" i="272"/>
  <c r="CQ89" i="272"/>
  <c r="CP89" i="272"/>
  <c r="CO89" i="272"/>
  <c r="CN89" i="272"/>
  <c r="CM89" i="272"/>
  <c r="CL89" i="272"/>
  <c r="CK89" i="272"/>
  <c r="CJ89" i="272"/>
  <c r="CI89" i="272"/>
  <c r="CH89" i="272"/>
  <c r="CG89" i="272"/>
  <c r="CF89" i="272"/>
  <c r="CE89" i="272"/>
  <c r="CD89" i="272"/>
  <c r="CC89" i="272"/>
  <c r="CB89" i="272"/>
  <c r="CA89" i="272"/>
  <c r="BZ89" i="272"/>
  <c r="BY89" i="272"/>
  <c r="BW89" i="272"/>
  <c r="BV89" i="272"/>
  <c r="BU89" i="272"/>
  <c r="BT89" i="272"/>
  <c r="BS89" i="272"/>
  <c r="BR89" i="272"/>
  <c r="BQ89" i="272"/>
  <c r="BP89" i="272"/>
  <c r="BO89" i="272"/>
  <c r="BN89" i="272"/>
  <c r="BM89" i="272"/>
  <c r="BL89" i="272"/>
  <c r="BK89" i="272"/>
  <c r="BJ89" i="272"/>
  <c r="BI89" i="272"/>
  <c r="BH89" i="272"/>
  <c r="BG89" i="272"/>
  <c r="BF89" i="272"/>
  <c r="BE89" i="272"/>
  <c r="BD89" i="272"/>
  <c r="BC89" i="272"/>
  <c r="BB89" i="272"/>
  <c r="BA89" i="272"/>
  <c r="AZ89" i="272"/>
  <c r="AY89" i="272"/>
  <c r="AX89" i="272"/>
  <c r="AW89" i="272"/>
  <c r="AV89" i="272"/>
  <c r="AU89" i="272"/>
  <c r="AT89" i="272"/>
  <c r="AS89" i="272"/>
  <c r="AR89" i="272"/>
  <c r="AQ89" i="272"/>
  <c r="AP89" i="272"/>
  <c r="AO89" i="272"/>
  <c r="AN89" i="272"/>
  <c r="AM89" i="272"/>
  <c r="AL89" i="272"/>
  <c r="AK89" i="272"/>
  <c r="AJ89" i="272"/>
  <c r="AI89" i="272"/>
  <c r="AH89" i="272"/>
  <c r="AG89" i="272"/>
  <c r="AF89" i="272"/>
  <c r="AE89" i="272"/>
  <c r="AD89" i="272"/>
  <c r="AC89" i="272"/>
  <c r="AB89" i="272"/>
  <c r="AA89" i="272"/>
  <c r="Z89" i="272"/>
  <c r="Y89" i="272"/>
  <c r="M89" i="272"/>
  <c r="O89" i="272" s="1"/>
  <c r="FV89" i="272" s="1"/>
  <c r="HR88" i="272"/>
  <c r="HQ88" i="272"/>
  <c r="HP88" i="272"/>
  <c r="HO88" i="272"/>
  <c r="HN88" i="272"/>
  <c r="HM88" i="272"/>
  <c r="HL88" i="272"/>
  <c r="HK88" i="272"/>
  <c r="HJ88" i="272"/>
  <c r="HI88" i="272"/>
  <c r="HH88" i="272"/>
  <c r="HG88" i="272"/>
  <c r="HF88" i="272"/>
  <c r="HE88" i="272"/>
  <c r="HD88" i="272"/>
  <c r="HC88" i="272"/>
  <c r="HB88" i="272"/>
  <c r="HA88" i="272"/>
  <c r="GZ88" i="272"/>
  <c r="GY88" i="272"/>
  <c r="GX88" i="272"/>
  <c r="GW88" i="272"/>
  <c r="GV88" i="272"/>
  <c r="GU88" i="272"/>
  <c r="GT88" i="272"/>
  <c r="GS88" i="272"/>
  <c r="GR88" i="272"/>
  <c r="GQ88" i="272"/>
  <c r="GP88" i="272"/>
  <c r="GO88" i="272"/>
  <c r="GN88" i="272"/>
  <c r="GM88" i="272"/>
  <c r="GL88" i="272"/>
  <c r="GK88" i="272"/>
  <c r="GJ88" i="272"/>
  <c r="GI88" i="272"/>
  <c r="GH88" i="272"/>
  <c r="GG88" i="272"/>
  <c r="GF88" i="272"/>
  <c r="GE88" i="272"/>
  <c r="GD88" i="272"/>
  <c r="GC88" i="272"/>
  <c r="GB88" i="272"/>
  <c r="GA88" i="272"/>
  <c r="FZ88" i="272"/>
  <c r="FY88" i="272"/>
  <c r="FX88" i="272"/>
  <c r="FW88" i="272"/>
  <c r="FV88" i="272"/>
  <c r="FU88" i="272"/>
  <c r="FT88" i="272"/>
  <c r="FS88" i="272"/>
  <c r="FR88" i="272"/>
  <c r="FQ88" i="272"/>
  <c r="FP88" i="272"/>
  <c r="FO88" i="272"/>
  <c r="FN88" i="272"/>
  <c r="FM88" i="272"/>
  <c r="FL88" i="272"/>
  <c r="FK88" i="272"/>
  <c r="FJ88" i="272"/>
  <c r="FI88" i="272"/>
  <c r="FH88" i="272"/>
  <c r="FG88" i="272"/>
  <c r="FF88" i="272"/>
  <c r="FE88" i="272"/>
  <c r="FD88" i="272"/>
  <c r="FC88" i="272"/>
  <c r="FB88" i="272"/>
  <c r="FA88" i="272"/>
  <c r="EZ88" i="272"/>
  <c r="EY88" i="272"/>
  <c r="EX88" i="272"/>
  <c r="EW88" i="272"/>
  <c r="EV88" i="272"/>
  <c r="EU88" i="272"/>
  <c r="ET88" i="272"/>
  <c r="ES88" i="272"/>
  <c r="ER88" i="272"/>
  <c r="EQ88" i="272"/>
  <c r="EP88" i="272"/>
  <c r="EO88" i="272"/>
  <c r="EN88" i="272"/>
  <c r="EM88" i="272"/>
  <c r="EL88" i="272"/>
  <c r="EK88" i="272"/>
  <c r="EJ88" i="272"/>
  <c r="EI88" i="272"/>
  <c r="EH88" i="272"/>
  <c r="EG88" i="272"/>
  <c r="EF88" i="272"/>
  <c r="EE88" i="272"/>
  <c r="ED88" i="272"/>
  <c r="EC88" i="272"/>
  <c r="EB88" i="272"/>
  <c r="EA88" i="272"/>
  <c r="DZ88" i="272"/>
  <c r="DY88" i="272"/>
  <c r="DX88" i="272"/>
  <c r="DW88" i="272"/>
  <c r="DT88" i="272"/>
  <c r="DS88" i="272"/>
  <c r="DR88" i="272"/>
  <c r="DQ88" i="272"/>
  <c r="DP88" i="272"/>
  <c r="DO88" i="272"/>
  <c r="DN88" i="272"/>
  <c r="DM88" i="272"/>
  <c r="DL88" i="272"/>
  <c r="DK88" i="272"/>
  <c r="DJ88" i="272"/>
  <c r="DI88" i="272"/>
  <c r="DH88" i="272"/>
  <c r="DG88" i="272"/>
  <c r="DF88" i="272"/>
  <c r="DE88" i="272"/>
  <c r="DD88" i="272"/>
  <c r="DC88" i="272"/>
  <c r="DB88" i="272"/>
  <c r="DA88" i="272"/>
  <c r="CZ88" i="272"/>
  <c r="CY88" i="272"/>
  <c r="CX88" i="272"/>
  <c r="CW88" i="272"/>
  <c r="CV88" i="272"/>
  <c r="CU88" i="272"/>
  <c r="CT88" i="272"/>
  <c r="CS88" i="272"/>
  <c r="CR88" i="272"/>
  <c r="CQ88" i="272"/>
  <c r="CP88" i="272"/>
  <c r="CO88" i="272"/>
  <c r="CN88" i="272"/>
  <c r="CM88" i="272"/>
  <c r="CL88" i="272"/>
  <c r="CK88" i="272"/>
  <c r="CJ88" i="272"/>
  <c r="CI88" i="272"/>
  <c r="CH88" i="272"/>
  <c r="CG88" i="272"/>
  <c r="CF88" i="272"/>
  <c r="CE88" i="272"/>
  <c r="CD88" i="272"/>
  <c r="CC88" i="272"/>
  <c r="CB88" i="272"/>
  <c r="CA88" i="272"/>
  <c r="BZ88" i="272"/>
  <c r="BY88" i="272"/>
  <c r="BX88" i="272"/>
  <c r="BW88" i="272"/>
  <c r="BV88" i="272"/>
  <c r="BU88" i="272"/>
  <c r="BT88" i="272"/>
  <c r="BS88" i="272"/>
  <c r="BR88" i="272"/>
  <c r="BQ88" i="272"/>
  <c r="BP88" i="272"/>
  <c r="BO88" i="272"/>
  <c r="BN88" i="272"/>
  <c r="BM88" i="272"/>
  <c r="BL88" i="272"/>
  <c r="BK88" i="272"/>
  <c r="BJ88" i="272"/>
  <c r="BI88" i="272"/>
  <c r="BH88" i="272"/>
  <c r="BG88" i="272"/>
  <c r="BF88" i="272"/>
  <c r="BE88" i="272"/>
  <c r="BD88" i="272"/>
  <c r="BC88" i="272"/>
  <c r="BB88" i="272"/>
  <c r="BA88" i="272"/>
  <c r="AZ88" i="272"/>
  <c r="AY88" i="272"/>
  <c r="AX88" i="272"/>
  <c r="AW88" i="272"/>
  <c r="AV88" i="272"/>
  <c r="AU88" i="272"/>
  <c r="AT88" i="272"/>
  <c r="AS88" i="272"/>
  <c r="AR88" i="272"/>
  <c r="AQ88" i="272"/>
  <c r="AP88" i="272"/>
  <c r="AO88" i="272"/>
  <c r="AN88" i="272"/>
  <c r="AM88" i="272"/>
  <c r="AL88" i="272"/>
  <c r="AK88" i="272"/>
  <c r="AJ88" i="272"/>
  <c r="AI88" i="272"/>
  <c r="AH88" i="272"/>
  <c r="AG88" i="272"/>
  <c r="AF88" i="272"/>
  <c r="AE88" i="272"/>
  <c r="AD88" i="272"/>
  <c r="AC88" i="272"/>
  <c r="AB88" i="272"/>
  <c r="AA88" i="272"/>
  <c r="Z88" i="272"/>
  <c r="Y88" i="272"/>
  <c r="U88" i="272"/>
  <c r="R88" i="272"/>
  <c r="Q88" i="272"/>
  <c r="O88" i="272"/>
  <c r="M88" i="272"/>
  <c r="HR87" i="272"/>
  <c r="HQ87" i="272"/>
  <c r="HP87" i="272"/>
  <c r="HO87" i="272"/>
  <c r="HN87" i="272"/>
  <c r="HM87" i="272"/>
  <c r="HL87" i="272"/>
  <c r="HK87" i="272"/>
  <c r="HJ87" i="272"/>
  <c r="HI87" i="272"/>
  <c r="HH87" i="272"/>
  <c r="HG87" i="272"/>
  <c r="HF87" i="272"/>
  <c r="HE87" i="272"/>
  <c r="HD87" i="272"/>
  <c r="HC87" i="272"/>
  <c r="HB87" i="272"/>
  <c r="HA87" i="272"/>
  <c r="GZ87" i="272"/>
  <c r="GY87" i="272"/>
  <c r="GX87" i="272"/>
  <c r="GW87" i="272"/>
  <c r="GV87" i="272"/>
  <c r="GU87" i="272"/>
  <c r="GT87" i="272"/>
  <c r="GS87" i="272"/>
  <c r="GR87" i="272"/>
  <c r="GQ87" i="272"/>
  <c r="GP87" i="272"/>
  <c r="GO87" i="272"/>
  <c r="GN87" i="272"/>
  <c r="GM87" i="272"/>
  <c r="GL87" i="272"/>
  <c r="GK87" i="272"/>
  <c r="GJ87" i="272"/>
  <c r="GI87" i="272"/>
  <c r="GH87" i="272"/>
  <c r="GG87" i="272"/>
  <c r="GF87" i="272"/>
  <c r="GE87" i="272"/>
  <c r="GD87" i="272"/>
  <c r="GC87" i="272"/>
  <c r="GB87" i="272"/>
  <c r="GA87" i="272"/>
  <c r="FZ87" i="272"/>
  <c r="FY87" i="272"/>
  <c r="FX87" i="272"/>
  <c r="FW87" i="272"/>
  <c r="FV87" i="272"/>
  <c r="FU87" i="272"/>
  <c r="FT87" i="272"/>
  <c r="FS87" i="272"/>
  <c r="FR87" i="272"/>
  <c r="FQ87" i="272"/>
  <c r="FP87" i="272"/>
  <c r="FO87" i="272"/>
  <c r="FN87" i="272"/>
  <c r="FM87" i="272"/>
  <c r="FL87" i="272"/>
  <c r="FK87" i="272"/>
  <c r="FJ87" i="272"/>
  <c r="FI87" i="272"/>
  <c r="FH87" i="272"/>
  <c r="FG87" i="272"/>
  <c r="FF87" i="272"/>
  <c r="FE87" i="272"/>
  <c r="FD87" i="272"/>
  <c r="FC87" i="272"/>
  <c r="FB87" i="272"/>
  <c r="FA87" i="272"/>
  <c r="EZ87" i="272"/>
  <c r="EY87" i="272"/>
  <c r="EX87" i="272"/>
  <c r="EW87" i="272"/>
  <c r="EV87" i="272"/>
  <c r="EU87" i="272"/>
  <c r="ET87" i="272"/>
  <c r="ES87" i="272"/>
  <c r="ER87" i="272"/>
  <c r="EQ87" i="272"/>
  <c r="EP87" i="272"/>
  <c r="EO87" i="272"/>
  <c r="EN87" i="272"/>
  <c r="EM87" i="272"/>
  <c r="EL87" i="272"/>
  <c r="EK87" i="272"/>
  <c r="EJ87" i="272"/>
  <c r="EI87" i="272"/>
  <c r="EH87" i="272"/>
  <c r="EG87" i="272"/>
  <c r="EF87" i="272"/>
  <c r="EE87" i="272"/>
  <c r="ED87" i="272"/>
  <c r="EC87" i="272"/>
  <c r="EB87" i="272"/>
  <c r="EA87" i="272"/>
  <c r="DZ87" i="272"/>
  <c r="DY87" i="272"/>
  <c r="DX87" i="272"/>
  <c r="DW87" i="272"/>
  <c r="DT87" i="272"/>
  <c r="DS87" i="272"/>
  <c r="DR87" i="272"/>
  <c r="DQ87" i="272"/>
  <c r="DP87" i="272"/>
  <c r="DO87" i="272"/>
  <c r="DN87" i="272"/>
  <c r="DM87" i="272"/>
  <c r="DL87" i="272"/>
  <c r="DK87" i="272"/>
  <c r="DJ87" i="272"/>
  <c r="DI87" i="272"/>
  <c r="DH87" i="272"/>
  <c r="DG87" i="272"/>
  <c r="DF87" i="272"/>
  <c r="DE87" i="272"/>
  <c r="DD87" i="272"/>
  <c r="DC87" i="272"/>
  <c r="DB87" i="272"/>
  <c r="DA87" i="272"/>
  <c r="CZ87" i="272"/>
  <c r="CY87" i="272"/>
  <c r="CX87" i="272"/>
  <c r="CW87" i="272"/>
  <c r="CV87" i="272"/>
  <c r="CU87" i="272"/>
  <c r="CT87" i="272"/>
  <c r="CS87" i="272"/>
  <c r="CR87" i="272"/>
  <c r="CQ87" i="272"/>
  <c r="CP87" i="272"/>
  <c r="CO87" i="272"/>
  <c r="CN87" i="272"/>
  <c r="CM87" i="272"/>
  <c r="CL87" i="272"/>
  <c r="CK87" i="272"/>
  <c r="CJ87" i="272"/>
  <c r="CI87" i="272"/>
  <c r="CH87" i="272"/>
  <c r="CG87" i="272"/>
  <c r="CF87" i="272"/>
  <c r="CE87" i="272"/>
  <c r="CD87" i="272"/>
  <c r="CC87" i="272"/>
  <c r="CB87" i="272"/>
  <c r="CA87" i="272"/>
  <c r="BZ87" i="272"/>
  <c r="BY87" i="272"/>
  <c r="BX87" i="272"/>
  <c r="BW87" i="272"/>
  <c r="BV87" i="272"/>
  <c r="BU87" i="272"/>
  <c r="BT87" i="272"/>
  <c r="BS87" i="272"/>
  <c r="BR87" i="272"/>
  <c r="BQ87" i="272"/>
  <c r="BP87" i="272"/>
  <c r="BO87" i="272"/>
  <c r="BN87" i="272"/>
  <c r="BM87" i="272"/>
  <c r="BL87" i="272"/>
  <c r="BK87" i="272"/>
  <c r="BJ87" i="272"/>
  <c r="BI87" i="272"/>
  <c r="BH87" i="272"/>
  <c r="BG87" i="272"/>
  <c r="BF87" i="272"/>
  <c r="BE87" i="272"/>
  <c r="BD87" i="272"/>
  <c r="BC87" i="272"/>
  <c r="BB87" i="272"/>
  <c r="BA87" i="272"/>
  <c r="AZ87" i="272"/>
  <c r="AY87" i="272"/>
  <c r="AX87" i="272"/>
  <c r="AW87" i="272"/>
  <c r="AV87" i="272"/>
  <c r="AU87" i="272"/>
  <c r="AT87" i="272"/>
  <c r="AS87" i="272"/>
  <c r="AR87" i="272"/>
  <c r="AQ87" i="272"/>
  <c r="AP87" i="272"/>
  <c r="AO87" i="272"/>
  <c r="AN87" i="272"/>
  <c r="AM87" i="272"/>
  <c r="AL87" i="272"/>
  <c r="AK87" i="272"/>
  <c r="AJ87" i="272"/>
  <c r="AI87" i="272"/>
  <c r="AH87" i="272"/>
  <c r="AG87" i="272"/>
  <c r="AF87" i="272"/>
  <c r="AE87" i="272"/>
  <c r="AD87" i="272"/>
  <c r="AC87" i="272"/>
  <c r="AB87" i="272"/>
  <c r="AA87" i="272"/>
  <c r="Z87" i="272"/>
  <c r="Y87" i="272"/>
  <c r="U87" i="272"/>
  <c r="R87" i="272"/>
  <c r="Q87" i="272"/>
  <c r="O87" i="272"/>
  <c r="M87" i="272"/>
  <c r="HR86" i="272"/>
  <c r="HQ86" i="272"/>
  <c r="HP86" i="272"/>
  <c r="HO86" i="272"/>
  <c r="HN86" i="272"/>
  <c r="HM86" i="272"/>
  <c r="HL86" i="272"/>
  <c r="HK86" i="272"/>
  <c r="HJ86" i="272"/>
  <c r="HI86" i="272"/>
  <c r="HH86" i="272"/>
  <c r="HG86" i="272"/>
  <c r="HF86" i="272"/>
  <c r="HE86" i="272"/>
  <c r="HD86" i="272"/>
  <c r="HC86" i="272"/>
  <c r="HB86" i="272"/>
  <c r="HA86" i="272"/>
  <c r="GZ86" i="272"/>
  <c r="GY86" i="272"/>
  <c r="GX86" i="272"/>
  <c r="GW86" i="272"/>
  <c r="GV86" i="272"/>
  <c r="GU86" i="272"/>
  <c r="GT86" i="272"/>
  <c r="GS86" i="272"/>
  <c r="GR86" i="272"/>
  <c r="GQ86" i="272"/>
  <c r="GP86" i="272"/>
  <c r="GO86" i="272"/>
  <c r="GN86" i="272"/>
  <c r="GM86" i="272"/>
  <c r="GL86" i="272"/>
  <c r="GK86" i="272"/>
  <c r="GJ86" i="272"/>
  <c r="GI86" i="272"/>
  <c r="GH86" i="272"/>
  <c r="GG86" i="272"/>
  <c r="GF86" i="272"/>
  <c r="GE86" i="272"/>
  <c r="GD86" i="272"/>
  <c r="GC86" i="272"/>
  <c r="GB86" i="272"/>
  <c r="GA86" i="272"/>
  <c r="FZ86" i="272"/>
  <c r="FY86" i="272"/>
  <c r="FX86" i="272"/>
  <c r="FW86" i="272"/>
  <c r="FV86" i="272"/>
  <c r="FU86" i="272"/>
  <c r="FT86" i="272"/>
  <c r="FS86" i="272"/>
  <c r="FR86" i="272"/>
  <c r="FQ86" i="272"/>
  <c r="FP86" i="272"/>
  <c r="FO86" i="272"/>
  <c r="FN86" i="272"/>
  <c r="FM86" i="272"/>
  <c r="FL86" i="272"/>
  <c r="FK86" i="272"/>
  <c r="FJ86" i="272"/>
  <c r="FI86" i="272"/>
  <c r="FH86" i="272"/>
  <c r="FG86" i="272"/>
  <c r="FF86" i="272"/>
  <c r="FE86" i="272"/>
  <c r="FD86" i="272"/>
  <c r="FC86" i="272"/>
  <c r="FB86" i="272"/>
  <c r="FA86" i="272"/>
  <c r="EZ86" i="272"/>
  <c r="EY86" i="272"/>
  <c r="EX86" i="272"/>
  <c r="EW86" i="272"/>
  <c r="EV86" i="272"/>
  <c r="EU86" i="272"/>
  <c r="ET86" i="272"/>
  <c r="ES86" i="272"/>
  <c r="ER86" i="272"/>
  <c r="EQ86" i="272"/>
  <c r="EP86" i="272"/>
  <c r="EO86" i="272"/>
  <c r="EN86" i="272"/>
  <c r="EM86" i="272"/>
  <c r="EL86" i="272"/>
  <c r="EK86" i="272"/>
  <c r="EJ86" i="272"/>
  <c r="EI86" i="272"/>
  <c r="EH86" i="272"/>
  <c r="EG86" i="272"/>
  <c r="EF86" i="272"/>
  <c r="EE86" i="272"/>
  <c r="ED86" i="272"/>
  <c r="EC86" i="272"/>
  <c r="EB86" i="272"/>
  <c r="EA86" i="272"/>
  <c r="DZ86" i="272"/>
  <c r="DY86" i="272"/>
  <c r="DX86" i="272"/>
  <c r="DW86" i="272"/>
  <c r="DT86" i="272"/>
  <c r="DS86" i="272"/>
  <c r="DR86" i="272"/>
  <c r="DQ86" i="272"/>
  <c r="DP86" i="272"/>
  <c r="DO86" i="272"/>
  <c r="DN86" i="272"/>
  <c r="DM86" i="272"/>
  <c r="DL86" i="272"/>
  <c r="DK86" i="272"/>
  <c r="DJ86" i="272"/>
  <c r="DI86" i="272"/>
  <c r="DH86" i="272"/>
  <c r="DG86" i="272"/>
  <c r="DF86" i="272"/>
  <c r="DE86" i="272"/>
  <c r="DD86" i="272"/>
  <c r="DC86" i="272"/>
  <c r="DB86" i="272"/>
  <c r="DA86" i="272"/>
  <c r="CZ86" i="272"/>
  <c r="CY86" i="272"/>
  <c r="CX86" i="272"/>
  <c r="CW86" i="272"/>
  <c r="CV86" i="272"/>
  <c r="CU86" i="272"/>
  <c r="CT86" i="272"/>
  <c r="CS86" i="272"/>
  <c r="CR86" i="272"/>
  <c r="CQ86" i="272"/>
  <c r="CP86" i="272"/>
  <c r="CO86" i="272"/>
  <c r="CN86" i="272"/>
  <c r="CM86" i="272"/>
  <c r="CL86" i="272"/>
  <c r="CK86" i="272"/>
  <c r="CJ86" i="272"/>
  <c r="CI86" i="272"/>
  <c r="CH86" i="272"/>
  <c r="CG86" i="272"/>
  <c r="CF86" i="272"/>
  <c r="CE86" i="272"/>
  <c r="CD86" i="272"/>
  <c r="CC86" i="272"/>
  <c r="CB86" i="272"/>
  <c r="CA86" i="272"/>
  <c r="BZ86" i="272"/>
  <c r="BY86" i="272"/>
  <c r="BX86" i="272"/>
  <c r="BW86" i="272"/>
  <c r="BV86" i="272"/>
  <c r="BU86" i="272"/>
  <c r="BT86" i="272"/>
  <c r="BS86" i="272"/>
  <c r="BR86" i="272"/>
  <c r="BQ86" i="272"/>
  <c r="BP86" i="272"/>
  <c r="BO86" i="272"/>
  <c r="BN86" i="272"/>
  <c r="BM86" i="272"/>
  <c r="BL86" i="272"/>
  <c r="BK86" i="272"/>
  <c r="BJ86" i="272"/>
  <c r="BI86" i="272"/>
  <c r="BH86" i="272"/>
  <c r="BG86" i="272"/>
  <c r="BF86" i="272"/>
  <c r="BE86" i="272"/>
  <c r="BD86" i="272"/>
  <c r="BC86" i="272"/>
  <c r="BB86" i="272"/>
  <c r="BA86" i="272"/>
  <c r="AZ86" i="272"/>
  <c r="AY86" i="272"/>
  <c r="AX86" i="272"/>
  <c r="AW86" i="272"/>
  <c r="AV86" i="272"/>
  <c r="AU86" i="272"/>
  <c r="AT86" i="272"/>
  <c r="AS86" i="272"/>
  <c r="AR86" i="272"/>
  <c r="AQ86" i="272"/>
  <c r="AP86" i="272"/>
  <c r="AO86" i="272"/>
  <c r="AN86" i="272"/>
  <c r="AM86" i="272"/>
  <c r="AL86" i="272"/>
  <c r="AK86" i="272"/>
  <c r="AJ86" i="272"/>
  <c r="AI86" i="272"/>
  <c r="AH86" i="272"/>
  <c r="AG86" i="272"/>
  <c r="AF86" i="272"/>
  <c r="AE86" i="272"/>
  <c r="AD86" i="272"/>
  <c r="AC86" i="272"/>
  <c r="AB86" i="272"/>
  <c r="AA86" i="272"/>
  <c r="Z86" i="272"/>
  <c r="Y86" i="272"/>
  <c r="R86" i="272"/>
  <c r="Q86" i="272"/>
  <c r="O86" i="272"/>
  <c r="M86" i="272"/>
  <c r="HR85" i="272"/>
  <c r="HQ85" i="272"/>
  <c r="HP85" i="272"/>
  <c r="HO85" i="272"/>
  <c r="HN85" i="272"/>
  <c r="HM85" i="272"/>
  <c r="HL85" i="272"/>
  <c r="HK85" i="272"/>
  <c r="HJ85" i="272"/>
  <c r="HI85" i="272"/>
  <c r="HH85" i="272"/>
  <c r="HG85" i="272"/>
  <c r="HF85" i="272"/>
  <c r="HE85" i="272"/>
  <c r="HD85" i="272"/>
  <c r="HC85" i="272"/>
  <c r="HB85" i="272"/>
  <c r="HA85" i="272"/>
  <c r="GZ85" i="272"/>
  <c r="GY85" i="272"/>
  <c r="GX85" i="272"/>
  <c r="GW85" i="272"/>
  <c r="GV85" i="272"/>
  <c r="GU85" i="272"/>
  <c r="GT85" i="272"/>
  <c r="GS85" i="272"/>
  <c r="GR85" i="272"/>
  <c r="GQ85" i="272"/>
  <c r="GP85" i="272"/>
  <c r="GO85" i="272"/>
  <c r="GN85" i="272"/>
  <c r="GM85" i="272"/>
  <c r="GL85" i="272"/>
  <c r="GK85" i="272"/>
  <c r="GJ85" i="272"/>
  <c r="GI85" i="272"/>
  <c r="GH85" i="272"/>
  <c r="GG85" i="272"/>
  <c r="GF85" i="272"/>
  <c r="GE85" i="272"/>
  <c r="GD85" i="272"/>
  <c r="GC85" i="272"/>
  <c r="GB85" i="272"/>
  <c r="GA85" i="272"/>
  <c r="FZ85" i="272"/>
  <c r="FY85" i="272"/>
  <c r="FX85" i="272"/>
  <c r="FW85" i="272"/>
  <c r="FV85" i="272"/>
  <c r="FT85" i="272"/>
  <c r="FS85" i="272"/>
  <c r="FR85" i="272"/>
  <c r="FQ85" i="272"/>
  <c r="FP85" i="272"/>
  <c r="FO85" i="272"/>
  <c r="FN85" i="272"/>
  <c r="FM85" i="272"/>
  <c r="FL85" i="272"/>
  <c r="FK85" i="272"/>
  <c r="FJ85" i="272"/>
  <c r="FI85" i="272"/>
  <c r="FH85" i="272"/>
  <c r="FG85" i="272"/>
  <c r="FF85" i="272"/>
  <c r="FE85" i="272"/>
  <c r="FD85" i="272"/>
  <c r="FC85" i="272"/>
  <c r="FB85" i="272"/>
  <c r="FA85" i="272"/>
  <c r="EZ85" i="272"/>
  <c r="EY85" i="272"/>
  <c r="EX85" i="272"/>
  <c r="EW85" i="272"/>
  <c r="EV85" i="272"/>
  <c r="EU85" i="272"/>
  <c r="ET85" i="272"/>
  <c r="ES85" i="272"/>
  <c r="ER85" i="272"/>
  <c r="EQ85" i="272"/>
  <c r="EP85" i="272"/>
  <c r="EO85" i="272"/>
  <c r="EN85" i="272"/>
  <c r="EM85" i="272"/>
  <c r="EL85" i="272"/>
  <c r="EK85" i="272"/>
  <c r="EJ85" i="272"/>
  <c r="EI85" i="272"/>
  <c r="EH85" i="272"/>
  <c r="EG85" i="272"/>
  <c r="EF85" i="272"/>
  <c r="EE85" i="272"/>
  <c r="ED85" i="272"/>
  <c r="EC85" i="272"/>
  <c r="EB85" i="272"/>
  <c r="EA85" i="272"/>
  <c r="DZ85" i="272"/>
  <c r="DY85" i="272"/>
  <c r="DX85" i="272"/>
  <c r="DW85" i="272"/>
  <c r="DT85" i="272"/>
  <c r="DS85" i="272"/>
  <c r="DR85" i="272"/>
  <c r="DQ85" i="272"/>
  <c r="DP85" i="272"/>
  <c r="DO85" i="272"/>
  <c r="DN85" i="272"/>
  <c r="DM85" i="272"/>
  <c r="DL85" i="272"/>
  <c r="DK85" i="272"/>
  <c r="DJ85" i="272"/>
  <c r="DI85" i="272"/>
  <c r="DH85" i="272"/>
  <c r="DG85" i="272"/>
  <c r="DF85" i="272"/>
  <c r="DE85" i="272"/>
  <c r="DD85" i="272"/>
  <c r="DC85" i="272"/>
  <c r="DB85" i="272"/>
  <c r="DA85" i="272"/>
  <c r="CZ85" i="272"/>
  <c r="CY85" i="272"/>
  <c r="CX85" i="272"/>
  <c r="CW85" i="272"/>
  <c r="CV85" i="272"/>
  <c r="CU85" i="272"/>
  <c r="CT85" i="272"/>
  <c r="CS85" i="272"/>
  <c r="CR85" i="272"/>
  <c r="CQ85" i="272"/>
  <c r="CP85" i="272"/>
  <c r="CO85" i="272"/>
  <c r="CN85" i="272"/>
  <c r="CM85" i="272"/>
  <c r="CL85" i="272"/>
  <c r="CK85" i="272"/>
  <c r="CJ85" i="272"/>
  <c r="CI85" i="272"/>
  <c r="CH85" i="272"/>
  <c r="CG85" i="272"/>
  <c r="CF85" i="272"/>
  <c r="CE85" i="272"/>
  <c r="CD85" i="272"/>
  <c r="CC85" i="272"/>
  <c r="CB85" i="272"/>
  <c r="CA85" i="272"/>
  <c r="BZ85" i="272"/>
  <c r="BY85" i="272"/>
  <c r="BX85" i="272"/>
  <c r="BV85" i="272"/>
  <c r="BU85" i="272"/>
  <c r="BT85" i="272"/>
  <c r="BS85" i="272"/>
  <c r="BR85" i="272"/>
  <c r="BQ85" i="272"/>
  <c r="BP85" i="272"/>
  <c r="BO85" i="272"/>
  <c r="BN85" i="272"/>
  <c r="BM85" i="272"/>
  <c r="BL85" i="272"/>
  <c r="BK85" i="272"/>
  <c r="BJ85" i="272"/>
  <c r="BI85" i="272"/>
  <c r="BH85" i="272"/>
  <c r="BG85" i="272"/>
  <c r="BF85" i="272"/>
  <c r="BE85" i="272"/>
  <c r="BD85" i="272"/>
  <c r="BC85" i="272"/>
  <c r="BB85" i="272"/>
  <c r="BA85" i="272"/>
  <c r="AZ85" i="272"/>
  <c r="AY85" i="272"/>
  <c r="AX85" i="272"/>
  <c r="AW85" i="272"/>
  <c r="AV85" i="272"/>
  <c r="AU85" i="272"/>
  <c r="AT85" i="272"/>
  <c r="AS85" i="272"/>
  <c r="AR85" i="272"/>
  <c r="AQ85" i="272"/>
  <c r="AP85" i="272"/>
  <c r="AO85" i="272"/>
  <c r="AN85" i="272"/>
  <c r="AM85" i="272"/>
  <c r="AL85" i="272"/>
  <c r="AK85" i="272"/>
  <c r="AJ85" i="272"/>
  <c r="AI85" i="272"/>
  <c r="AH85" i="272"/>
  <c r="AG85" i="272"/>
  <c r="AF85" i="272"/>
  <c r="AE85" i="272"/>
  <c r="AD85" i="272"/>
  <c r="AC85" i="272"/>
  <c r="AB85" i="272"/>
  <c r="AA85" i="272"/>
  <c r="Z85" i="272"/>
  <c r="Y85" i="272"/>
  <c r="U85" i="272"/>
  <c r="BW85" i="272" s="1"/>
  <c r="R85" i="272"/>
  <c r="M85" i="272"/>
  <c r="O85" i="272" s="1"/>
  <c r="FU85" i="272" s="1"/>
  <c r="HR84" i="272"/>
  <c r="HQ84" i="272"/>
  <c r="HP84" i="272"/>
  <c r="HO84" i="272"/>
  <c r="HN84" i="272"/>
  <c r="HM84" i="272"/>
  <c r="HL84" i="272"/>
  <c r="HK84" i="272"/>
  <c r="HJ84" i="272"/>
  <c r="HI84" i="272"/>
  <c r="HH84" i="272"/>
  <c r="HG84" i="272"/>
  <c r="HF84" i="272"/>
  <c r="HE84" i="272"/>
  <c r="HD84" i="272"/>
  <c r="HC84" i="272"/>
  <c r="HB84" i="272"/>
  <c r="HA84" i="272"/>
  <c r="GZ84" i="272"/>
  <c r="GY84" i="272"/>
  <c r="GX84" i="272"/>
  <c r="GW84" i="272"/>
  <c r="GV84" i="272"/>
  <c r="GU84" i="272"/>
  <c r="GT84" i="272"/>
  <c r="GS84" i="272"/>
  <c r="GR84" i="272"/>
  <c r="GQ84" i="272"/>
  <c r="GP84" i="272"/>
  <c r="GO84" i="272"/>
  <c r="GN84" i="272"/>
  <c r="GM84" i="272"/>
  <c r="GL84" i="272"/>
  <c r="GK84" i="272"/>
  <c r="GJ84" i="272"/>
  <c r="GI84" i="272"/>
  <c r="GH84" i="272"/>
  <c r="GG84" i="272"/>
  <c r="GF84" i="272"/>
  <c r="GE84" i="272"/>
  <c r="GD84" i="272"/>
  <c r="GC84" i="272"/>
  <c r="GB84" i="272"/>
  <c r="GA84" i="272"/>
  <c r="FZ84" i="272"/>
  <c r="FY84" i="272"/>
  <c r="FX84" i="272"/>
  <c r="FW84" i="272"/>
  <c r="FV84" i="272"/>
  <c r="FT84" i="272"/>
  <c r="FS84" i="272"/>
  <c r="FR84" i="272"/>
  <c r="FQ84" i="272"/>
  <c r="FP84" i="272"/>
  <c r="FO84" i="272"/>
  <c r="FN84" i="272"/>
  <c r="FM84" i="272"/>
  <c r="FL84" i="272"/>
  <c r="FK84" i="272"/>
  <c r="FJ84" i="272"/>
  <c r="FI84" i="272"/>
  <c r="FH84" i="272"/>
  <c r="FG84" i="272"/>
  <c r="FF84" i="272"/>
  <c r="FE84" i="272"/>
  <c r="FD84" i="272"/>
  <c r="FC84" i="272"/>
  <c r="FB84" i="272"/>
  <c r="FA84" i="272"/>
  <c r="EZ84" i="272"/>
  <c r="EY84" i="272"/>
  <c r="EX84" i="272"/>
  <c r="EW84" i="272"/>
  <c r="EV84" i="272"/>
  <c r="EU84" i="272"/>
  <c r="ET84" i="272"/>
  <c r="ES84" i="272"/>
  <c r="ER84" i="272"/>
  <c r="EQ84" i="272"/>
  <c r="EP84" i="272"/>
  <c r="EO84" i="272"/>
  <c r="EN84" i="272"/>
  <c r="EM84" i="272"/>
  <c r="EL84" i="272"/>
  <c r="EK84" i="272"/>
  <c r="EJ84" i="272"/>
  <c r="EI84" i="272"/>
  <c r="EH84" i="272"/>
  <c r="EG84" i="272"/>
  <c r="EF84" i="272"/>
  <c r="EE84" i="272"/>
  <c r="ED84" i="272"/>
  <c r="EC84" i="272"/>
  <c r="EB84" i="272"/>
  <c r="EA84" i="272"/>
  <c r="DZ84" i="272"/>
  <c r="DY84" i="272"/>
  <c r="DX84" i="272"/>
  <c r="DW84" i="272"/>
  <c r="DT84" i="272"/>
  <c r="DS84" i="272"/>
  <c r="DR84" i="272"/>
  <c r="DQ84" i="272"/>
  <c r="DP84" i="272"/>
  <c r="DO84" i="272"/>
  <c r="DN84" i="272"/>
  <c r="DM84" i="272"/>
  <c r="DL84" i="272"/>
  <c r="DK84" i="272"/>
  <c r="DJ84" i="272"/>
  <c r="DI84" i="272"/>
  <c r="DH84" i="272"/>
  <c r="DG84" i="272"/>
  <c r="DF84" i="272"/>
  <c r="DE84" i="272"/>
  <c r="DD84" i="272"/>
  <c r="DC84" i="272"/>
  <c r="DB84" i="272"/>
  <c r="DA84" i="272"/>
  <c r="CZ84" i="272"/>
  <c r="CY84" i="272"/>
  <c r="CX84" i="272"/>
  <c r="CW84" i="272"/>
  <c r="CV84" i="272"/>
  <c r="CU84" i="272"/>
  <c r="CT84" i="272"/>
  <c r="CS84" i="272"/>
  <c r="CR84" i="272"/>
  <c r="CQ84" i="272"/>
  <c r="CP84" i="272"/>
  <c r="CO84" i="272"/>
  <c r="CN84" i="272"/>
  <c r="CM84" i="272"/>
  <c r="CL84" i="272"/>
  <c r="CK84" i="272"/>
  <c r="CJ84" i="272"/>
  <c r="CI84" i="272"/>
  <c r="CH84" i="272"/>
  <c r="CG84" i="272"/>
  <c r="CF84" i="272"/>
  <c r="CE84" i="272"/>
  <c r="CD84" i="272"/>
  <c r="CC84" i="272"/>
  <c r="CB84" i="272"/>
  <c r="CA84" i="272"/>
  <c r="BZ84" i="272"/>
  <c r="BY84" i="272"/>
  <c r="BX84" i="272"/>
  <c r="BV84" i="272"/>
  <c r="BU84" i="272"/>
  <c r="BT84" i="272"/>
  <c r="BS84" i="272"/>
  <c r="BR84" i="272"/>
  <c r="BQ84" i="272"/>
  <c r="BP84" i="272"/>
  <c r="BO84" i="272"/>
  <c r="BN84" i="272"/>
  <c r="BM84" i="272"/>
  <c r="BL84" i="272"/>
  <c r="BK84" i="272"/>
  <c r="BJ84" i="272"/>
  <c r="BI84" i="272"/>
  <c r="BH84" i="272"/>
  <c r="BG84" i="272"/>
  <c r="BF84" i="272"/>
  <c r="BE84" i="272"/>
  <c r="BD84" i="272"/>
  <c r="BC84" i="272"/>
  <c r="BB84" i="272"/>
  <c r="BA84" i="272"/>
  <c r="AZ84" i="272"/>
  <c r="AY84" i="272"/>
  <c r="AX84" i="272"/>
  <c r="AW84" i="272"/>
  <c r="AV84" i="272"/>
  <c r="AU84" i="272"/>
  <c r="AT84" i="272"/>
  <c r="AS84" i="272"/>
  <c r="AR84" i="272"/>
  <c r="AQ84" i="272"/>
  <c r="AP84" i="272"/>
  <c r="AO84" i="272"/>
  <c r="AN84" i="272"/>
  <c r="AM84" i="272"/>
  <c r="AL84" i="272"/>
  <c r="AK84" i="272"/>
  <c r="AJ84" i="272"/>
  <c r="AI84" i="272"/>
  <c r="AH84" i="272"/>
  <c r="AG84" i="272"/>
  <c r="AF84" i="272"/>
  <c r="AE84" i="272"/>
  <c r="AD84" i="272"/>
  <c r="AC84" i="272"/>
  <c r="AB84" i="272"/>
  <c r="AA84" i="272"/>
  <c r="Z84" i="272"/>
  <c r="Y84" i="272"/>
  <c r="U84" i="272"/>
  <c r="BW84" i="272" s="1"/>
  <c r="Q84" i="272"/>
  <c r="O84" i="272"/>
  <c r="FU84" i="272" s="1"/>
  <c r="M84" i="272"/>
  <c r="HR83" i="272"/>
  <c r="HQ83" i="272"/>
  <c r="HP83" i="272"/>
  <c r="HO83" i="272"/>
  <c r="HN83" i="272"/>
  <c r="HM83" i="272"/>
  <c r="HL83" i="272"/>
  <c r="HK83" i="272"/>
  <c r="HJ83" i="272"/>
  <c r="HI83" i="272"/>
  <c r="HH83" i="272"/>
  <c r="HG83" i="272"/>
  <c r="HF83" i="272"/>
  <c r="HE83" i="272"/>
  <c r="HD83" i="272"/>
  <c r="HC83" i="272"/>
  <c r="HB83" i="272"/>
  <c r="HA83" i="272"/>
  <c r="GZ83" i="272"/>
  <c r="GY83" i="272"/>
  <c r="GX83" i="272"/>
  <c r="GW83" i="272"/>
  <c r="GV83" i="272"/>
  <c r="GU83" i="272"/>
  <c r="GT83" i="272"/>
  <c r="GS83" i="272"/>
  <c r="GR83" i="272"/>
  <c r="GQ83" i="272"/>
  <c r="GP83" i="272"/>
  <c r="GO83" i="272"/>
  <c r="GN83" i="272"/>
  <c r="GM83" i="272"/>
  <c r="GL83" i="272"/>
  <c r="GK83" i="272"/>
  <c r="GJ83" i="272"/>
  <c r="GI83" i="272"/>
  <c r="GH83" i="272"/>
  <c r="GG83" i="272"/>
  <c r="GF83" i="272"/>
  <c r="GE83" i="272"/>
  <c r="GD83" i="272"/>
  <c r="GC83" i="272"/>
  <c r="GB83" i="272"/>
  <c r="GA83" i="272"/>
  <c r="FZ83" i="272"/>
  <c r="FY83" i="272"/>
  <c r="FX83" i="272"/>
  <c r="FW83" i="272"/>
  <c r="FV83" i="272"/>
  <c r="FU83" i="272"/>
  <c r="FT83" i="272"/>
  <c r="FS83" i="272"/>
  <c r="FR83" i="272"/>
  <c r="FQ83" i="272"/>
  <c r="FP83" i="272"/>
  <c r="FO83" i="272"/>
  <c r="FN83" i="272"/>
  <c r="FM83" i="272"/>
  <c r="FL83" i="272"/>
  <c r="FK83" i="272"/>
  <c r="FJ83" i="272"/>
  <c r="FI83" i="272"/>
  <c r="FH83" i="272"/>
  <c r="FG83" i="272"/>
  <c r="FF83" i="272"/>
  <c r="FE83" i="272"/>
  <c r="FD83" i="272"/>
  <c r="FC83" i="272"/>
  <c r="FB83" i="272"/>
  <c r="FA83" i="272"/>
  <c r="EZ83" i="272"/>
  <c r="EY83" i="272"/>
  <c r="EX83" i="272"/>
  <c r="EW83" i="272"/>
  <c r="EV83" i="272"/>
  <c r="EU83" i="272"/>
  <c r="ET83" i="272"/>
  <c r="ES83" i="272"/>
  <c r="ER83" i="272"/>
  <c r="EQ83" i="272"/>
  <c r="EP83" i="272"/>
  <c r="EO83" i="272"/>
  <c r="EN83" i="272"/>
  <c r="EM83" i="272"/>
  <c r="EL83" i="272"/>
  <c r="EK83" i="272"/>
  <c r="EJ83" i="272"/>
  <c r="EI83" i="272"/>
  <c r="EH83" i="272"/>
  <c r="EG83" i="272"/>
  <c r="EF83" i="272"/>
  <c r="EE83" i="272"/>
  <c r="ED83" i="272"/>
  <c r="EC83" i="272"/>
  <c r="EB83" i="272"/>
  <c r="EA83" i="272"/>
  <c r="DZ83" i="272"/>
  <c r="DY83" i="272"/>
  <c r="DX83" i="272"/>
  <c r="DW83" i="272"/>
  <c r="DT83" i="272"/>
  <c r="DS83" i="272"/>
  <c r="DR83" i="272"/>
  <c r="DQ83" i="272"/>
  <c r="DP83" i="272"/>
  <c r="DO83" i="272"/>
  <c r="DN83" i="272"/>
  <c r="DM83" i="272"/>
  <c r="DL83" i="272"/>
  <c r="DK83" i="272"/>
  <c r="DJ83" i="272"/>
  <c r="DI83" i="272"/>
  <c r="DH83" i="272"/>
  <c r="DG83" i="272"/>
  <c r="DF83" i="272"/>
  <c r="DE83" i="272"/>
  <c r="DD83" i="272"/>
  <c r="DC83" i="272"/>
  <c r="DB83" i="272"/>
  <c r="DA83" i="272"/>
  <c r="CZ83" i="272"/>
  <c r="CY83" i="272"/>
  <c r="CX83" i="272"/>
  <c r="CW83" i="272"/>
  <c r="CV83" i="272"/>
  <c r="CU83" i="272"/>
  <c r="CT83" i="272"/>
  <c r="CS83" i="272"/>
  <c r="CR83" i="272"/>
  <c r="CQ83" i="272"/>
  <c r="CP83" i="272"/>
  <c r="CO83" i="272"/>
  <c r="CN83" i="272"/>
  <c r="CM83" i="272"/>
  <c r="CL83" i="272"/>
  <c r="CK83" i="272"/>
  <c r="CJ83" i="272"/>
  <c r="CI83" i="272"/>
  <c r="CH83" i="272"/>
  <c r="CG83" i="272"/>
  <c r="CF83" i="272"/>
  <c r="CE83" i="272"/>
  <c r="CD83" i="272"/>
  <c r="CC83" i="272"/>
  <c r="CB83" i="272"/>
  <c r="CA83" i="272"/>
  <c r="BZ83" i="272"/>
  <c r="BY83" i="272"/>
  <c r="BX83" i="272"/>
  <c r="BW83" i="272"/>
  <c r="BV83" i="272"/>
  <c r="BU83" i="272"/>
  <c r="BT83" i="272"/>
  <c r="BS83" i="272"/>
  <c r="BR83" i="272"/>
  <c r="BQ83" i="272"/>
  <c r="BP83" i="272"/>
  <c r="BO83" i="272"/>
  <c r="BN83" i="272"/>
  <c r="BM83" i="272"/>
  <c r="BL83" i="272"/>
  <c r="BK83" i="272"/>
  <c r="BJ83" i="272"/>
  <c r="BI83" i="272"/>
  <c r="BH83" i="272"/>
  <c r="BG83" i="272"/>
  <c r="BF83" i="272"/>
  <c r="BE83" i="272"/>
  <c r="BD83" i="272"/>
  <c r="BC83" i="272"/>
  <c r="BB83" i="272"/>
  <c r="BA83" i="272"/>
  <c r="AZ83" i="272"/>
  <c r="AY83" i="272"/>
  <c r="AX83" i="272"/>
  <c r="AW83" i="272"/>
  <c r="AV83" i="272"/>
  <c r="AU83" i="272"/>
  <c r="AT83" i="272"/>
  <c r="AS83" i="272"/>
  <c r="AR83" i="272"/>
  <c r="AQ83" i="272"/>
  <c r="AP83" i="272"/>
  <c r="AO83" i="272"/>
  <c r="AN83" i="272"/>
  <c r="AM83" i="272"/>
  <c r="AL83" i="272"/>
  <c r="AK83" i="272"/>
  <c r="AJ83" i="272"/>
  <c r="AI83" i="272"/>
  <c r="AH83" i="272"/>
  <c r="AG83" i="272"/>
  <c r="AF83" i="272"/>
  <c r="AE83" i="272"/>
  <c r="AD83" i="272"/>
  <c r="AC83" i="272"/>
  <c r="AB83" i="272"/>
  <c r="AA83" i="272"/>
  <c r="Z83" i="272"/>
  <c r="Y83" i="272"/>
  <c r="U83" i="272"/>
  <c r="R83" i="272"/>
  <c r="Q83" i="272"/>
  <c r="O83" i="272"/>
  <c r="M83" i="272"/>
  <c r="HR82" i="272"/>
  <c r="HQ82" i="272"/>
  <c r="HP82" i="272"/>
  <c r="HO82" i="272"/>
  <c r="HN82" i="272"/>
  <c r="HM82" i="272"/>
  <c r="HL82" i="272"/>
  <c r="HK82" i="272"/>
  <c r="HJ82" i="272"/>
  <c r="HI82" i="272"/>
  <c r="HH82" i="272"/>
  <c r="HG82" i="272"/>
  <c r="HF82" i="272"/>
  <c r="HE82" i="272"/>
  <c r="HD82" i="272"/>
  <c r="HC82" i="272"/>
  <c r="HB82" i="272"/>
  <c r="HA82" i="272"/>
  <c r="GZ82" i="272"/>
  <c r="GY82" i="272"/>
  <c r="GX82" i="272"/>
  <c r="GW82" i="272"/>
  <c r="GV82" i="272"/>
  <c r="GU82" i="272"/>
  <c r="GT82" i="272"/>
  <c r="GS82" i="272"/>
  <c r="GR82" i="272"/>
  <c r="GQ82" i="272"/>
  <c r="GP82" i="272"/>
  <c r="GO82" i="272"/>
  <c r="GN82" i="272"/>
  <c r="GM82" i="272"/>
  <c r="GL82" i="272"/>
  <c r="GK82" i="272"/>
  <c r="GJ82" i="272"/>
  <c r="GI82" i="272"/>
  <c r="GH82" i="272"/>
  <c r="GG82" i="272"/>
  <c r="GF82" i="272"/>
  <c r="GE82" i="272"/>
  <c r="GD82" i="272"/>
  <c r="GC82" i="272"/>
  <c r="GB82" i="272"/>
  <c r="GA82" i="272"/>
  <c r="FZ82" i="272"/>
  <c r="FY82" i="272"/>
  <c r="FX82" i="272"/>
  <c r="FW82" i="272"/>
  <c r="FV82" i="272"/>
  <c r="FU82" i="272"/>
  <c r="FS82" i="272"/>
  <c r="FR82" i="272"/>
  <c r="FQ82" i="272"/>
  <c r="FP82" i="272"/>
  <c r="FO82" i="272"/>
  <c r="FN82" i="272"/>
  <c r="FM82" i="272"/>
  <c r="FL82" i="272"/>
  <c r="FK82" i="272"/>
  <c r="FJ82" i="272"/>
  <c r="FI82" i="272"/>
  <c r="FH82" i="272"/>
  <c r="FG82" i="272"/>
  <c r="FF82" i="272"/>
  <c r="FE82" i="272"/>
  <c r="FD82" i="272"/>
  <c r="FC82" i="272"/>
  <c r="FB82" i="272"/>
  <c r="FA82" i="272"/>
  <c r="EZ82" i="272"/>
  <c r="EY82" i="272"/>
  <c r="EX82" i="272"/>
  <c r="EW82" i="272"/>
  <c r="EV82" i="272"/>
  <c r="EU82" i="272"/>
  <c r="ET82" i="272"/>
  <c r="ES82" i="272"/>
  <c r="ER82" i="272"/>
  <c r="EQ82" i="272"/>
  <c r="EP82" i="272"/>
  <c r="EO82" i="272"/>
  <c r="EN82" i="272"/>
  <c r="EM82" i="272"/>
  <c r="EL82" i="272"/>
  <c r="EK82" i="272"/>
  <c r="EJ82" i="272"/>
  <c r="EI82" i="272"/>
  <c r="EH82" i="272"/>
  <c r="EG82" i="272"/>
  <c r="EF82" i="272"/>
  <c r="EE82" i="272"/>
  <c r="ED82" i="272"/>
  <c r="EC82" i="272"/>
  <c r="EB82" i="272"/>
  <c r="EA82" i="272"/>
  <c r="DZ82" i="272"/>
  <c r="DY82" i="272"/>
  <c r="DX82" i="272"/>
  <c r="DW82" i="272"/>
  <c r="DT82" i="272"/>
  <c r="DS82" i="272"/>
  <c r="DR82" i="272"/>
  <c r="DQ82" i="272"/>
  <c r="DP82" i="272"/>
  <c r="DO82" i="272"/>
  <c r="DN82" i="272"/>
  <c r="DM82" i="272"/>
  <c r="DL82" i="272"/>
  <c r="DK82" i="272"/>
  <c r="DJ82" i="272"/>
  <c r="DI82" i="272"/>
  <c r="DH82" i="272"/>
  <c r="DG82" i="272"/>
  <c r="DF82" i="272"/>
  <c r="DE82" i="272"/>
  <c r="DD82" i="272"/>
  <c r="DC82" i="272"/>
  <c r="DB82" i="272"/>
  <c r="DA82" i="272"/>
  <c r="CZ82" i="272"/>
  <c r="CY82" i="272"/>
  <c r="CX82" i="272"/>
  <c r="CW82" i="272"/>
  <c r="CV82" i="272"/>
  <c r="CU82" i="272"/>
  <c r="CT82" i="272"/>
  <c r="CS82" i="272"/>
  <c r="CR82" i="272"/>
  <c r="CQ82" i="272"/>
  <c r="CP82" i="272"/>
  <c r="CO82" i="272"/>
  <c r="CN82" i="272"/>
  <c r="CM82" i="272"/>
  <c r="CL82" i="272"/>
  <c r="CK82" i="272"/>
  <c r="CJ82" i="272"/>
  <c r="CI82" i="272"/>
  <c r="CH82" i="272"/>
  <c r="CG82" i="272"/>
  <c r="CF82" i="272"/>
  <c r="CE82" i="272"/>
  <c r="CD82" i="272"/>
  <c r="CC82" i="272"/>
  <c r="CB82" i="272"/>
  <c r="CA82" i="272"/>
  <c r="BZ82" i="272"/>
  <c r="BY82" i="272"/>
  <c r="BX82" i="272"/>
  <c r="BW82" i="272"/>
  <c r="BU82" i="272"/>
  <c r="BT82" i="272"/>
  <c r="BS82" i="272"/>
  <c r="BR82" i="272"/>
  <c r="BQ82" i="272"/>
  <c r="BP82" i="272"/>
  <c r="BO82" i="272"/>
  <c r="BN82" i="272"/>
  <c r="BM82" i="272"/>
  <c r="BL82" i="272"/>
  <c r="BK82" i="272"/>
  <c r="BJ82" i="272"/>
  <c r="BI82" i="272"/>
  <c r="BH82" i="272"/>
  <c r="BG82" i="272"/>
  <c r="BF82" i="272"/>
  <c r="BE82" i="272"/>
  <c r="BD82" i="272"/>
  <c r="BC82" i="272"/>
  <c r="BB82" i="272"/>
  <c r="BA82" i="272"/>
  <c r="AZ82" i="272"/>
  <c r="AY82" i="272"/>
  <c r="AX82" i="272"/>
  <c r="AW82" i="272"/>
  <c r="AV82" i="272"/>
  <c r="AU82" i="272"/>
  <c r="AT82" i="272"/>
  <c r="AS82" i="272"/>
  <c r="AR82" i="272"/>
  <c r="AQ82" i="272"/>
  <c r="AP82" i="272"/>
  <c r="AO82" i="272"/>
  <c r="AN82" i="272"/>
  <c r="AM82" i="272"/>
  <c r="AL82" i="272"/>
  <c r="AK82" i="272"/>
  <c r="AJ82" i="272"/>
  <c r="AI82" i="272"/>
  <c r="AH82" i="272"/>
  <c r="AG82" i="272"/>
  <c r="AF82" i="272"/>
  <c r="AE82" i="272"/>
  <c r="AD82" i="272"/>
  <c r="AC82" i="272"/>
  <c r="AB82" i="272"/>
  <c r="AA82" i="272"/>
  <c r="Z82" i="272"/>
  <c r="Y82" i="272"/>
  <c r="R82" i="272"/>
  <c r="HR81" i="272"/>
  <c r="HQ81" i="272"/>
  <c r="HP81" i="272"/>
  <c r="HO81" i="272"/>
  <c r="HN81" i="272"/>
  <c r="HM81" i="272"/>
  <c r="HL81" i="272"/>
  <c r="HK81" i="272"/>
  <c r="HJ81" i="272"/>
  <c r="HI81" i="272"/>
  <c r="HH81" i="272"/>
  <c r="HG81" i="272"/>
  <c r="HF81" i="272"/>
  <c r="HE81" i="272"/>
  <c r="HD81" i="272"/>
  <c r="HC81" i="272"/>
  <c r="HB81" i="272"/>
  <c r="HA81" i="272"/>
  <c r="GZ81" i="272"/>
  <c r="GY81" i="272"/>
  <c r="GX81" i="272"/>
  <c r="GW81" i="272"/>
  <c r="GV81" i="272"/>
  <c r="GU81" i="272"/>
  <c r="GT81" i="272"/>
  <c r="GS81" i="272"/>
  <c r="GR81" i="272"/>
  <c r="GQ81" i="272"/>
  <c r="GP81" i="272"/>
  <c r="GO81" i="272"/>
  <c r="GN81" i="272"/>
  <c r="GM81" i="272"/>
  <c r="GL81" i="272"/>
  <c r="GK81" i="272"/>
  <c r="GJ81" i="272"/>
  <c r="GI81" i="272"/>
  <c r="GH81" i="272"/>
  <c r="GG81" i="272"/>
  <c r="GF81" i="272"/>
  <c r="GE81" i="272"/>
  <c r="GD81" i="272"/>
  <c r="GC81" i="272"/>
  <c r="GB81" i="272"/>
  <c r="GA81" i="272"/>
  <c r="FZ81" i="272"/>
  <c r="FY81" i="272"/>
  <c r="FX81" i="272"/>
  <c r="FW81" i="272"/>
  <c r="FV81" i="272"/>
  <c r="FU81" i="272"/>
  <c r="FT81" i="272"/>
  <c r="FS81" i="272"/>
  <c r="FR81" i="272"/>
  <c r="FQ81" i="272"/>
  <c r="FP81" i="272"/>
  <c r="FO81" i="272"/>
  <c r="FN81" i="272"/>
  <c r="FM81" i="272"/>
  <c r="FL81" i="272"/>
  <c r="FK81" i="272"/>
  <c r="FJ81" i="272"/>
  <c r="FI81" i="272"/>
  <c r="FH81" i="272"/>
  <c r="FG81" i="272"/>
  <c r="FF81" i="272"/>
  <c r="FE81" i="272"/>
  <c r="FD81" i="272"/>
  <c r="FC81" i="272"/>
  <c r="FB81" i="272"/>
  <c r="FA81" i="272"/>
  <c r="EZ81" i="272"/>
  <c r="EY81" i="272"/>
  <c r="EX81" i="272"/>
  <c r="EW81" i="272"/>
  <c r="EV81" i="272"/>
  <c r="EU81" i="272"/>
  <c r="ET81" i="272"/>
  <c r="ES81" i="272"/>
  <c r="ER81" i="272"/>
  <c r="EQ81" i="272"/>
  <c r="EP81" i="272"/>
  <c r="EO81" i="272"/>
  <c r="EN81" i="272"/>
  <c r="EM81" i="272"/>
  <c r="EL81" i="272"/>
  <c r="EK81" i="272"/>
  <c r="EJ81" i="272"/>
  <c r="EI81" i="272"/>
  <c r="EH81" i="272"/>
  <c r="EG81" i="272"/>
  <c r="EF81" i="272"/>
  <c r="EE81" i="272"/>
  <c r="ED81" i="272"/>
  <c r="EC81" i="272"/>
  <c r="EB81" i="272"/>
  <c r="EA81" i="272"/>
  <c r="DZ81" i="272"/>
  <c r="DY81" i="272"/>
  <c r="DX81" i="272"/>
  <c r="DW81" i="272"/>
  <c r="DT81" i="272"/>
  <c r="DS81" i="272"/>
  <c r="DR81" i="272"/>
  <c r="DQ81" i="272"/>
  <c r="DP81" i="272"/>
  <c r="DO81" i="272"/>
  <c r="DN81" i="272"/>
  <c r="DM81" i="272"/>
  <c r="DL81" i="272"/>
  <c r="DK81" i="272"/>
  <c r="DJ81" i="272"/>
  <c r="DI81" i="272"/>
  <c r="DH81" i="272"/>
  <c r="DG81" i="272"/>
  <c r="DF81" i="272"/>
  <c r="DE81" i="272"/>
  <c r="DD81" i="272"/>
  <c r="DC81" i="272"/>
  <c r="DB81" i="272"/>
  <c r="DA81" i="272"/>
  <c r="CZ81" i="272"/>
  <c r="CY81" i="272"/>
  <c r="CX81" i="272"/>
  <c r="CW81" i="272"/>
  <c r="CV81" i="272"/>
  <c r="CU81" i="272"/>
  <c r="CT81" i="272"/>
  <c r="CS81" i="272"/>
  <c r="CR81" i="272"/>
  <c r="CQ81" i="272"/>
  <c r="CP81" i="272"/>
  <c r="CO81" i="272"/>
  <c r="CN81" i="272"/>
  <c r="CM81" i="272"/>
  <c r="CL81" i="272"/>
  <c r="CK81" i="272"/>
  <c r="CJ81" i="272"/>
  <c r="CI81" i="272"/>
  <c r="CH81" i="272"/>
  <c r="CG81" i="272"/>
  <c r="CF81" i="272"/>
  <c r="CE81" i="272"/>
  <c r="CD81" i="272"/>
  <c r="CC81" i="272"/>
  <c r="CB81" i="272"/>
  <c r="CA81" i="272"/>
  <c r="BZ81" i="272"/>
  <c r="BY81" i="272"/>
  <c r="BX81" i="272"/>
  <c r="BW81" i="272"/>
  <c r="BU81" i="272"/>
  <c r="BT81" i="272"/>
  <c r="BS81" i="272"/>
  <c r="BR81" i="272"/>
  <c r="BQ81" i="272"/>
  <c r="BP81" i="272"/>
  <c r="BO81" i="272"/>
  <c r="BN81" i="272"/>
  <c r="BM81" i="272"/>
  <c r="BL81" i="272"/>
  <c r="BK81" i="272"/>
  <c r="BJ81" i="272"/>
  <c r="BI81" i="272"/>
  <c r="BH81" i="272"/>
  <c r="BG81" i="272"/>
  <c r="BF81" i="272"/>
  <c r="BE81" i="272"/>
  <c r="BD81" i="272"/>
  <c r="BC81" i="272"/>
  <c r="BB81" i="272"/>
  <c r="BA81" i="272"/>
  <c r="AZ81" i="272"/>
  <c r="AY81" i="272"/>
  <c r="AX81" i="272"/>
  <c r="AW81" i="272"/>
  <c r="AV81" i="272"/>
  <c r="AU81" i="272"/>
  <c r="AT81" i="272"/>
  <c r="AS81" i="272"/>
  <c r="AR81" i="272"/>
  <c r="AQ81" i="272"/>
  <c r="AP81" i="272"/>
  <c r="AO81" i="272"/>
  <c r="AN81" i="272"/>
  <c r="AM81" i="272"/>
  <c r="AL81" i="272"/>
  <c r="AK81" i="272"/>
  <c r="AJ81" i="272"/>
  <c r="AI81" i="272"/>
  <c r="AH81" i="272"/>
  <c r="AG81" i="272"/>
  <c r="AF81" i="272"/>
  <c r="AE81" i="272"/>
  <c r="AD81" i="272"/>
  <c r="AC81" i="272"/>
  <c r="AB81" i="272"/>
  <c r="AA81" i="272"/>
  <c r="Z81" i="272"/>
  <c r="Y81" i="272"/>
  <c r="U81" i="272"/>
  <c r="BV81" i="272" s="1"/>
  <c r="Q81" i="272"/>
  <c r="O81" i="272"/>
  <c r="M81" i="272"/>
  <c r="HR80" i="272"/>
  <c r="HQ80" i="272"/>
  <c r="HP80" i="272"/>
  <c r="HO80" i="272"/>
  <c r="HN80" i="272"/>
  <c r="HM80" i="272"/>
  <c r="HL80" i="272"/>
  <c r="HK80" i="272"/>
  <c r="HJ80" i="272"/>
  <c r="HI80" i="272"/>
  <c r="HH80" i="272"/>
  <c r="HG80" i="272"/>
  <c r="HF80" i="272"/>
  <c r="HE80" i="272"/>
  <c r="HD80" i="272"/>
  <c r="HC80" i="272"/>
  <c r="HB80" i="272"/>
  <c r="HA80" i="272"/>
  <c r="GZ80" i="272"/>
  <c r="GY80" i="272"/>
  <c r="GX80" i="272"/>
  <c r="GW80" i="272"/>
  <c r="GV80" i="272"/>
  <c r="GU80" i="272"/>
  <c r="GT80" i="272"/>
  <c r="GS80" i="272"/>
  <c r="GR80" i="272"/>
  <c r="GQ80" i="272"/>
  <c r="GP80" i="272"/>
  <c r="GO80" i="272"/>
  <c r="GN80" i="272"/>
  <c r="GM80" i="272"/>
  <c r="GL80" i="272"/>
  <c r="GK80" i="272"/>
  <c r="GJ80" i="272"/>
  <c r="GI80" i="272"/>
  <c r="GH80" i="272"/>
  <c r="GG80" i="272"/>
  <c r="GF80" i="272"/>
  <c r="GE80" i="272"/>
  <c r="GD80" i="272"/>
  <c r="GC80" i="272"/>
  <c r="GB80" i="272"/>
  <c r="GA80" i="272"/>
  <c r="FZ80" i="272"/>
  <c r="FY80" i="272"/>
  <c r="FX80" i="272"/>
  <c r="FW80" i="272"/>
  <c r="FV80" i="272"/>
  <c r="FU80" i="272"/>
  <c r="FT80" i="272"/>
  <c r="FS80" i="272"/>
  <c r="FR80" i="272"/>
  <c r="FQ80" i="272"/>
  <c r="FP80" i="272"/>
  <c r="FO80" i="272"/>
  <c r="FN80" i="272"/>
  <c r="FM80" i="272"/>
  <c r="FL80" i="272"/>
  <c r="FK80" i="272"/>
  <c r="FJ80" i="272"/>
  <c r="FI80" i="272"/>
  <c r="FH80" i="272"/>
  <c r="FG80" i="272"/>
  <c r="FF80" i="272"/>
  <c r="FE80" i="272"/>
  <c r="FD80" i="272"/>
  <c r="FC80" i="272"/>
  <c r="FB80" i="272"/>
  <c r="FA80" i="272"/>
  <c r="EZ80" i="272"/>
  <c r="EY80" i="272"/>
  <c r="EX80" i="272"/>
  <c r="EW80" i="272"/>
  <c r="EV80" i="272"/>
  <c r="EU80" i="272"/>
  <c r="ET80" i="272"/>
  <c r="ES80" i="272"/>
  <c r="ER80" i="272"/>
  <c r="EQ80" i="272"/>
  <c r="EP80" i="272"/>
  <c r="EO80" i="272"/>
  <c r="EN80" i="272"/>
  <c r="EM80" i="272"/>
  <c r="EL80" i="272"/>
  <c r="EK80" i="272"/>
  <c r="EJ80" i="272"/>
  <c r="EI80" i="272"/>
  <c r="EH80" i="272"/>
  <c r="EG80" i="272"/>
  <c r="EF80" i="272"/>
  <c r="EE80" i="272"/>
  <c r="ED80" i="272"/>
  <c r="EC80" i="272"/>
  <c r="EB80" i="272"/>
  <c r="EA80" i="272"/>
  <c r="DZ80" i="272"/>
  <c r="DY80" i="272"/>
  <c r="DX80" i="272"/>
  <c r="DW80" i="272"/>
  <c r="DT80" i="272"/>
  <c r="DS80" i="272"/>
  <c r="DR80" i="272"/>
  <c r="DQ80" i="272"/>
  <c r="DP80" i="272"/>
  <c r="DO80" i="272"/>
  <c r="DN80" i="272"/>
  <c r="DM80" i="272"/>
  <c r="DL80" i="272"/>
  <c r="DK80" i="272"/>
  <c r="DJ80" i="272"/>
  <c r="DI80" i="272"/>
  <c r="DH80" i="272"/>
  <c r="DG80" i="272"/>
  <c r="DF80" i="272"/>
  <c r="DE80" i="272"/>
  <c r="DD80" i="272"/>
  <c r="DC80" i="272"/>
  <c r="DB80" i="272"/>
  <c r="DA80" i="272"/>
  <c r="CZ80" i="272"/>
  <c r="CY80" i="272"/>
  <c r="CX80" i="272"/>
  <c r="CW80" i="272"/>
  <c r="CV80" i="272"/>
  <c r="CU80" i="272"/>
  <c r="CT80" i="272"/>
  <c r="CS80" i="272"/>
  <c r="CR80" i="272"/>
  <c r="CQ80" i="272"/>
  <c r="CP80" i="272"/>
  <c r="CO80" i="272"/>
  <c r="CN80" i="272"/>
  <c r="CM80" i="272"/>
  <c r="CL80" i="272"/>
  <c r="CK80" i="272"/>
  <c r="CJ80" i="272"/>
  <c r="CI80" i="272"/>
  <c r="CH80" i="272"/>
  <c r="CG80" i="272"/>
  <c r="CF80" i="272"/>
  <c r="CE80" i="272"/>
  <c r="CD80" i="272"/>
  <c r="CC80" i="272"/>
  <c r="CB80" i="272"/>
  <c r="CA80" i="272"/>
  <c r="BZ80" i="272"/>
  <c r="BY80" i="272"/>
  <c r="BX80" i="272"/>
  <c r="BW80" i="272"/>
  <c r="BV80" i="272"/>
  <c r="BU80" i="272"/>
  <c r="BT80" i="272"/>
  <c r="BS80" i="272"/>
  <c r="BR80" i="272"/>
  <c r="BQ80" i="272"/>
  <c r="BP80" i="272"/>
  <c r="BO80" i="272"/>
  <c r="BN80" i="272"/>
  <c r="BM80" i="272"/>
  <c r="BL80" i="272"/>
  <c r="BK80" i="272"/>
  <c r="BJ80" i="272"/>
  <c r="BI80" i="272"/>
  <c r="BH80" i="272"/>
  <c r="BG80" i="272"/>
  <c r="BF80" i="272"/>
  <c r="BE80" i="272"/>
  <c r="BD80" i="272"/>
  <c r="BC80" i="272"/>
  <c r="BB80" i="272"/>
  <c r="BA80" i="272"/>
  <c r="AZ80" i="272"/>
  <c r="AY80" i="272"/>
  <c r="AX80" i="272"/>
  <c r="AW80" i="272"/>
  <c r="AV80" i="272"/>
  <c r="AU80" i="272"/>
  <c r="AT80" i="272"/>
  <c r="AS80" i="272"/>
  <c r="AR80" i="272"/>
  <c r="AQ80" i="272"/>
  <c r="AP80" i="272"/>
  <c r="AO80" i="272"/>
  <c r="AN80" i="272"/>
  <c r="AM80" i="272"/>
  <c r="AL80" i="272"/>
  <c r="AK80" i="272"/>
  <c r="AJ80" i="272"/>
  <c r="AI80" i="272"/>
  <c r="AH80" i="272"/>
  <c r="AG80" i="272"/>
  <c r="AF80" i="272"/>
  <c r="AE80" i="272"/>
  <c r="AD80" i="272"/>
  <c r="AC80" i="272"/>
  <c r="AB80" i="272"/>
  <c r="AA80" i="272"/>
  <c r="Z80" i="272"/>
  <c r="Y80" i="272"/>
  <c r="U80" i="272"/>
  <c r="R80" i="272"/>
  <c r="Q80" i="272"/>
  <c r="O80" i="272"/>
  <c r="M80" i="272"/>
  <c r="HR74" i="272"/>
  <c r="HQ74" i="272"/>
  <c r="HP74" i="272"/>
  <c r="HO74" i="272"/>
  <c r="HN74" i="272"/>
  <c r="HM74" i="272"/>
  <c r="HL74" i="272"/>
  <c r="HK74" i="272"/>
  <c r="HJ74" i="272"/>
  <c r="HI74" i="272"/>
  <c r="HH74" i="272"/>
  <c r="HG74" i="272"/>
  <c r="HF74" i="272"/>
  <c r="HE74" i="272"/>
  <c r="HD74" i="272"/>
  <c r="HC74" i="272"/>
  <c r="HB74" i="272"/>
  <c r="HA74" i="272"/>
  <c r="GZ74" i="272"/>
  <c r="GY74" i="272"/>
  <c r="GX74" i="272"/>
  <c r="GW74" i="272"/>
  <c r="GV74" i="272"/>
  <c r="GU74" i="272"/>
  <c r="GT74" i="272"/>
  <c r="GS74" i="272"/>
  <c r="GR74" i="272"/>
  <c r="GQ74" i="272"/>
  <c r="GP74" i="272"/>
  <c r="GO74" i="272"/>
  <c r="GN74" i="272"/>
  <c r="GM74" i="272"/>
  <c r="GL74" i="272"/>
  <c r="GK74" i="272"/>
  <c r="GJ74" i="272"/>
  <c r="GI74" i="272"/>
  <c r="GH74" i="272"/>
  <c r="GG74" i="272"/>
  <c r="GF74" i="272"/>
  <c r="GE74" i="272"/>
  <c r="GD74" i="272"/>
  <c r="GC74" i="272"/>
  <c r="GB74" i="272"/>
  <c r="GA74" i="272"/>
  <c r="FZ74" i="272"/>
  <c r="FY74" i="272"/>
  <c r="FX74" i="272"/>
  <c r="FW74" i="272"/>
  <c r="FV74" i="272"/>
  <c r="FU74" i="272"/>
  <c r="FT74" i="272"/>
  <c r="FS74" i="272"/>
  <c r="FR74" i="272"/>
  <c r="FQ74" i="272"/>
  <c r="FP74" i="272"/>
  <c r="FO74" i="272"/>
  <c r="FN74" i="272"/>
  <c r="FM74" i="272"/>
  <c r="FL74" i="272"/>
  <c r="FK74" i="272"/>
  <c r="FJ74" i="272"/>
  <c r="FI74" i="272"/>
  <c r="FH74" i="272"/>
  <c r="FG74" i="272"/>
  <c r="FF74" i="272"/>
  <c r="FE74" i="272"/>
  <c r="FD74" i="272"/>
  <c r="FC74" i="272"/>
  <c r="FB74" i="272"/>
  <c r="FA74" i="272"/>
  <c r="EZ74" i="272"/>
  <c r="EY74" i="272"/>
  <c r="EX74" i="272"/>
  <c r="EW74" i="272"/>
  <c r="EV74" i="272"/>
  <c r="EU74" i="272"/>
  <c r="ET74" i="272"/>
  <c r="ES74" i="272"/>
  <c r="ER74" i="272"/>
  <c r="EQ74" i="272"/>
  <c r="EP74" i="272"/>
  <c r="EO74" i="272"/>
  <c r="EN74" i="272"/>
  <c r="EM74" i="272"/>
  <c r="EL74" i="272"/>
  <c r="EK74" i="272"/>
  <c r="EJ74" i="272"/>
  <c r="EI74" i="272"/>
  <c r="EH74" i="272"/>
  <c r="EG74" i="272"/>
  <c r="EF74" i="272"/>
  <c r="EE74" i="272"/>
  <c r="ED74" i="272"/>
  <c r="EC74" i="272"/>
  <c r="EB74" i="272"/>
  <c r="EA74" i="272"/>
  <c r="DZ74" i="272"/>
  <c r="DY74" i="272"/>
  <c r="DX74" i="272"/>
  <c r="DW74" i="272"/>
  <c r="DT74" i="272"/>
  <c r="DS74" i="272"/>
  <c r="DR74" i="272"/>
  <c r="DQ74" i="272"/>
  <c r="DP74" i="272"/>
  <c r="DO74" i="272"/>
  <c r="DN74" i="272"/>
  <c r="DM74" i="272"/>
  <c r="DL74" i="272"/>
  <c r="DK74" i="272"/>
  <c r="DJ74" i="272"/>
  <c r="DI74" i="272"/>
  <c r="DH74" i="272"/>
  <c r="DG74" i="272"/>
  <c r="DF74" i="272"/>
  <c r="DE74" i="272"/>
  <c r="DD74" i="272"/>
  <c r="DC74" i="272"/>
  <c r="DB74" i="272"/>
  <c r="DA74" i="272"/>
  <c r="CZ74" i="272"/>
  <c r="CY74" i="272"/>
  <c r="CX74" i="272"/>
  <c r="CW74" i="272"/>
  <c r="CV74" i="272"/>
  <c r="CU74" i="272"/>
  <c r="CT74" i="272"/>
  <c r="CS74" i="272"/>
  <c r="CR74" i="272"/>
  <c r="CQ74" i="272"/>
  <c r="CP74" i="272"/>
  <c r="CO74" i="272"/>
  <c r="CN74" i="272"/>
  <c r="CM74" i="272"/>
  <c r="CL74" i="272"/>
  <c r="CK74" i="272"/>
  <c r="CJ74" i="272"/>
  <c r="CI74" i="272"/>
  <c r="CH74" i="272"/>
  <c r="CG74" i="272"/>
  <c r="CF74" i="272"/>
  <c r="CE74" i="272"/>
  <c r="CD74" i="272"/>
  <c r="CC74" i="272"/>
  <c r="CB74" i="272"/>
  <c r="CA74" i="272"/>
  <c r="BZ74" i="272"/>
  <c r="BY74" i="272"/>
  <c r="BX74" i="272"/>
  <c r="BW74" i="272"/>
  <c r="BV74" i="272"/>
  <c r="BU74" i="272"/>
  <c r="BT74" i="272"/>
  <c r="BS74" i="272"/>
  <c r="BR74" i="272"/>
  <c r="BQ74" i="272"/>
  <c r="BP74" i="272"/>
  <c r="BO74" i="272"/>
  <c r="BN74" i="272"/>
  <c r="BM74" i="272"/>
  <c r="BL74" i="272"/>
  <c r="BK74" i="272"/>
  <c r="BJ74" i="272"/>
  <c r="BI74" i="272"/>
  <c r="BH74" i="272"/>
  <c r="BG74" i="272"/>
  <c r="BF74" i="272"/>
  <c r="BE74" i="272"/>
  <c r="BD74" i="272"/>
  <c r="BC74" i="272"/>
  <c r="BB74" i="272"/>
  <c r="BA74" i="272"/>
  <c r="AZ74" i="272"/>
  <c r="AY74" i="272"/>
  <c r="AX74" i="272"/>
  <c r="AW74" i="272"/>
  <c r="AV74" i="272"/>
  <c r="AU74" i="272"/>
  <c r="AT74" i="272"/>
  <c r="AS74" i="272"/>
  <c r="AR74" i="272"/>
  <c r="AQ74" i="272"/>
  <c r="AP74" i="272"/>
  <c r="AO74" i="272"/>
  <c r="AN74" i="272"/>
  <c r="AM74" i="272"/>
  <c r="AL74" i="272"/>
  <c r="AK74" i="272"/>
  <c r="AJ74" i="272"/>
  <c r="AI74" i="272"/>
  <c r="AH74" i="272"/>
  <c r="AG74" i="272"/>
  <c r="AF74" i="272"/>
  <c r="AE74" i="272"/>
  <c r="AD74" i="272"/>
  <c r="AC74" i="272"/>
  <c r="AB74" i="272"/>
  <c r="AA74" i="272"/>
  <c r="Z74" i="272"/>
  <c r="Y74" i="272"/>
  <c r="R74" i="272"/>
  <c r="Q74" i="272"/>
  <c r="O74" i="272"/>
  <c r="M74" i="272"/>
  <c r="HR73" i="272"/>
  <c r="HQ73" i="272"/>
  <c r="HP73" i="272"/>
  <c r="HO73" i="272"/>
  <c r="HN73" i="272"/>
  <c r="HM73" i="272"/>
  <c r="HL73" i="272"/>
  <c r="HK73" i="272"/>
  <c r="HJ73" i="272"/>
  <c r="HI73" i="272"/>
  <c r="HH73" i="272"/>
  <c r="HG73" i="272"/>
  <c r="HF73" i="272"/>
  <c r="HE73" i="272"/>
  <c r="HD73" i="272"/>
  <c r="HC73" i="272"/>
  <c r="HB73" i="272"/>
  <c r="HA73" i="272"/>
  <c r="GZ73" i="272"/>
  <c r="GY73" i="272"/>
  <c r="GX73" i="272"/>
  <c r="GW73" i="272"/>
  <c r="GV73" i="272"/>
  <c r="GU73" i="272"/>
  <c r="GT73" i="272"/>
  <c r="GS73" i="272"/>
  <c r="GR73" i="272"/>
  <c r="GQ73" i="272"/>
  <c r="GP73" i="272"/>
  <c r="GO73" i="272"/>
  <c r="GN73" i="272"/>
  <c r="GM73" i="272"/>
  <c r="GL73" i="272"/>
  <c r="GK73" i="272"/>
  <c r="GJ73" i="272"/>
  <c r="GI73" i="272"/>
  <c r="GH73" i="272"/>
  <c r="GG73" i="272"/>
  <c r="GF73" i="272"/>
  <c r="GE73" i="272"/>
  <c r="GD73" i="272"/>
  <c r="GC73" i="272"/>
  <c r="GB73" i="272"/>
  <c r="GA73" i="272"/>
  <c r="FZ73" i="272"/>
  <c r="FY73" i="272"/>
  <c r="FX73" i="272"/>
  <c r="FW73" i="272"/>
  <c r="FV73" i="272"/>
  <c r="FU73" i="272"/>
  <c r="FT73" i="272"/>
  <c r="FS73" i="272"/>
  <c r="FR73" i="272"/>
  <c r="FQ73" i="272"/>
  <c r="FP73" i="272"/>
  <c r="FO73" i="272"/>
  <c r="FN73" i="272"/>
  <c r="FM73" i="272"/>
  <c r="FL73" i="272"/>
  <c r="FK73" i="272"/>
  <c r="FJ73" i="272"/>
  <c r="FI73" i="272"/>
  <c r="FH73" i="272"/>
  <c r="FG73" i="272"/>
  <c r="FF73" i="272"/>
  <c r="FE73" i="272"/>
  <c r="FD73" i="272"/>
  <c r="FC73" i="272"/>
  <c r="FB73" i="272"/>
  <c r="FA73" i="272"/>
  <c r="EZ73" i="272"/>
  <c r="EY73" i="272"/>
  <c r="EX73" i="272"/>
  <c r="EW73" i="272"/>
  <c r="EV73" i="272"/>
  <c r="EU73" i="272"/>
  <c r="ET73" i="272"/>
  <c r="ES73" i="272"/>
  <c r="ER73" i="272"/>
  <c r="EQ73" i="272"/>
  <c r="EP73" i="272"/>
  <c r="EO73" i="272"/>
  <c r="EN73" i="272"/>
  <c r="EM73" i="272"/>
  <c r="EL73" i="272"/>
  <c r="EK73" i="272"/>
  <c r="EJ73" i="272"/>
  <c r="EI73" i="272"/>
  <c r="EH73" i="272"/>
  <c r="EG73" i="272"/>
  <c r="EF73" i="272"/>
  <c r="EE73" i="272"/>
  <c r="ED73" i="272"/>
  <c r="EC73" i="272"/>
  <c r="EB73" i="272"/>
  <c r="EA73" i="272"/>
  <c r="DZ73" i="272"/>
  <c r="DY73" i="272"/>
  <c r="DX73" i="272"/>
  <c r="DW73" i="272"/>
  <c r="DT73" i="272"/>
  <c r="DS73" i="272"/>
  <c r="DR73" i="272"/>
  <c r="DQ73" i="272"/>
  <c r="DP73" i="272"/>
  <c r="DO73" i="272"/>
  <c r="DN73" i="272"/>
  <c r="DM73" i="272"/>
  <c r="DL73" i="272"/>
  <c r="DK73" i="272"/>
  <c r="DJ73" i="272"/>
  <c r="DI73" i="272"/>
  <c r="DH73" i="272"/>
  <c r="DG73" i="272"/>
  <c r="DF73" i="272"/>
  <c r="DE73" i="272"/>
  <c r="DD73" i="272"/>
  <c r="DC73" i="272"/>
  <c r="DB73" i="272"/>
  <c r="DA73" i="272"/>
  <c r="CZ73" i="272"/>
  <c r="CY73" i="272"/>
  <c r="CX73" i="272"/>
  <c r="CW73" i="272"/>
  <c r="CV73" i="272"/>
  <c r="CU73" i="272"/>
  <c r="CT73" i="272"/>
  <c r="CS73" i="272"/>
  <c r="CR73" i="272"/>
  <c r="CQ73" i="272"/>
  <c r="CP73" i="272"/>
  <c r="CO73" i="272"/>
  <c r="CN73" i="272"/>
  <c r="CM73" i="272"/>
  <c r="CL73" i="272"/>
  <c r="CK73" i="272"/>
  <c r="CJ73" i="272"/>
  <c r="CI73" i="272"/>
  <c r="CH73" i="272"/>
  <c r="CG73" i="272"/>
  <c r="CF73" i="272"/>
  <c r="CE73" i="272"/>
  <c r="CD73" i="272"/>
  <c r="CC73" i="272"/>
  <c r="CB73" i="272"/>
  <c r="CA73" i="272"/>
  <c r="BZ73" i="272"/>
  <c r="BY73" i="272"/>
  <c r="BX73" i="272"/>
  <c r="BW73" i="272"/>
  <c r="BV73" i="272"/>
  <c r="BU73" i="272"/>
  <c r="BT73" i="272"/>
  <c r="BS73" i="272"/>
  <c r="BR73" i="272"/>
  <c r="BQ73" i="272"/>
  <c r="BP73" i="272"/>
  <c r="BO73" i="272"/>
  <c r="BN73" i="272"/>
  <c r="BM73" i="272"/>
  <c r="BL73" i="272"/>
  <c r="BK73" i="272"/>
  <c r="BJ73" i="272"/>
  <c r="BI73" i="272"/>
  <c r="BH73" i="272"/>
  <c r="BG73" i="272"/>
  <c r="BF73" i="272"/>
  <c r="BE73" i="272"/>
  <c r="BD73" i="272"/>
  <c r="BC73" i="272"/>
  <c r="BB73" i="272"/>
  <c r="BA73" i="272"/>
  <c r="AZ73" i="272"/>
  <c r="AY73" i="272"/>
  <c r="AX73" i="272"/>
  <c r="AW73" i="272"/>
  <c r="AV73" i="272"/>
  <c r="AU73" i="272"/>
  <c r="AT73" i="272"/>
  <c r="AS73" i="272"/>
  <c r="AR73" i="272"/>
  <c r="AQ73" i="272"/>
  <c r="AP73" i="272"/>
  <c r="AO73" i="272"/>
  <c r="AN73" i="272"/>
  <c r="AM73" i="272"/>
  <c r="AL73" i="272"/>
  <c r="AK73" i="272"/>
  <c r="AJ73" i="272"/>
  <c r="AI73" i="272"/>
  <c r="AH73" i="272"/>
  <c r="AG73" i="272"/>
  <c r="AF73" i="272"/>
  <c r="AE73" i="272"/>
  <c r="AD73" i="272"/>
  <c r="AC73" i="272"/>
  <c r="AB73" i="272"/>
  <c r="AA73" i="272"/>
  <c r="Z73" i="272"/>
  <c r="Y73" i="272"/>
  <c r="U73" i="272"/>
  <c r="R73" i="272"/>
  <c r="Q73" i="272"/>
  <c r="O73" i="272"/>
  <c r="M73" i="272"/>
  <c r="HR50" i="272"/>
  <c r="HQ50" i="272"/>
  <c r="HP50" i="272"/>
  <c r="HO50" i="272"/>
  <c r="HN50" i="272"/>
  <c r="HM50" i="272"/>
  <c r="HL50" i="272"/>
  <c r="HK50" i="272"/>
  <c r="HJ50" i="272"/>
  <c r="HI50" i="272"/>
  <c r="HH50" i="272"/>
  <c r="HG50" i="272"/>
  <c r="HF50" i="272"/>
  <c r="HE50" i="272"/>
  <c r="HD50" i="272"/>
  <c r="HC50" i="272"/>
  <c r="HB50" i="272"/>
  <c r="HA50" i="272"/>
  <c r="GZ50" i="272"/>
  <c r="GY50" i="272"/>
  <c r="GX50" i="272"/>
  <c r="GW50" i="272"/>
  <c r="GV50" i="272"/>
  <c r="GU50" i="272"/>
  <c r="GT50" i="272"/>
  <c r="GS50" i="272"/>
  <c r="GR50" i="272"/>
  <c r="GQ50" i="272"/>
  <c r="GP50" i="272"/>
  <c r="GO50" i="272"/>
  <c r="GN50" i="272"/>
  <c r="GM50" i="272"/>
  <c r="GL50" i="272"/>
  <c r="GK50" i="272"/>
  <c r="GJ50" i="272"/>
  <c r="GI50" i="272"/>
  <c r="GH50" i="272"/>
  <c r="GG50" i="272"/>
  <c r="GF50" i="272"/>
  <c r="GE50" i="272"/>
  <c r="GD50" i="272"/>
  <c r="GC50" i="272"/>
  <c r="GB50" i="272"/>
  <c r="GA50" i="272"/>
  <c r="FZ50" i="272"/>
  <c r="FY50" i="272"/>
  <c r="FX50" i="272"/>
  <c r="FW50" i="272"/>
  <c r="FV50" i="272"/>
  <c r="FU50" i="272"/>
  <c r="FT50" i="272"/>
  <c r="FS50" i="272"/>
  <c r="FR50" i="272"/>
  <c r="FQ50" i="272"/>
  <c r="FP50" i="272"/>
  <c r="FO50" i="272"/>
  <c r="FN50" i="272"/>
  <c r="FM50" i="272"/>
  <c r="FL50" i="272"/>
  <c r="FK50" i="272"/>
  <c r="FJ50" i="272"/>
  <c r="FI50" i="272"/>
  <c r="FH50" i="272"/>
  <c r="FG50" i="272"/>
  <c r="FF50" i="272"/>
  <c r="FE50" i="272"/>
  <c r="FD50" i="272"/>
  <c r="FC50" i="272"/>
  <c r="FB50" i="272"/>
  <c r="FA50" i="272"/>
  <c r="EZ50" i="272"/>
  <c r="EY50" i="272"/>
  <c r="EX50" i="272"/>
  <c r="EW50" i="272"/>
  <c r="EV50" i="272"/>
  <c r="EU50" i="272"/>
  <c r="ET50" i="272"/>
  <c r="ES50" i="272"/>
  <c r="ER50" i="272"/>
  <c r="EQ50" i="272"/>
  <c r="EP50" i="272"/>
  <c r="EO50" i="272"/>
  <c r="EN50" i="272"/>
  <c r="EM50" i="272"/>
  <c r="EL50" i="272"/>
  <c r="EK50" i="272"/>
  <c r="EJ50" i="272"/>
  <c r="EI50" i="272"/>
  <c r="EH50" i="272"/>
  <c r="EG50" i="272"/>
  <c r="EF50" i="272"/>
  <c r="EE50" i="272"/>
  <c r="ED50" i="272"/>
  <c r="EC50" i="272"/>
  <c r="EB50" i="272"/>
  <c r="EA50" i="272"/>
  <c r="DZ50" i="272"/>
  <c r="DY50" i="272"/>
  <c r="DW50" i="272"/>
  <c r="DT50" i="272"/>
  <c r="DS50" i="272"/>
  <c r="DR50" i="272"/>
  <c r="DQ50" i="272"/>
  <c r="DP50" i="272"/>
  <c r="DO50" i="272"/>
  <c r="DN50" i="272"/>
  <c r="DM50" i="272"/>
  <c r="DL50" i="272"/>
  <c r="DK50" i="272"/>
  <c r="DJ50" i="272"/>
  <c r="DI50" i="272"/>
  <c r="DH50" i="272"/>
  <c r="DG50" i="272"/>
  <c r="DF50" i="272"/>
  <c r="DE50" i="272"/>
  <c r="DD50" i="272"/>
  <c r="DC50" i="272"/>
  <c r="DB50" i="272"/>
  <c r="DA50" i="272"/>
  <c r="CZ50" i="272"/>
  <c r="CY50" i="272"/>
  <c r="CX50" i="272"/>
  <c r="CW50" i="272"/>
  <c r="CV50" i="272"/>
  <c r="CU50" i="272"/>
  <c r="CT50" i="272"/>
  <c r="CS50" i="272"/>
  <c r="CR50" i="272"/>
  <c r="CQ50" i="272"/>
  <c r="CP50" i="272"/>
  <c r="CO50" i="272"/>
  <c r="CN50" i="272"/>
  <c r="CM50" i="272"/>
  <c r="CL50" i="272"/>
  <c r="CK50" i="272"/>
  <c r="CJ50" i="272"/>
  <c r="CI50" i="272"/>
  <c r="CH50" i="272"/>
  <c r="CG50" i="272"/>
  <c r="CF50" i="272"/>
  <c r="CE50" i="272"/>
  <c r="CD50" i="272"/>
  <c r="CC50" i="272"/>
  <c r="CB50" i="272"/>
  <c r="CA50" i="272"/>
  <c r="BZ50" i="272"/>
  <c r="BY50" i="272"/>
  <c r="BX50" i="272"/>
  <c r="BW50" i="272"/>
  <c r="BV50" i="272"/>
  <c r="BU50" i="272"/>
  <c r="BT50" i="272"/>
  <c r="BS50" i="272"/>
  <c r="BR50" i="272"/>
  <c r="BQ50" i="272"/>
  <c r="BP50" i="272"/>
  <c r="BO50" i="272"/>
  <c r="BN50" i="272"/>
  <c r="BM50" i="272"/>
  <c r="BL50" i="272"/>
  <c r="BK50" i="272"/>
  <c r="BJ50" i="272"/>
  <c r="BI50" i="272"/>
  <c r="BH50" i="272"/>
  <c r="BG50" i="272"/>
  <c r="BF50" i="272"/>
  <c r="BE50" i="272"/>
  <c r="BD50" i="272"/>
  <c r="BC50" i="272"/>
  <c r="BB50" i="272"/>
  <c r="BA50" i="272"/>
  <c r="AZ50" i="272"/>
  <c r="AY50" i="272"/>
  <c r="AX50" i="272"/>
  <c r="AW50" i="272"/>
  <c r="AV50" i="272"/>
  <c r="AU50" i="272"/>
  <c r="AT50" i="272"/>
  <c r="AS50" i="272"/>
  <c r="AR50" i="272"/>
  <c r="AQ50" i="272"/>
  <c r="AP50" i="272"/>
  <c r="AO50" i="272"/>
  <c r="AN50" i="272"/>
  <c r="AM50" i="272"/>
  <c r="AL50" i="272"/>
  <c r="AK50" i="272"/>
  <c r="AJ50" i="272"/>
  <c r="AI50" i="272"/>
  <c r="AH50" i="272"/>
  <c r="AG50" i="272"/>
  <c r="AF50" i="272"/>
  <c r="AE50" i="272"/>
  <c r="AD50" i="272"/>
  <c r="AC50" i="272"/>
  <c r="AB50" i="272"/>
  <c r="AA50" i="272"/>
  <c r="Y50" i="272"/>
  <c r="R50" i="272"/>
  <c r="Q50" i="272"/>
  <c r="M50" i="272"/>
  <c r="HR49" i="272"/>
  <c r="HQ49" i="272"/>
  <c r="HP49" i="272"/>
  <c r="HO49" i="272"/>
  <c r="HN49" i="272"/>
  <c r="HM49" i="272"/>
  <c r="HL49" i="272"/>
  <c r="HK49" i="272"/>
  <c r="HJ49" i="272"/>
  <c r="HI49" i="272"/>
  <c r="HH49" i="272"/>
  <c r="HG49" i="272"/>
  <c r="HF49" i="272"/>
  <c r="HE49" i="272"/>
  <c r="HD49" i="272"/>
  <c r="HC49" i="272"/>
  <c r="HB49" i="272"/>
  <c r="HA49" i="272"/>
  <c r="GZ49" i="272"/>
  <c r="GY49" i="272"/>
  <c r="GX49" i="272"/>
  <c r="GW49" i="272"/>
  <c r="GV49" i="272"/>
  <c r="GU49" i="272"/>
  <c r="GT49" i="272"/>
  <c r="GS49" i="272"/>
  <c r="GR49" i="272"/>
  <c r="GQ49" i="272"/>
  <c r="GP49" i="272"/>
  <c r="GO49" i="272"/>
  <c r="GN49" i="272"/>
  <c r="GM49" i="272"/>
  <c r="GL49" i="272"/>
  <c r="GK49" i="272"/>
  <c r="GJ49" i="272"/>
  <c r="GI49" i="272"/>
  <c r="GH49" i="272"/>
  <c r="GG49" i="272"/>
  <c r="GF49" i="272"/>
  <c r="GE49" i="272"/>
  <c r="GD49" i="272"/>
  <c r="GC49" i="272"/>
  <c r="GB49" i="272"/>
  <c r="GA49" i="272"/>
  <c r="FZ49" i="272"/>
  <c r="FY49" i="272"/>
  <c r="FX49" i="272"/>
  <c r="FW49" i="272"/>
  <c r="FV49" i="272"/>
  <c r="FU49" i="272"/>
  <c r="FT49" i="272"/>
  <c r="FS49" i="272"/>
  <c r="FR49" i="272"/>
  <c r="FQ49" i="272"/>
  <c r="FP49" i="272"/>
  <c r="FO49" i="272"/>
  <c r="FN49" i="272"/>
  <c r="FM49" i="272"/>
  <c r="FL49" i="272"/>
  <c r="FK49" i="272"/>
  <c r="FJ49" i="272"/>
  <c r="FI49" i="272"/>
  <c r="FH49" i="272"/>
  <c r="FG49" i="272"/>
  <c r="FF49" i="272"/>
  <c r="FE49" i="272"/>
  <c r="FD49" i="272"/>
  <c r="FC49" i="272"/>
  <c r="FB49" i="272"/>
  <c r="FA49" i="272"/>
  <c r="EZ49" i="272"/>
  <c r="EY49" i="272"/>
  <c r="EX49" i="272"/>
  <c r="EW49" i="272"/>
  <c r="EV49" i="272"/>
  <c r="EU49" i="272"/>
  <c r="ET49" i="272"/>
  <c r="ES49" i="272"/>
  <c r="ER49" i="272"/>
  <c r="EQ49" i="272"/>
  <c r="EP49" i="272"/>
  <c r="EO49" i="272"/>
  <c r="EN49" i="272"/>
  <c r="EM49" i="272"/>
  <c r="EL49" i="272"/>
  <c r="EK49" i="272"/>
  <c r="EJ49" i="272"/>
  <c r="EI49" i="272"/>
  <c r="EH49" i="272"/>
  <c r="EG49" i="272"/>
  <c r="EF49" i="272"/>
  <c r="EE49" i="272"/>
  <c r="ED49" i="272"/>
  <c r="EC49" i="272"/>
  <c r="EB49" i="272"/>
  <c r="EA49" i="272"/>
  <c r="DZ49" i="272"/>
  <c r="DY49" i="272"/>
  <c r="DW49" i="272"/>
  <c r="DT49" i="272"/>
  <c r="DS49" i="272"/>
  <c r="DR49" i="272"/>
  <c r="DQ49" i="272"/>
  <c r="DP49" i="272"/>
  <c r="DO49" i="272"/>
  <c r="DN49" i="272"/>
  <c r="DM49" i="272"/>
  <c r="DL49" i="272"/>
  <c r="DK49" i="272"/>
  <c r="DJ49" i="272"/>
  <c r="DI49" i="272"/>
  <c r="DH49" i="272"/>
  <c r="DG49" i="272"/>
  <c r="DF49" i="272"/>
  <c r="DE49" i="272"/>
  <c r="DD49" i="272"/>
  <c r="DC49" i="272"/>
  <c r="DB49" i="272"/>
  <c r="DA49" i="272"/>
  <c r="CZ49" i="272"/>
  <c r="CY49" i="272"/>
  <c r="CX49" i="272"/>
  <c r="CW49" i="272"/>
  <c r="CV49" i="272"/>
  <c r="CU49" i="272"/>
  <c r="CT49" i="272"/>
  <c r="CS49" i="272"/>
  <c r="CR49" i="272"/>
  <c r="CQ49" i="272"/>
  <c r="CP49" i="272"/>
  <c r="CO49" i="272"/>
  <c r="CN49" i="272"/>
  <c r="CM49" i="272"/>
  <c r="CL49" i="272"/>
  <c r="CK49" i="272"/>
  <c r="CJ49" i="272"/>
  <c r="CI49" i="272"/>
  <c r="CH49" i="272"/>
  <c r="CG49" i="272"/>
  <c r="CF49" i="272"/>
  <c r="CE49" i="272"/>
  <c r="CD49" i="272"/>
  <c r="CC49" i="272"/>
  <c r="CB49" i="272"/>
  <c r="CA49" i="272"/>
  <c r="BZ49" i="272"/>
  <c r="BY49" i="272"/>
  <c r="BX49" i="272"/>
  <c r="BW49" i="272"/>
  <c r="BV49" i="272"/>
  <c r="BU49" i="272"/>
  <c r="BT49" i="272"/>
  <c r="BS49" i="272"/>
  <c r="BR49" i="272"/>
  <c r="BQ49" i="272"/>
  <c r="BP49" i="272"/>
  <c r="BO49" i="272"/>
  <c r="BN49" i="272"/>
  <c r="BM49" i="272"/>
  <c r="BL49" i="272"/>
  <c r="BK49" i="272"/>
  <c r="BJ49" i="272"/>
  <c r="BI49" i="272"/>
  <c r="BH49" i="272"/>
  <c r="BG49" i="272"/>
  <c r="BF49" i="272"/>
  <c r="BE49" i="272"/>
  <c r="BD49" i="272"/>
  <c r="BC49" i="272"/>
  <c r="BB49" i="272"/>
  <c r="BA49" i="272"/>
  <c r="AZ49" i="272"/>
  <c r="AY49" i="272"/>
  <c r="AX49" i="272"/>
  <c r="AW49" i="272"/>
  <c r="AV49" i="272"/>
  <c r="AU49" i="272"/>
  <c r="AT49" i="272"/>
  <c r="AS49" i="272"/>
  <c r="AR49" i="272"/>
  <c r="AQ49" i="272"/>
  <c r="AP49" i="272"/>
  <c r="AO49" i="272"/>
  <c r="AN49" i="272"/>
  <c r="AM49" i="272"/>
  <c r="AL49" i="272"/>
  <c r="AK49" i="272"/>
  <c r="AJ49" i="272"/>
  <c r="AI49" i="272"/>
  <c r="AH49" i="272"/>
  <c r="AG49" i="272"/>
  <c r="AF49" i="272"/>
  <c r="AE49" i="272"/>
  <c r="AD49" i="272"/>
  <c r="AC49" i="272"/>
  <c r="AB49" i="272"/>
  <c r="AA49" i="272"/>
  <c r="Y49" i="272"/>
  <c r="R49" i="272"/>
  <c r="Q49" i="272"/>
  <c r="M49" i="272"/>
  <c r="HR48" i="272"/>
  <c r="HQ48" i="272"/>
  <c r="HP48" i="272"/>
  <c r="HO48" i="272"/>
  <c r="HN48" i="272"/>
  <c r="HM48" i="272"/>
  <c r="HL48" i="272"/>
  <c r="HK48" i="272"/>
  <c r="HJ48" i="272"/>
  <c r="HI48" i="272"/>
  <c r="HH48" i="272"/>
  <c r="HG48" i="272"/>
  <c r="HF48" i="272"/>
  <c r="HE48" i="272"/>
  <c r="HD48" i="272"/>
  <c r="HC48" i="272"/>
  <c r="HB48" i="272"/>
  <c r="HA48" i="272"/>
  <c r="GZ48" i="272"/>
  <c r="GY48" i="272"/>
  <c r="GX48" i="272"/>
  <c r="GW48" i="272"/>
  <c r="GV48" i="272"/>
  <c r="GU48" i="272"/>
  <c r="GT48" i="272"/>
  <c r="GS48" i="272"/>
  <c r="GR48" i="272"/>
  <c r="GQ48" i="272"/>
  <c r="GP48" i="272"/>
  <c r="GO48" i="272"/>
  <c r="GN48" i="272"/>
  <c r="GM48" i="272"/>
  <c r="GL48" i="272"/>
  <c r="GK48" i="272"/>
  <c r="GJ48" i="272"/>
  <c r="GI48" i="272"/>
  <c r="GH48" i="272"/>
  <c r="GG48" i="272"/>
  <c r="GF48" i="272"/>
  <c r="GE48" i="272"/>
  <c r="GD48" i="272"/>
  <c r="GC48" i="272"/>
  <c r="GB48" i="272"/>
  <c r="GA48" i="272"/>
  <c r="FZ48" i="272"/>
  <c r="FY48" i="272"/>
  <c r="FX48" i="272"/>
  <c r="FW48" i="272"/>
  <c r="FV48" i="272"/>
  <c r="FU48" i="272"/>
  <c r="FT48" i="272"/>
  <c r="FS48" i="272"/>
  <c r="FR48" i="272"/>
  <c r="FQ48" i="272"/>
  <c r="FP48" i="272"/>
  <c r="FO48" i="272"/>
  <c r="FN48" i="272"/>
  <c r="FM48" i="272"/>
  <c r="FL48" i="272"/>
  <c r="FK48" i="272"/>
  <c r="FJ48" i="272"/>
  <c r="FI48" i="272"/>
  <c r="FH48" i="272"/>
  <c r="FG48" i="272"/>
  <c r="FF48" i="272"/>
  <c r="FE48" i="272"/>
  <c r="FD48" i="272"/>
  <c r="FC48" i="272"/>
  <c r="FB48" i="272"/>
  <c r="FA48" i="272"/>
  <c r="EZ48" i="272"/>
  <c r="EY48" i="272"/>
  <c r="EX48" i="272"/>
  <c r="EW48" i="272"/>
  <c r="EV48" i="272"/>
  <c r="EU48" i="272"/>
  <c r="ET48" i="272"/>
  <c r="ES48" i="272"/>
  <c r="ER48" i="272"/>
  <c r="EQ48" i="272"/>
  <c r="EP48" i="272"/>
  <c r="EO48" i="272"/>
  <c r="EN48" i="272"/>
  <c r="EM48" i="272"/>
  <c r="EL48" i="272"/>
  <c r="EK48" i="272"/>
  <c r="EJ48" i="272"/>
  <c r="EI48" i="272"/>
  <c r="EH48" i="272"/>
  <c r="EG48" i="272"/>
  <c r="EF48" i="272"/>
  <c r="EE48" i="272"/>
  <c r="ED48" i="272"/>
  <c r="EB48" i="272"/>
  <c r="EA48" i="272"/>
  <c r="DZ48" i="272"/>
  <c r="DY48" i="272"/>
  <c r="DW48" i="272"/>
  <c r="DT48" i="272"/>
  <c r="DS48" i="272"/>
  <c r="DR48" i="272"/>
  <c r="DQ48" i="272"/>
  <c r="DP48" i="272"/>
  <c r="DO48" i="272"/>
  <c r="DN48" i="272"/>
  <c r="DM48" i="272"/>
  <c r="DL48" i="272"/>
  <c r="DK48" i="272"/>
  <c r="DJ48" i="272"/>
  <c r="DI48" i="272"/>
  <c r="DH48" i="272"/>
  <c r="DG48" i="272"/>
  <c r="DF48" i="272"/>
  <c r="DE48" i="272"/>
  <c r="DD48" i="272"/>
  <c r="DC48" i="272"/>
  <c r="DB48" i="272"/>
  <c r="DA48" i="272"/>
  <c r="CZ48" i="272"/>
  <c r="CY48" i="272"/>
  <c r="CX48" i="272"/>
  <c r="CW48" i="272"/>
  <c r="CV48" i="272"/>
  <c r="CU48" i="272"/>
  <c r="CT48" i="272"/>
  <c r="CS48" i="272"/>
  <c r="CR48" i="272"/>
  <c r="CQ48" i="272"/>
  <c r="CP48" i="272"/>
  <c r="CO48" i="272"/>
  <c r="CN48" i="272"/>
  <c r="CM48" i="272"/>
  <c r="CL48" i="272"/>
  <c r="CK48" i="272"/>
  <c r="CJ48" i="272"/>
  <c r="CI48" i="272"/>
  <c r="CH48" i="272"/>
  <c r="CG48" i="272"/>
  <c r="CF48" i="272"/>
  <c r="CE48" i="272"/>
  <c r="CD48" i="272"/>
  <c r="CC48" i="272"/>
  <c r="CB48" i="272"/>
  <c r="CA48" i="272"/>
  <c r="BZ48" i="272"/>
  <c r="BY48" i="272"/>
  <c r="BX48" i="272"/>
  <c r="BW48" i="272"/>
  <c r="BV48" i="272"/>
  <c r="BU48" i="272"/>
  <c r="BT48" i="272"/>
  <c r="BS48" i="272"/>
  <c r="BR48" i="272"/>
  <c r="BQ48" i="272"/>
  <c r="BP48" i="272"/>
  <c r="BO48" i="272"/>
  <c r="BN48" i="272"/>
  <c r="BM48" i="272"/>
  <c r="BL48" i="272"/>
  <c r="BK48" i="272"/>
  <c r="BJ48" i="272"/>
  <c r="BI48" i="272"/>
  <c r="BH48" i="272"/>
  <c r="BG48" i="272"/>
  <c r="BF48" i="272"/>
  <c r="BE48" i="272"/>
  <c r="BD48" i="272"/>
  <c r="BC48" i="272"/>
  <c r="BB48" i="272"/>
  <c r="BA48" i="272"/>
  <c r="AZ48" i="272"/>
  <c r="AY48" i="272"/>
  <c r="AX48" i="272"/>
  <c r="AW48" i="272"/>
  <c r="AV48" i="272"/>
  <c r="AU48" i="272"/>
  <c r="AT48" i="272"/>
  <c r="AS48" i="272"/>
  <c r="AR48" i="272"/>
  <c r="AQ48" i="272"/>
  <c r="AP48" i="272"/>
  <c r="AO48" i="272"/>
  <c r="AN48" i="272"/>
  <c r="AM48" i="272"/>
  <c r="AL48" i="272"/>
  <c r="AK48" i="272"/>
  <c r="AJ48" i="272"/>
  <c r="AI48" i="272"/>
  <c r="AH48" i="272"/>
  <c r="AG48" i="272"/>
  <c r="AF48" i="272"/>
  <c r="AD48" i="272"/>
  <c r="AC48" i="272"/>
  <c r="AB48" i="272"/>
  <c r="AA48" i="272"/>
  <c r="Y48" i="272"/>
  <c r="U48" i="272"/>
  <c r="AE48" i="272" s="1"/>
  <c r="HR47" i="272"/>
  <c r="HQ47" i="272"/>
  <c r="HP47" i="272"/>
  <c r="HO47" i="272"/>
  <c r="HN47" i="272"/>
  <c r="HM47" i="272"/>
  <c r="HL47" i="272"/>
  <c r="HK47" i="272"/>
  <c r="HJ47" i="272"/>
  <c r="HI47" i="272"/>
  <c r="HH47" i="272"/>
  <c r="HG47" i="272"/>
  <c r="HF47" i="272"/>
  <c r="HE47" i="272"/>
  <c r="HD47" i="272"/>
  <c r="HC47" i="272"/>
  <c r="HB47" i="272"/>
  <c r="HA47" i="272"/>
  <c r="GZ47" i="272"/>
  <c r="GY47" i="272"/>
  <c r="GX47" i="272"/>
  <c r="GW47" i="272"/>
  <c r="GV47" i="272"/>
  <c r="GU47" i="272"/>
  <c r="GT47" i="272"/>
  <c r="GS47" i="272"/>
  <c r="GR47" i="272"/>
  <c r="GQ47" i="272"/>
  <c r="GP47" i="272"/>
  <c r="GO47" i="272"/>
  <c r="GN47" i="272"/>
  <c r="GM47" i="272"/>
  <c r="GL47" i="272"/>
  <c r="GK47" i="272"/>
  <c r="GJ47" i="272"/>
  <c r="GI47" i="272"/>
  <c r="GH47" i="272"/>
  <c r="GG47" i="272"/>
  <c r="GF47" i="272"/>
  <c r="GE47" i="272"/>
  <c r="GD47" i="272"/>
  <c r="GC47" i="272"/>
  <c r="GB47" i="272"/>
  <c r="GA47" i="272"/>
  <c r="FZ47" i="272"/>
  <c r="FY47" i="272"/>
  <c r="FX47" i="272"/>
  <c r="FW47" i="272"/>
  <c r="FV47" i="272"/>
  <c r="FU47" i="272"/>
  <c r="FT47" i="272"/>
  <c r="FS47" i="272"/>
  <c r="FR47" i="272"/>
  <c r="FQ47" i="272"/>
  <c r="FP47" i="272"/>
  <c r="FO47" i="272"/>
  <c r="FN47" i="272"/>
  <c r="FM47" i="272"/>
  <c r="FL47" i="272"/>
  <c r="FK47" i="272"/>
  <c r="FJ47" i="272"/>
  <c r="FI47" i="272"/>
  <c r="FH47" i="272"/>
  <c r="FG47" i="272"/>
  <c r="FF47" i="272"/>
  <c r="FE47" i="272"/>
  <c r="FD47" i="272"/>
  <c r="FC47" i="272"/>
  <c r="FB47" i="272"/>
  <c r="FA47" i="272"/>
  <c r="EZ47" i="272"/>
  <c r="EY47" i="272"/>
  <c r="EX47" i="272"/>
  <c r="EW47" i="272"/>
  <c r="EV47" i="272"/>
  <c r="EU47" i="272"/>
  <c r="ET47" i="272"/>
  <c r="ES47" i="272"/>
  <c r="ER47" i="272"/>
  <c r="EQ47" i="272"/>
  <c r="EP47" i="272"/>
  <c r="EO47" i="272"/>
  <c r="EN47" i="272"/>
  <c r="EM47" i="272"/>
  <c r="EL47" i="272"/>
  <c r="EK47" i="272"/>
  <c r="EJ47" i="272"/>
  <c r="EI47" i="272"/>
  <c r="EH47" i="272"/>
  <c r="EG47" i="272"/>
  <c r="EF47" i="272"/>
  <c r="EE47" i="272"/>
  <c r="ED47" i="272"/>
  <c r="EC47" i="272"/>
  <c r="EB47" i="272"/>
  <c r="EA47" i="272"/>
  <c r="DZ47" i="272"/>
  <c r="DY47" i="272"/>
  <c r="DW47" i="272"/>
  <c r="DT47" i="272"/>
  <c r="DS47" i="272"/>
  <c r="DR47" i="272"/>
  <c r="DQ47" i="272"/>
  <c r="DP47" i="272"/>
  <c r="DO47" i="272"/>
  <c r="DN47" i="272"/>
  <c r="DM47" i="272"/>
  <c r="DL47" i="272"/>
  <c r="DK47" i="272"/>
  <c r="DJ47" i="272"/>
  <c r="DI47" i="272"/>
  <c r="DH47" i="272"/>
  <c r="DG47" i="272"/>
  <c r="DF47" i="272"/>
  <c r="DE47" i="272"/>
  <c r="DD47" i="272"/>
  <c r="DC47" i="272"/>
  <c r="DB47" i="272"/>
  <c r="DA47" i="272"/>
  <c r="CZ47" i="272"/>
  <c r="CY47" i="272"/>
  <c r="CX47" i="272"/>
  <c r="CW47" i="272"/>
  <c r="CV47" i="272"/>
  <c r="CU47" i="272"/>
  <c r="CT47" i="272"/>
  <c r="CS47" i="272"/>
  <c r="CR47" i="272"/>
  <c r="CQ47" i="272"/>
  <c r="CP47" i="272"/>
  <c r="CO47" i="272"/>
  <c r="CN47" i="272"/>
  <c r="CM47" i="272"/>
  <c r="CL47" i="272"/>
  <c r="CK47" i="272"/>
  <c r="CJ47" i="272"/>
  <c r="CI47" i="272"/>
  <c r="CH47" i="272"/>
  <c r="CG47" i="272"/>
  <c r="CF47" i="272"/>
  <c r="CE47" i="272"/>
  <c r="CD47" i="272"/>
  <c r="CC47" i="272"/>
  <c r="CB47" i="272"/>
  <c r="CA47" i="272"/>
  <c r="BZ47" i="272"/>
  <c r="BY47" i="272"/>
  <c r="BX47" i="272"/>
  <c r="BW47" i="272"/>
  <c r="BV47" i="272"/>
  <c r="BU47" i="272"/>
  <c r="BT47" i="272"/>
  <c r="BS47" i="272"/>
  <c r="BR47" i="272"/>
  <c r="BQ47" i="272"/>
  <c r="BP47" i="272"/>
  <c r="BO47" i="272"/>
  <c r="BN47" i="272"/>
  <c r="BM47" i="272"/>
  <c r="BL47" i="272"/>
  <c r="BK47" i="272"/>
  <c r="BJ47" i="272"/>
  <c r="BI47" i="272"/>
  <c r="BH47" i="272"/>
  <c r="BG47" i="272"/>
  <c r="BF47" i="272"/>
  <c r="BE47" i="272"/>
  <c r="BD47" i="272"/>
  <c r="BC47" i="272"/>
  <c r="BB47" i="272"/>
  <c r="BA47" i="272"/>
  <c r="AZ47" i="272"/>
  <c r="AY47" i="272"/>
  <c r="AX47" i="272"/>
  <c r="AW47" i="272"/>
  <c r="AV47" i="272"/>
  <c r="AU47" i="272"/>
  <c r="AT47" i="272"/>
  <c r="AS47" i="272"/>
  <c r="AR47" i="272"/>
  <c r="AQ47" i="272"/>
  <c r="AP47" i="272"/>
  <c r="AO47" i="272"/>
  <c r="AN47" i="272"/>
  <c r="AM47" i="272"/>
  <c r="AL47" i="272"/>
  <c r="AK47" i="272"/>
  <c r="AJ47" i="272"/>
  <c r="AI47" i="272"/>
  <c r="AH47" i="272"/>
  <c r="AG47" i="272"/>
  <c r="AF47" i="272"/>
  <c r="AE47" i="272"/>
  <c r="AD47" i="272"/>
  <c r="AC47" i="272"/>
  <c r="AB47" i="272"/>
  <c r="AA47" i="272"/>
  <c r="Y47" i="272"/>
  <c r="R47" i="272"/>
  <c r="Q47" i="272"/>
  <c r="M47" i="272"/>
  <c r="HR46" i="272"/>
  <c r="HQ46" i="272"/>
  <c r="HP46" i="272"/>
  <c r="HO46" i="272"/>
  <c r="HN46" i="272"/>
  <c r="HM46" i="272"/>
  <c r="HL46" i="272"/>
  <c r="HK46" i="272"/>
  <c r="HJ46" i="272"/>
  <c r="HI46" i="272"/>
  <c r="HH46" i="272"/>
  <c r="HG46" i="272"/>
  <c r="HF46" i="272"/>
  <c r="HE46" i="272"/>
  <c r="HD46" i="272"/>
  <c r="HC46" i="272"/>
  <c r="HB46" i="272"/>
  <c r="HA46" i="272"/>
  <c r="GZ46" i="272"/>
  <c r="GY46" i="272"/>
  <c r="GX46" i="272"/>
  <c r="GW46" i="272"/>
  <c r="GV46" i="272"/>
  <c r="GU46" i="272"/>
  <c r="GT46" i="272"/>
  <c r="GS46" i="272"/>
  <c r="GR46" i="272"/>
  <c r="GQ46" i="272"/>
  <c r="GP46" i="272"/>
  <c r="GO46" i="272"/>
  <c r="GN46" i="272"/>
  <c r="GM46" i="272"/>
  <c r="GL46" i="272"/>
  <c r="GK46" i="272"/>
  <c r="GJ46" i="272"/>
  <c r="GI46" i="272"/>
  <c r="GH46" i="272"/>
  <c r="GG46" i="272"/>
  <c r="GF46" i="272"/>
  <c r="GE46" i="272"/>
  <c r="GD46" i="272"/>
  <c r="GC46" i="272"/>
  <c r="GB46" i="272"/>
  <c r="GA46" i="272"/>
  <c r="FZ46" i="272"/>
  <c r="FY46" i="272"/>
  <c r="FX46" i="272"/>
  <c r="FW46" i="272"/>
  <c r="FV46" i="272"/>
  <c r="FU46" i="272"/>
  <c r="FT46" i="272"/>
  <c r="FS46" i="272"/>
  <c r="FR46" i="272"/>
  <c r="FQ46" i="272"/>
  <c r="FP46" i="272"/>
  <c r="FO46" i="272"/>
  <c r="FN46" i="272"/>
  <c r="FM46" i="272"/>
  <c r="FL46" i="272"/>
  <c r="FK46" i="272"/>
  <c r="FJ46" i="272"/>
  <c r="FI46" i="272"/>
  <c r="FH46" i="272"/>
  <c r="FG46" i="272"/>
  <c r="FF46" i="272"/>
  <c r="FE46" i="272"/>
  <c r="FD46" i="272"/>
  <c r="FC46" i="272"/>
  <c r="FB46" i="272"/>
  <c r="FA46" i="272"/>
  <c r="EZ46" i="272"/>
  <c r="EY46" i="272"/>
  <c r="EX46" i="272"/>
  <c r="EW46" i="272"/>
  <c r="EV46" i="272"/>
  <c r="EU46" i="272"/>
  <c r="ET46" i="272"/>
  <c r="ES46" i="272"/>
  <c r="ER46" i="272"/>
  <c r="EQ46" i="272"/>
  <c r="EP46" i="272"/>
  <c r="EO46" i="272"/>
  <c r="EN46" i="272"/>
  <c r="EM46" i="272"/>
  <c r="EL46" i="272"/>
  <c r="EK46" i="272"/>
  <c r="EJ46" i="272"/>
  <c r="EI46" i="272"/>
  <c r="EH46" i="272"/>
  <c r="EG46" i="272"/>
  <c r="EF46" i="272"/>
  <c r="EE46" i="272"/>
  <c r="ED46" i="272"/>
  <c r="EC46" i="272"/>
  <c r="EB46" i="272"/>
  <c r="EA46" i="272"/>
  <c r="DZ46" i="272"/>
  <c r="DY46" i="272"/>
  <c r="DW46" i="272"/>
  <c r="DT46" i="272"/>
  <c r="DS46" i="272"/>
  <c r="DR46" i="272"/>
  <c r="DQ46" i="272"/>
  <c r="DP46" i="272"/>
  <c r="DO46" i="272"/>
  <c r="DN46" i="272"/>
  <c r="DM46" i="272"/>
  <c r="DL46" i="272"/>
  <c r="DK46" i="272"/>
  <c r="DJ46" i="272"/>
  <c r="DI46" i="272"/>
  <c r="DH46" i="272"/>
  <c r="DG46" i="272"/>
  <c r="DF46" i="272"/>
  <c r="DE46" i="272"/>
  <c r="DD46" i="272"/>
  <c r="DC46" i="272"/>
  <c r="DB46" i="272"/>
  <c r="DA46" i="272"/>
  <c r="CZ46" i="272"/>
  <c r="CY46" i="272"/>
  <c r="CX46" i="272"/>
  <c r="CW46" i="272"/>
  <c r="CV46" i="272"/>
  <c r="CU46" i="272"/>
  <c r="CT46" i="272"/>
  <c r="CS46" i="272"/>
  <c r="CR46" i="272"/>
  <c r="CQ46" i="272"/>
  <c r="CP46" i="272"/>
  <c r="CO46" i="272"/>
  <c r="CN46" i="272"/>
  <c r="CM46" i="272"/>
  <c r="CL46" i="272"/>
  <c r="CK46" i="272"/>
  <c r="CJ46" i="272"/>
  <c r="CI46" i="272"/>
  <c r="CH46" i="272"/>
  <c r="CG46" i="272"/>
  <c r="CF46" i="272"/>
  <c r="CE46" i="272"/>
  <c r="CD46" i="272"/>
  <c r="CC46" i="272"/>
  <c r="CB46" i="272"/>
  <c r="CA46" i="272"/>
  <c r="BZ46" i="272"/>
  <c r="BY46" i="272"/>
  <c r="BX46" i="272"/>
  <c r="BW46" i="272"/>
  <c r="BV46" i="272"/>
  <c r="BU46" i="272"/>
  <c r="BT46" i="272"/>
  <c r="BS46" i="272"/>
  <c r="BR46" i="272"/>
  <c r="BQ46" i="272"/>
  <c r="BP46" i="272"/>
  <c r="BO46" i="272"/>
  <c r="BN46" i="272"/>
  <c r="BM46" i="272"/>
  <c r="BL46" i="272"/>
  <c r="BK46" i="272"/>
  <c r="BJ46" i="272"/>
  <c r="BI46" i="272"/>
  <c r="BH46" i="272"/>
  <c r="BG46" i="272"/>
  <c r="BF46" i="272"/>
  <c r="BE46" i="272"/>
  <c r="BD46" i="272"/>
  <c r="BC46" i="272"/>
  <c r="BB46" i="272"/>
  <c r="BA46" i="272"/>
  <c r="AZ46" i="272"/>
  <c r="AY46" i="272"/>
  <c r="AX46" i="272"/>
  <c r="AW46" i="272"/>
  <c r="AV46" i="272"/>
  <c r="AU46" i="272"/>
  <c r="AT46" i="272"/>
  <c r="AS46" i="272"/>
  <c r="AR46" i="272"/>
  <c r="AQ46" i="272"/>
  <c r="AP46" i="272"/>
  <c r="AO46" i="272"/>
  <c r="AN46" i="272"/>
  <c r="AM46" i="272"/>
  <c r="AL46" i="272"/>
  <c r="AK46" i="272"/>
  <c r="AJ46" i="272"/>
  <c r="AI46" i="272"/>
  <c r="AH46" i="272"/>
  <c r="AG46" i="272"/>
  <c r="AF46" i="272"/>
  <c r="AE46" i="272"/>
  <c r="AD46" i="272"/>
  <c r="AC46" i="272"/>
  <c r="AB46" i="272"/>
  <c r="AA46" i="272"/>
  <c r="Y46" i="272"/>
  <c r="R46" i="272"/>
  <c r="Q46" i="272"/>
  <c r="M46" i="272"/>
  <c r="HR45" i="272"/>
  <c r="HQ45" i="272"/>
  <c r="HP45" i="272"/>
  <c r="HO45" i="272"/>
  <c r="HN45" i="272"/>
  <c r="HM45" i="272"/>
  <c r="HL45" i="272"/>
  <c r="HK45" i="272"/>
  <c r="HJ45" i="272"/>
  <c r="HI45" i="272"/>
  <c r="HH45" i="272"/>
  <c r="HG45" i="272"/>
  <c r="HF45" i="272"/>
  <c r="HE45" i="272"/>
  <c r="HD45" i="272"/>
  <c r="HC45" i="272"/>
  <c r="HB45" i="272"/>
  <c r="HA45" i="272"/>
  <c r="GZ45" i="272"/>
  <c r="GY45" i="272"/>
  <c r="GX45" i="272"/>
  <c r="GW45" i="272"/>
  <c r="GV45" i="272"/>
  <c r="GU45" i="272"/>
  <c r="GT45" i="272"/>
  <c r="GS45" i="272"/>
  <c r="GR45" i="272"/>
  <c r="GQ45" i="272"/>
  <c r="GP45" i="272"/>
  <c r="GO45" i="272"/>
  <c r="GN45" i="272"/>
  <c r="GM45" i="272"/>
  <c r="GL45" i="272"/>
  <c r="GK45" i="272"/>
  <c r="GJ45" i="272"/>
  <c r="GI45" i="272"/>
  <c r="GH45" i="272"/>
  <c r="GG45" i="272"/>
  <c r="GF45" i="272"/>
  <c r="GE45" i="272"/>
  <c r="GD45" i="272"/>
  <c r="GC45" i="272"/>
  <c r="GB45" i="272"/>
  <c r="GA45" i="272"/>
  <c r="FZ45" i="272"/>
  <c r="FY45" i="272"/>
  <c r="FX45" i="272"/>
  <c r="FW45" i="272"/>
  <c r="FV45" i="272"/>
  <c r="FU45" i="272"/>
  <c r="FT45" i="272"/>
  <c r="FS45" i="272"/>
  <c r="FR45" i="272"/>
  <c r="FQ45" i="272"/>
  <c r="FP45" i="272"/>
  <c r="FO45" i="272"/>
  <c r="FN45" i="272"/>
  <c r="FM45" i="272"/>
  <c r="FL45" i="272"/>
  <c r="FK45" i="272"/>
  <c r="FJ45" i="272"/>
  <c r="FI45" i="272"/>
  <c r="FH45" i="272"/>
  <c r="FG45" i="272"/>
  <c r="FF45" i="272"/>
  <c r="FE45" i="272"/>
  <c r="FD45" i="272"/>
  <c r="FC45" i="272"/>
  <c r="FB45" i="272"/>
  <c r="FA45" i="272"/>
  <c r="EZ45" i="272"/>
  <c r="EY45" i="272"/>
  <c r="EX45" i="272"/>
  <c r="EW45" i="272"/>
  <c r="EV45" i="272"/>
  <c r="EU45" i="272"/>
  <c r="ET45" i="272"/>
  <c r="ES45" i="272"/>
  <c r="ER45" i="272"/>
  <c r="EQ45" i="272"/>
  <c r="EP45" i="272"/>
  <c r="EO45" i="272"/>
  <c r="EN45" i="272"/>
  <c r="EM45" i="272"/>
  <c r="EL45" i="272"/>
  <c r="EK45" i="272"/>
  <c r="EJ45" i="272"/>
  <c r="EI45" i="272"/>
  <c r="EH45" i="272"/>
  <c r="EG45" i="272"/>
  <c r="EF45" i="272"/>
  <c r="EE45" i="272"/>
  <c r="ED45" i="272"/>
  <c r="EC45" i="272"/>
  <c r="EB45" i="272"/>
  <c r="EA45" i="272"/>
  <c r="DZ45" i="272"/>
  <c r="DY45" i="272"/>
  <c r="DW45" i="272"/>
  <c r="DT45" i="272"/>
  <c r="DS45" i="272"/>
  <c r="DR45" i="272"/>
  <c r="DQ45" i="272"/>
  <c r="DP45" i="272"/>
  <c r="DO45" i="272"/>
  <c r="DN45" i="272"/>
  <c r="DM45" i="272"/>
  <c r="DL45" i="272"/>
  <c r="DK45" i="272"/>
  <c r="DJ45" i="272"/>
  <c r="DI45" i="272"/>
  <c r="DH45" i="272"/>
  <c r="DG45" i="272"/>
  <c r="DF45" i="272"/>
  <c r="DE45" i="272"/>
  <c r="DD45" i="272"/>
  <c r="DC45" i="272"/>
  <c r="DB45" i="272"/>
  <c r="DA45" i="272"/>
  <c r="CZ45" i="272"/>
  <c r="CY45" i="272"/>
  <c r="CX45" i="272"/>
  <c r="CW45" i="272"/>
  <c r="CV45" i="272"/>
  <c r="CU45" i="272"/>
  <c r="CT45" i="272"/>
  <c r="CS45" i="272"/>
  <c r="CR45" i="272"/>
  <c r="CQ45" i="272"/>
  <c r="CP45" i="272"/>
  <c r="CO45" i="272"/>
  <c r="CN45" i="272"/>
  <c r="CM45" i="272"/>
  <c r="CL45" i="272"/>
  <c r="CK45" i="272"/>
  <c r="CJ45" i="272"/>
  <c r="CI45" i="272"/>
  <c r="CH45" i="272"/>
  <c r="CG45" i="272"/>
  <c r="CF45" i="272"/>
  <c r="CE45" i="272"/>
  <c r="CD45" i="272"/>
  <c r="CC45" i="272"/>
  <c r="CB45" i="272"/>
  <c r="CA45" i="272"/>
  <c r="BZ45" i="272"/>
  <c r="BY45" i="272"/>
  <c r="BX45" i="272"/>
  <c r="BW45" i="272"/>
  <c r="BV45" i="272"/>
  <c r="BU45" i="272"/>
  <c r="BT45" i="272"/>
  <c r="BS45" i="272"/>
  <c r="BR45" i="272"/>
  <c r="BQ45" i="272"/>
  <c r="BP45" i="272"/>
  <c r="BO45" i="272"/>
  <c r="BN45" i="272"/>
  <c r="BM45" i="272"/>
  <c r="BL45" i="272"/>
  <c r="BK45" i="272"/>
  <c r="BJ45" i="272"/>
  <c r="BI45" i="272"/>
  <c r="BH45" i="272"/>
  <c r="BG45" i="272"/>
  <c r="BF45" i="272"/>
  <c r="BE45" i="272"/>
  <c r="BD45" i="272"/>
  <c r="BC45" i="272"/>
  <c r="BB45" i="272"/>
  <c r="BA45" i="272"/>
  <c r="AZ45" i="272"/>
  <c r="AY45" i="272"/>
  <c r="AX45" i="272"/>
  <c r="AW45" i="272"/>
  <c r="AV45" i="272"/>
  <c r="AU45" i="272"/>
  <c r="AT45" i="272"/>
  <c r="AS45" i="272"/>
  <c r="AR45" i="272"/>
  <c r="AQ45" i="272"/>
  <c r="AP45" i="272"/>
  <c r="AO45" i="272"/>
  <c r="AN45" i="272"/>
  <c r="AM45" i="272"/>
  <c r="AL45" i="272"/>
  <c r="AK45" i="272"/>
  <c r="AJ45" i="272"/>
  <c r="AI45" i="272"/>
  <c r="AH45" i="272"/>
  <c r="AG45" i="272"/>
  <c r="AF45" i="272"/>
  <c r="AE45" i="272"/>
  <c r="AD45" i="272"/>
  <c r="AC45" i="272"/>
  <c r="AB45" i="272"/>
  <c r="AA45" i="272"/>
  <c r="Y45" i="272"/>
  <c r="R45" i="272"/>
  <c r="Q45" i="272"/>
  <c r="M45" i="272"/>
  <c r="HR44" i="272"/>
  <c r="HQ44" i="272"/>
  <c r="HP44" i="272"/>
  <c r="HO44" i="272"/>
  <c r="HN44" i="272"/>
  <c r="HM44" i="272"/>
  <c r="HL44" i="272"/>
  <c r="HK44" i="272"/>
  <c r="HJ44" i="272"/>
  <c r="HI44" i="272"/>
  <c r="HH44" i="272"/>
  <c r="HG44" i="272"/>
  <c r="HF44" i="272"/>
  <c r="HE44" i="272"/>
  <c r="HD44" i="272"/>
  <c r="HC44" i="272"/>
  <c r="HB44" i="272"/>
  <c r="HA44" i="272"/>
  <c r="GZ44" i="272"/>
  <c r="GY44" i="272"/>
  <c r="GX44" i="272"/>
  <c r="GW44" i="272"/>
  <c r="GV44" i="272"/>
  <c r="GU44" i="272"/>
  <c r="GT44" i="272"/>
  <c r="GS44" i="272"/>
  <c r="GR44" i="272"/>
  <c r="GQ44" i="272"/>
  <c r="GP44" i="272"/>
  <c r="GO44" i="272"/>
  <c r="GN44" i="272"/>
  <c r="GM44" i="272"/>
  <c r="GL44" i="272"/>
  <c r="GK44" i="272"/>
  <c r="GJ44" i="272"/>
  <c r="GI44" i="272"/>
  <c r="GH44" i="272"/>
  <c r="GG44" i="272"/>
  <c r="GF44" i="272"/>
  <c r="GE44" i="272"/>
  <c r="GD44" i="272"/>
  <c r="GC44" i="272"/>
  <c r="GB44" i="272"/>
  <c r="GA44" i="272"/>
  <c r="FZ44" i="272"/>
  <c r="FY44" i="272"/>
  <c r="FX44" i="272"/>
  <c r="FW44" i="272"/>
  <c r="FV44" i="272"/>
  <c r="FU44" i="272"/>
  <c r="FT44" i="272"/>
  <c r="FS44" i="272"/>
  <c r="FR44" i="272"/>
  <c r="FQ44" i="272"/>
  <c r="FP44" i="272"/>
  <c r="FO44" i="272"/>
  <c r="FN44" i="272"/>
  <c r="FM44" i="272"/>
  <c r="FL44" i="272"/>
  <c r="FK44" i="272"/>
  <c r="FJ44" i="272"/>
  <c r="FI44" i="272"/>
  <c r="FH44" i="272"/>
  <c r="FG44" i="272"/>
  <c r="FF44" i="272"/>
  <c r="FE44" i="272"/>
  <c r="FD44" i="272"/>
  <c r="FC44" i="272"/>
  <c r="FB44" i="272"/>
  <c r="FA44" i="272"/>
  <c r="EZ44" i="272"/>
  <c r="EY44" i="272"/>
  <c r="EX44" i="272"/>
  <c r="EW44" i="272"/>
  <c r="EV44" i="272"/>
  <c r="EU44" i="272"/>
  <c r="ET44" i="272"/>
  <c r="ES44" i="272"/>
  <c r="ER44" i="272"/>
  <c r="EQ44" i="272"/>
  <c r="EP44" i="272"/>
  <c r="EO44" i="272"/>
  <c r="EN44" i="272"/>
  <c r="EM44" i="272"/>
  <c r="EL44" i="272"/>
  <c r="EK44" i="272"/>
  <c r="EJ44" i="272"/>
  <c r="EI44" i="272"/>
  <c r="EH44" i="272"/>
  <c r="EG44" i="272"/>
  <c r="EF44" i="272"/>
  <c r="EE44" i="272"/>
  <c r="ED44" i="272"/>
  <c r="EC44" i="272"/>
  <c r="EB44" i="272"/>
  <c r="EA44" i="272"/>
  <c r="DZ44" i="272"/>
  <c r="DY44" i="272"/>
  <c r="DW44" i="272"/>
  <c r="DT44" i="272"/>
  <c r="DS44" i="272"/>
  <c r="DR44" i="272"/>
  <c r="DQ44" i="272"/>
  <c r="DP44" i="272"/>
  <c r="DO44" i="272"/>
  <c r="DN44" i="272"/>
  <c r="DM44" i="272"/>
  <c r="DL44" i="272"/>
  <c r="DK44" i="272"/>
  <c r="DJ44" i="272"/>
  <c r="DI44" i="272"/>
  <c r="DH44" i="272"/>
  <c r="DG44" i="272"/>
  <c r="DF44" i="272"/>
  <c r="DE44" i="272"/>
  <c r="DD44" i="272"/>
  <c r="DC44" i="272"/>
  <c r="DB44" i="272"/>
  <c r="DA44" i="272"/>
  <c r="CZ44" i="272"/>
  <c r="CY44" i="272"/>
  <c r="CX44" i="272"/>
  <c r="CW44" i="272"/>
  <c r="CV44" i="272"/>
  <c r="CU44" i="272"/>
  <c r="CT44" i="272"/>
  <c r="CS44" i="272"/>
  <c r="CR44" i="272"/>
  <c r="CQ44" i="272"/>
  <c r="CP44" i="272"/>
  <c r="CO44" i="272"/>
  <c r="CN44" i="272"/>
  <c r="CM44" i="272"/>
  <c r="CL44" i="272"/>
  <c r="CK44" i="272"/>
  <c r="CJ44" i="272"/>
  <c r="CI44" i="272"/>
  <c r="CH44" i="272"/>
  <c r="CG44" i="272"/>
  <c r="CF44" i="272"/>
  <c r="CE44" i="272"/>
  <c r="CD44" i="272"/>
  <c r="CC44" i="272"/>
  <c r="CB44" i="272"/>
  <c r="CA44" i="272"/>
  <c r="BZ44" i="272"/>
  <c r="BY44" i="272"/>
  <c r="BX44" i="272"/>
  <c r="BW44" i="272"/>
  <c r="BV44" i="272"/>
  <c r="BU44" i="272"/>
  <c r="BT44" i="272"/>
  <c r="BS44" i="272"/>
  <c r="BR44" i="272"/>
  <c r="BQ44" i="272"/>
  <c r="BP44" i="272"/>
  <c r="BO44" i="272"/>
  <c r="BN44" i="272"/>
  <c r="BM44" i="272"/>
  <c r="BL44" i="272"/>
  <c r="BK44" i="272"/>
  <c r="BJ44" i="272"/>
  <c r="BI44" i="272"/>
  <c r="BH44" i="272"/>
  <c r="BG44" i="272"/>
  <c r="BF44" i="272"/>
  <c r="BE44" i="272"/>
  <c r="BD44" i="272"/>
  <c r="BC44" i="272"/>
  <c r="BB44" i="272"/>
  <c r="BA44" i="272"/>
  <c r="AZ44" i="272"/>
  <c r="AY44" i="272"/>
  <c r="AX44" i="272"/>
  <c r="AW44" i="272"/>
  <c r="AV44" i="272"/>
  <c r="AU44" i="272"/>
  <c r="AT44" i="272"/>
  <c r="AS44" i="272"/>
  <c r="AR44" i="272"/>
  <c r="AQ44" i="272"/>
  <c r="AP44" i="272"/>
  <c r="AO44" i="272"/>
  <c r="AN44" i="272"/>
  <c r="AM44" i="272"/>
  <c r="AL44" i="272"/>
  <c r="AK44" i="272"/>
  <c r="AJ44" i="272"/>
  <c r="AI44" i="272"/>
  <c r="AH44" i="272"/>
  <c r="AG44" i="272"/>
  <c r="AF44" i="272"/>
  <c r="AE44" i="272"/>
  <c r="AD44" i="272"/>
  <c r="AC44" i="272"/>
  <c r="AB44" i="272"/>
  <c r="AA44" i="272"/>
  <c r="Y44" i="272"/>
  <c r="U44" i="272"/>
  <c r="Z44" i="272" s="1"/>
  <c r="R44" i="272"/>
  <c r="Q44" i="272"/>
  <c r="M44" i="272"/>
  <c r="HR43" i="272"/>
  <c r="HQ43" i="272"/>
  <c r="HP43" i="272"/>
  <c r="HO43" i="272"/>
  <c r="HN43" i="272"/>
  <c r="HM43" i="272"/>
  <c r="HL43" i="272"/>
  <c r="HK43" i="272"/>
  <c r="HJ43" i="272"/>
  <c r="HI43" i="272"/>
  <c r="HH43" i="272"/>
  <c r="HG43" i="272"/>
  <c r="HF43" i="272"/>
  <c r="HE43" i="272"/>
  <c r="HD43" i="272"/>
  <c r="HC43" i="272"/>
  <c r="HB43" i="272"/>
  <c r="HA43" i="272"/>
  <c r="GZ43" i="272"/>
  <c r="GY43" i="272"/>
  <c r="GX43" i="272"/>
  <c r="GW43" i="272"/>
  <c r="GV43" i="272"/>
  <c r="GU43" i="272"/>
  <c r="GT43" i="272"/>
  <c r="GS43" i="272"/>
  <c r="GR43" i="272"/>
  <c r="GQ43" i="272"/>
  <c r="GP43" i="272"/>
  <c r="GO43" i="272"/>
  <c r="GN43" i="272"/>
  <c r="GM43" i="272"/>
  <c r="GL43" i="272"/>
  <c r="GK43" i="272"/>
  <c r="GJ43" i="272"/>
  <c r="GI43" i="272"/>
  <c r="GH43" i="272"/>
  <c r="GG43" i="272"/>
  <c r="GF43" i="272"/>
  <c r="GE43" i="272"/>
  <c r="GD43" i="272"/>
  <c r="GC43" i="272"/>
  <c r="GB43" i="272"/>
  <c r="GA43" i="272"/>
  <c r="FZ43" i="272"/>
  <c r="FY43" i="272"/>
  <c r="FX43" i="272"/>
  <c r="FW43" i="272"/>
  <c r="FV43" i="272"/>
  <c r="FU43" i="272"/>
  <c r="FT43" i="272"/>
  <c r="FS43" i="272"/>
  <c r="FR43" i="272"/>
  <c r="FQ43" i="272"/>
  <c r="FP43" i="272"/>
  <c r="FO43" i="272"/>
  <c r="FN43" i="272"/>
  <c r="FM43" i="272"/>
  <c r="FL43" i="272"/>
  <c r="FK43" i="272"/>
  <c r="FJ43" i="272"/>
  <c r="FI43" i="272"/>
  <c r="FH43" i="272"/>
  <c r="FG43" i="272"/>
  <c r="FF43" i="272"/>
  <c r="FE43" i="272"/>
  <c r="FD43" i="272"/>
  <c r="FC43" i="272"/>
  <c r="FB43" i="272"/>
  <c r="FA43" i="272"/>
  <c r="EZ43" i="272"/>
  <c r="EY43" i="272"/>
  <c r="EX43" i="272"/>
  <c r="EW43" i="272"/>
  <c r="EV43" i="272"/>
  <c r="EU43" i="272"/>
  <c r="ET43" i="272"/>
  <c r="ES43" i="272"/>
  <c r="ER43" i="272"/>
  <c r="EQ43" i="272"/>
  <c r="EP43" i="272"/>
  <c r="EO43" i="272"/>
  <c r="EN43" i="272"/>
  <c r="EM43" i="272"/>
  <c r="EL43" i="272"/>
  <c r="EK43" i="272"/>
  <c r="EJ43" i="272"/>
  <c r="EI43" i="272"/>
  <c r="EH43" i="272"/>
  <c r="EG43" i="272"/>
  <c r="EF43" i="272"/>
  <c r="EE43" i="272"/>
  <c r="ED43" i="272"/>
  <c r="EC43" i="272"/>
  <c r="EA43" i="272"/>
  <c r="DZ43" i="272"/>
  <c r="DY43" i="272"/>
  <c r="DW43" i="272"/>
  <c r="DT43" i="272"/>
  <c r="DS43" i="272"/>
  <c r="DR43" i="272"/>
  <c r="DQ43" i="272"/>
  <c r="DP43" i="272"/>
  <c r="DO43" i="272"/>
  <c r="DN43" i="272"/>
  <c r="DM43" i="272"/>
  <c r="DL43" i="272"/>
  <c r="DK43" i="272"/>
  <c r="DJ43" i="272"/>
  <c r="DI43" i="272"/>
  <c r="DH43" i="272"/>
  <c r="DG43" i="272"/>
  <c r="DF43" i="272"/>
  <c r="DE43" i="272"/>
  <c r="DD43" i="272"/>
  <c r="DC43" i="272"/>
  <c r="DB43" i="272"/>
  <c r="DA43" i="272"/>
  <c r="CZ43" i="272"/>
  <c r="CY43" i="272"/>
  <c r="CX43" i="272"/>
  <c r="CW43" i="272"/>
  <c r="CV43" i="272"/>
  <c r="CU43" i="272"/>
  <c r="CT43" i="272"/>
  <c r="CS43" i="272"/>
  <c r="CR43" i="272"/>
  <c r="CQ43" i="272"/>
  <c r="CP43" i="272"/>
  <c r="CO43" i="272"/>
  <c r="CN43" i="272"/>
  <c r="CM43" i="272"/>
  <c r="CL43" i="272"/>
  <c r="CK43" i="272"/>
  <c r="CJ43" i="272"/>
  <c r="CI43" i="272"/>
  <c r="CH43" i="272"/>
  <c r="CG43" i="272"/>
  <c r="CF43" i="272"/>
  <c r="CE43" i="272"/>
  <c r="CD43" i="272"/>
  <c r="CC43" i="272"/>
  <c r="CB43" i="272"/>
  <c r="CA43" i="272"/>
  <c r="BZ43" i="272"/>
  <c r="BY43" i="272"/>
  <c r="BX43" i="272"/>
  <c r="BW43" i="272"/>
  <c r="BV43" i="272"/>
  <c r="BU43" i="272"/>
  <c r="BT43" i="272"/>
  <c r="BS43" i="272"/>
  <c r="BR43" i="272"/>
  <c r="BQ43" i="272"/>
  <c r="BP43" i="272"/>
  <c r="BO43" i="272"/>
  <c r="BN43" i="272"/>
  <c r="BM43" i="272"/>
  <c r="BL43" i="272"/>
  <c r="BK43" i="272"/>
  <c r="BJ43" i="272"/>
  <c r="BI43" i="272"/>
  <c r="BH43" i="272"/>
  <c r="BG43" i="272"/>
  <c r="BF43" i="272"/>
  <c r="BE43" i="272"/>
  <c r="BD43" i="272"/>
  <c r="BC43" i="272"/>
  <c r="BB43" i="272"/>
  <c r="BA43" i="272"/>
  <c r="AZ43" i="272"/>
  <c r="AY43" i="272"/>
  <c r="AX43" i="272"/>
  <c r="AW43" i="272"/>
  <c r="AV43" i="272"/>
  <c r="AU43" i="272"/>
  <c r="AT43" i="272"/>
  <c r="AS43" i="272"/>
  <c r="AR43" i="272"/>
  <c r="AQ43" i="272"/>
  <c r="AP43" i="272"/>
  <c r="AO43" i="272"/>
  <c r="AN43" i="272"/>
  <c r="AM43" i="272"/>
  <c r="AL43" i="272"/>
  <c r="AK43" i="272"/>
  <c r="AJ43" i="272"/>
  <c r="AI43" i="272"/>
  <c r="AH43" i="272"/>
  <c r="AG43" i="272"/>
  <c r="AF43" i="272"/>
  <c r="AE43" i="272"/>
  <c r="AC43" i="272"/>
  <c r="AB43" i="272"/>
  <c r="AA43" i="272"/>
  <c r="Y43" i="272"/>
  <c r="U43" i="272"/>
  <c r="AD43" i="272" s="1"/>
  <c r="M43" i="272"/>
  <c r="HR42" i="272"/>
  <c r="HQ42" i="272"/>
  <c r="HP42" i="272"/>
  <c r="HO42" i="272"/>
  <c r="HN42" i="272"/>
  <c r="HM42" i="272"/>
  <c r="HL42" i="272"/>
  <c r="HK42" i="272"/>
  <c r="HJ42" i="272"/>
  <c r="HI42" i="272"/>
  <c r="HH42" i="272"/>
  <c r="HG42" i="272"/>
  <c r="HF42" i="272"/>
  <c r="HE42" i="272"/>
  <c r="HD42" i="272"/>
  <c r="HC42" i="272"/>
  <c r="HB42" i="272"/>
  <c r="HA42" i="272"/>
  <c r="GZ42" i="272"/>
  <c r="GY42" i="272"/>
  <c r="GX42" i="272"/>
  <c r="GW42" i="272"/>
  <c r="GV42" i="272"/>
  <c r="GU42" i="272"/>
  <c r="GT42" i="272"/>
  <c r="GS42" i="272"/>
  <c r="GR42" i="272"/>
  <c r="GQ42" i="272"/>
  <c r="GP42" i="272"/>
  <c r="GO42" i="272"/>
  <c r="GN42" i="272"/>
  <c r="GM42" i="272"/>
  <c r="GL42" i="272"/>
  <c r="GK42" i="272"/>
  <c r="GJ42" i="272"/>
  <c r="GI42" i="272"/>
  <c r="GH42" i="272"/>
  <c r="GG42" i="272"/>
  <c r="GF42" i="272"/>
  <c r="GE42" i="272"/>
  <c r="GD42" i="272"/>
  <c r="GC42" i="272"/>
  <c r="GB42" i="272"/>
  <c r="GA42" i="272"/>
  <c r="FZ42" i="272"/>
  <c r="FY42" i="272"/>
  <c r="FX42" i="272"/>
  <c r="FW42" i="272"/>
  <c r="FV42" i="272"/>
  <c r="FU42" i="272"/>
  <c r="FT42" i="272"/>
  <c r="FS42" i="272"/>
  <c r="FR42" i="272"/>
  <c r="FQ42" i="272"/>
  <c r="FP42" i="272"/>
  <c r="FO42" i="272"/>
  <c r="FN42" i="272"/>
  <c r="FM42" i="272"/>
  <c r="FL42" i="272"/>
  <c r="FK42" i="272"/>
  <c r="FJ42" i="272"/>
  <c r="FI42" i="272"/>
  <c r="FH42" i="272"/>
  <c r="FG42" i="272"/>
  <c r="FF42" i="272"/>
  <c r="FE42" i="272"/>
  <c r="FD42" i="272"/>
  <c r="FC42" i="272"/>
  <c r="FB42" i="272"/>
  <c r="FA42" i="272"/>
  <c r="EZ42" i="272"/>
  <c r="EY42" i="272"/>
  <c r="EX42" i="272"/>
  <c r="EW42" i="272"/>
  <c r="EV42" i="272"/>
  <c r="EU42" i="272"/>
  <c r="ET42" i="272"/>
  <c r="ES42" i="272"/>
  <c r="ER42" i="272"/>
  <c r="EQ42" i="272"/>
  <c r="EP42" i="272"/>
  <c r="EO42" i="272"/>
  <c r="EN42" i="272"/>
  <c r="EM42" i="272"/>
  <c r="EL42" i="272"/>
  <c r="EK42" i="272"/>
  <c r="EJ42" i="272"/>
  <c r="EI42" i="272"/>
  <c r="EH42" i="272"/>
  <c r="EG42" i="272"/>
  <c r="EF42" i="272"/>
  <c r="EE42" i="272"/>
  <c r="ED42" i="272"/>
  <c r="EC42" i="272"/>
  <c r="EB42" i="272"/>
  <c r="DZ42" i="272"/>
  <c r="DY42" i="272"/>
  <c r="DW42" i="272"/>
  <c r="DT42" i="272"/>
  <c r="DS42" i="272"/>
  <c r="DR42" i="272"/>
  <c r="DQ42" i="272"/>
  <c r="DP42" i="272"/>
  <c r="DO42" i="272"/>
  <c r="DN42" i="272"/>
  <c r="DM42" i="272"/>
  <c r="DL42" i="272"/>
  <c r="DK42" i="272"/>
  <c r="DJ42" i="272"/>
  <c r="DI42" i="272"/>
  <c r="DH42" i="272"/>
  <c r="DG42" i="272"/>
  <c r="DF42" i="272"/>
  <c r="DE42" i="272"/>
  <c r="DD42" i="272"/>
  <c r="DC42" i="272"/>
  <c r="DB42" i="272"/>
  <c r="DA42" i="272"/>
  <c r="CZ42" i="272"/>
  <c r="CY42" i="272"/>
  <c r="CX42" i="272"/>
  <c r="CW42" i="272"/>
  <c r="CV42" i="272"/>
  <c r="CU42" i="272"/>
  <c r="CT42" i="272"/>
  <c r="CS42" i="272"/>
  <c r="CR42" i="272"/>
  <c r="CQ42" i="272"/>
  <c r="CP42" i="272"/>
  <c r="CO42" i="272"/>
  <c r="CN42" i="272"/>
  <c r="CM42" i="272"/>
  <c r="CL42" i="272"/>
  <c r="CK42" i="272"/>
  <c r="CJ42" i="272"/>
  <c r="CI42" i="272"/>
  <c r="CH42" i="272"/>
  <c r="CG42" i="272"/>
  <c r="CF42" i="272"/>
  <c r="CE42" i="272"/>
  <c r="CD42" i="272"/>
  <c r="CC42" i="272"/>
  <c r="CB42" i="272"/>
  <c r="CA42" i="272"/>
  <c r="BZ42" i="272"/>
  <c r="BY42" i="272"/>
  <c r="BX42" i="272"/>
  <c r="BW42" i="272"/>
  <c r="BV42" i="272"/>
  <c r="BU42" i="272"/>
  <c r="BT42" i="272"/>
  <c r="BS42" i="272"/>
  <c r="BR42" i="272"/>
  <c r="BQ42" i="272"/>
  <c r="BP42" i="272"/>
  <c r="BO42" i="272"/>
  <c r="BN42" i="272"/>
  <c r="BM42" i="272"/>
  <c r="BL42" i="272"/>
  <c r="BK42" i="272"/>
  <c r="BJ42" i="272"/>
  <c r="BI42" i="272"/>
  <c r="BH42" i="272"/>
  <c r="BG42" i="272"/>
  <c r="BF42" i="272"/>
  <c r="BE42" i="272"/>
  <c r="BD42" i="272"/>
  <c r="BC42" i="272"/>
  <c r="BB42" i="272"/>
  <c r="BA42" i="272"/>
  <c r="AZ42" i="272"/>
  <c r="AY42" i="272"/>
  <c r="AX42" i="272"/>
  <c r="AW42" i="272"/>
  <c r="AV42" i="272"/>
  <c r="AU42" i="272"/>
  <c r="AT42" i="272"/>
  <c r="AS42" i="272"/>
  <c r="AR42" i="272"/>
  <c r="AQ42" i="272"/>
  <c r="AP42" i="272"/>
  <c r="AO42" i="272"/>
  <c r="AN42" i="272"/>
  <c r="AM42" i="272"/>
  <c r="AL42" i="272"/>
  <c r="AK42" i="272"/>
  <c r="AJ42" i="272"/>
  <c r="AI42" i="272"/>
  <c r="AH42" i="272"/>
  <c r="AG42" i="272"/>
  <c r="AF42" i="272"/>
  <c r="AE42" i="272"/>
  <c r="AD42" i="272"/>
  <c r="AB42" i="272"/>
  <c r="AA42" i="272"/>
  <c r="Y42" i="272"/>
  <c r="U42" i="272"/>
  <c r="AC42" i="272" s="1"/>
  <c r="M42" i="272"/>
  <c r="HR41" i="272"/>
  <c r="HQ41" i="272"/>
  <c r="HP41" i="272"/>
  <c r="HO41" i="272"/>
  <c r="HN41" i="272"/>
  <c r="HM41" i="272"/>
  <c r="HL41" i="272"/>
  <c r="HK41" i="272"/>
  <c r="HJ41" i="272"/>
  <c r="HI41" i="272"/>
  <c r="HH41" i="272"/>
  <c r="HG41" i="272"/>
  <c r="HF41" i="272"/>
  <c r="HE41" i="272"/>
  <c r="HD41" i="272"/>
  <c r="HC41" i="272"/>
  <c r="HB41" i="272"/>
  <c r="HA41" i="272"/>
  <c r="GZ41" i="272"/>
  <c r="GY41" i="272"/>
  <c r="GX41" i="272"/>
  <c r="GW41" i="272"/>
  <c r="GV41" i="272"/>
  <c r="GU41" i="272"/>
  <c r="GT41" i="272"/>
  <c r="GS41" i="272"/>
  <c r="GR41" i="272"/>
  <c r="GQ41" i="272"/>
  <c r="GP41" i="272"/>
  <c r="GO41" i="272"/>
  <c r="GN41" i="272"/>
  <c r="GM41" i="272"/>
  <c r="GL41" i="272"/>
  <c r="GK41" i="272"/>
  <c r="GJ41" i="272"/>
  <c r="GI41" i="272"/>
  <c r="GH41" i="272"/>
  <c r="GG41" i="272"/>
  <c r="GF41" i="272"/>
  <c r="GE41" i="272"/>
  <c r="GD41" i="272"/>
  <c r="GC41" i="272"/>
  <c r="GB41" i="272"/>
  <c r="GA41" i="272"/>
  <c r="FZ41" i="272"/>
  <c r="FY41" i="272"/>
  <c r="FX41" i="272"/>
  <c r="FW41" i="272"/>
  <c r="FV41" i="272"/>
  <c r="FU41" i="272"/>
  <c r="FT41" i="272"/>
  <c r="FS41" i="272"/>
  <c r="FR41" i="272"/>
  <c r="FQ41" i="272"/>
  <c r="FP41" i="272"/>
  <c r="FO41" i="272"/>
  <c r="FN41" i="272"/>
  <c r="FM41" i="272"/>
  <c r="FL41" i="272"/>
  <c r="FK41" i="272"/>
  <c r="FJ41" i="272"/>
  <c r="FI41" i="272"/>
  <c r="FH41" i="272"/>
  <c r="FG41" i="272"/>
  <c r="FF41" i="272"/>
  <c r="FE41" i="272"/>
  <c r="FD41" i="272"/>
  <c r="FC41" i="272"/>
  <c r="FB41" i="272"/>
  <c r="FA41" i="272"/>
  <c r="EZ41" i="272"/>
  <c r="EY41" i="272"/>
  <c r="EX41" i="272"/>
  <c r="EW41" i="272"/>
  <c r="EV41" i="272"/>
  <c r="EU41" i="272"/>
  <c r="ET41" i="272"/>
  <c r="ES41" i="272"/>
  <c r="ER41" i="272"/>
  <c r="EQ41" i="272"/>
  <c r="EP41" i="272"/>
  <c r="EO41" i="272"/>
  <c r="EN41" i="272"/>
  <c r="EM41" i="272"/>
  <c r="EL41" i="272"/>
  <c r="EK41" i="272"/>
  <c r="EJ41" i="272"/>
  <c r="EI41" i="272"/>
  <c r="EH41" i="272"/>
  <c r="EG41" i="272"/>
  <c r="EF41" i="272"/>
  <c r="EE41" i="272"/>
  <c r="ED41" i="272"/>
  <c r="EC41" i="272"/>
  <c r="EB41" i="272"/>
  <c r="EA41" i="272"/>
  <c r="DY41" i="272"/>
  <c r="DW41" i="272"/>
  <c r="DT41" i="272"/>
  <c r="DS41" i="272"/>
  <c r="DR41" i="272"/>
  <c r="DQ41" i="272"/>
  <c r="DP41" i="272"/>
  <c r="DO41" i="272"/>
  <c r="DN41" i="272"/>
  <c r="DM41" i="272"/>
  <c r="DL41" i="272"/>
  <c r="DK41" i="272"/>
  <c r="DJ41" i="272"/>
  <c r="DI41" i="272"/>
  <c r="DH41" i="272"/>
  <c r="DG41" i="272"/>
  <c r="DF41" i="272"/>
  <c r="DE41" i="272"/>
  <c r="DD41" i="272"/>
  <c r="DC41" i="272"/>
  <c r="DB41" i="272"/>
  <c r="DA41" i="272"/>
  <c r="CZ41" i="272"/>
  <c r="CY41" i="272"/>
  <c r="CX41" i="272"/>
  <c r="CW41" i="272"/>
  <c r="CV41" i="272"/>
  <c r="CU41" i="272"/>
  <c r="CT41" i="272"/>
  <c r="CS41" i="272"/>
  <c r="CR41" i="272"/>
  <c r="CQ41" i="272"/>
  <c r="CP41" i="272"/>
  <c r="CO41" i="272"/>
  <c r="CN41" i="272"/>
  <c r="CM41" i="272"/>
  <c r="CL41" i="272"/>
  <c r="CK41" i="272"/>
  <c r="CJ41" i="272"/>
  <c r="CI41" i="272"/>
  <c r="CH41" i="272"/>
  <c r="CG41" i="272"/>
  <c r="CF41" i="272"/>
  <c r="CE41" i="272"/>
  <c r="CD41" i="272"/>
  <c r="CC41" i="272"/>
  <c r="CB41" i="272"/>
  <c r="CA41" i="272"/>
  <c r="BZ41" i="272"/>
  <c r="BY41" i="272"/>
  <c r="BX41" i="272"/>
  <c r="BW41" i="272"/>
  <c r="BV41" i="272"/>
  <c r="BU41" i="272"/>
  <c r="BT41" i="272"/>
  <c r="BS41" i="272"/>
  <c r="BR41" i="272"/>
  <c r="BQ41" i="272"/>
  <c r="BP41" i="272"/>
  <c r="BO41" i="272"/>
  <c r="BN41" i="272"/>
  <c r="BM41" i="272"/>
  <c r="BL41" i="272"/>
  <c r="BK41" i="272"/>
  <c r="BJ41" i="272"/>
  <c r="BI41" i="272"/>
  <c r="BH41" i="272"/>
  <c r="BG41" i="272"/>
  <c r="BF41" i="272"/>
  <c r="BE41" i="272"/>
  <c r="BD41" i="272"/>
  <c r="BC41" i="272"/>
  <c r="BB41" i="272"/>
  <c r="BA41" i="272"/>
  <c r="AZ41" i="272"/>
  <c r="AY41" i="272"/>
  <c r="AX41" i="272"/>
  <c r="AW41" i="272"/>
  <c r="AV41" i="272"/>
  <c r="AU41" i="272"/>
  <c r="AT41" i="272"/>
  <c r="AS41" i="272"/>
  <c r="AR41" i="272"/>
  <c r="AQ41" i="272"/>
  <c r="AP41" i="272"/>
  <c r="AO41" i="272"/>
  <c r="AN41" i="272"/>
  <c r="AM41" i="272"/>
  <c r="AL41" i="272"/>
  <c r="AK41" i="272"/>
  <c r="AJ41" i="272"/>
  <c r="AI41" i="272"/>
  <c r="AH41" i="272"/>
  <c r="AG41" i="272"/>
  <c r="AF41" i="272"/>
  <c r="AE41" i="272"/>
  <c r="AD41" i="272"/>
  <c r="AC41" i="272"/>
  <c r="AA41" i="272"/>
  <c r="Y41" i="272"/>
  <c r="M41" i="272"/>
  <c r="O41" i="272" s="1"/>
  <c r="DZ41" i="272" s="1"/>
  <c r="HR40" i="272"/>
  <c r="HQ40" i="272"/>
  <c r="HP40" i="272"/>
  <c r="HO40" i="272"/>
  <c r="HN40" i="272"/>
  <c r="HM40" i="272"/>
  <c r="HL40" i="272"/>
  <c r="HK40" i="272"/>
  <c r="HJ40" i="272"/>
  <c r="HI40" i="272"/>
  <c r="HH40" i="272"/>
  <c r="HG40" i="272"/>
  <c r="HF40" i="272"/>
  <c r="HE40" i="272"/>
  <c r="HD40" i="272"/>
  <c r="HC40" i="272"/>
  <c r="HB40" i="272"/>
  <c r="HA40" i="272"/>
  <c r="GZ40" i="272"/>
  <c r="GY40" i="272"/>
  <c r="GX40" i="272"/>
  <c r="GW40" i="272"/>
  <c r="GV40" i="272"/>
  <c r="GU40" i="272"/>
  <c r="GT40" i="272"/>
  <c r="GS40" i="272"/>
  <c r="GR40" i="272"/>
  <c r="GQ40" i="272"/>
  <c r="GP40" i="272"/>
  <c r="GO40" i="272"/>
  <c r="GN40" i="272"/>
  <c r="GM40" i="272"/>
  <c r="GL40" i="272"/>
  <c r="GK40" i="272"/>
  <c r="GJ40" i="272"/>
  <c r="GI40" i="272"/>
  <c r="GH40" i="272"/>
  <c r="GG40" i="272"/>
  <c r="GF40" i="272"/>
  <c r="GE40" i="272"/>
  <c r="GD40" i="272"/>
  <c r="GC40" i="272"/>
  <c r="GB40" i="272"/>
  <c r="GA40" i="272"/>
  <c r="FZ40" i="272"/>
  <c r="FY40" i="272"/>
  <c r="FX40" i="272"/>
  <c r="FW40" i="272"/>
  <c r="FV40" i="272"/>
  <c r="FU40" i="272"/>
  <c r="FT40" i="272"/>
  <c r="FS40" i="272"/>
  <c r="FR40" i="272"/>
  <c r="FQ40" i="272"/>
  <c r="FP40" i="272"/>
  <c r="FO40" i="272"/>
  <c r="FN40" i="272"/>
  <c r="FM40" i="272"/>
  <c r="FL40" i="272"/>
  <c r="FK40" i="272"/>
  <c r="FJ40" i="272"/>
  <c r="FI40" i="272"/>
  <c r="FH40" i="272"/>
  <c r="FG40" i="272"/>
  <c r="FF40" i="272"/>
  <c r="FE40" i="272"/>
  <c r="FD40" i="272"/>
  <c r="FC40" i="272"/>
  <c r="FB40" i="272"/>
  <c r="FA40" i="272"/>
  <c r="EZ40" i="272"/>
  <c r="EY40" i="272"/>
  <c r="EX40" i="272"/>
  <c r="EW40" i="272"/>
  <c r="EV40" i="272"/>
  <c r="EU40" i="272"/>
  <c r="ET40" i="272"/>
  <c r="ES40" i="272"/>
  <c r="ER40" i="272"/>
  <c r="EQ40" i="272"/>
  <c r="EP40" i="272"/>
  <c r="EO40" i="272"/>
  <c r="EN40" i="272"/>
  <c r="EM40" i="272"/>
  <c r="EL40" i="272"/>
  <c r="EK40" i="272"/>
  <c r="EJ40" i="272"/>
  <c r="EI40" i="272"/>
  <c r="EH40" i="272"/>
  <c r="EG40" i="272"/>
  <c r="EF40" i="272"/>
  <c r="EE40" i="272"/>
  <c r="ED40" i="272"/>
  <c r="EC40" i="272"/>
  <c r="EB40" i="272"/>
  <c r="EA40" i="272"/>
  <c r="DZ40" i="272"/>
  <c r="DW40" i="272"/>
  <c r="DT40" i="272"/>
  <c r="DS40" i="272"/>
  <c r="DR40" i="272"/>
  <c r="DQ40" i="272"/>
  <c r="DP40" i="272"/>
  <c r="DO40" i="272"/>
  <c r="DN40" i="272"/>
  <c r="DM40" i="272"/>
  <c r="DL40" i="272"/>
  <c r="DK40" i="272"/>
  <c r="DJ40" i="272"/>
  <c r="DI40" i="272"/>
  <c r="DH40" i="272"/>
  <c r="DG40" i="272"/>
  <c r="DF40" i="272"/>
  <c r="DE40" i="272"/>
  <c r="DD40" i="272"/>
  <c r="DC40" i="272"/>
  <c r="DB40" i="272"/>
  <c r="DA40" i="272"/>
  <c r="CZ40" i="272"/>
  <c r="CY40" i="272"/>
  <c r="CX40" i="272"/>
  <c r="CW40" i="272"/>
  <c r="CV40" i="272"/>
  <c r="CU40" i="272"/>
  <c r="CT40" i="272"/>
  <c r="CS40" i="272"/>
  <c r="CR40" i="272"/>
  <c r="CQ40" i="272"/>
  <c r="CP40" i="272"/>
  <c r="CO40" i="272"/>
  <c r="CN40" i="272"/>
  <c r="CM40" i="272"/>
  <c r="CL40" i="272"/>
  <c r="CK40" i="272"/>
  <c r="CJ40" i="272"/>
  <c r="CI40" i="272"/>
  <c r="CH40" i="272"/>
  <c r="CG40" i="272"/>
  <c r="CF40" i="272"/>
  <c r="CE40" i="272"/>
  <c r="CD40" i="272"/>
  <c r="CC40" i="272"/>
  <c r="CB40" i="272"/>
  <c r="CA40" i="272"/>
  <c r="BZ40" i="272"/>
  <c r="BY40" i="272"/>
  <c r="BX40" i="272"/>
  <c r="BW40" i="272"/>
  <c r="BV40" i="272"/>
  <c r="BU40" i="272"/>
  <c r="BT40" i="272"/>
  <c r="BS40" i="272"/>
  <c r="BR40" i="272"/>
  <c r="BQ40" i="272"/>
  <c r="BP40" i="272"/>
  <c r="BO40" i="272"/>
  <c r="BN40" i="272"/>
  <c r="BM40" i="272"/>
  <c r="BL40" i="272"/>
  <c r="BK40" i="272"/>
  <c r="BJ40" i="272"/>
  <c r="BI40" i="272"/>
  <c r="BH40" i="272"/>
  <c r="BG40" i="272"/>
  <c r="BF40" i="272"/>
  <c r="BE40" i="272"/>
  <c r="BD40" i="272"/>
  <c r="BC40" i="272"/>
  <c r="BB40" i="272"/>
  <c r="BA40" i="272"/>
  <c r="AZ40" i="272"/>
  <c r="AY40" i="272"/>
  <c r="AX40" i="272"/>
  <c r="AW40" i="272"/>
  <c r="AV40" i="272"/>
  <c r="AU40" i="272"/>
  <c r="AT40" i="272"/>
  <c r="AS40" i="272"/>
  <c r="AR40" i="272"/>
  <c r="AQ40" i="272"/>
  <c r="AP40" i="272"/>
  <c r="AO40" i="272"/>
  <c r="AN40" i="272"/>
  <c r="AM40" i="272"/>
  <c r="AL40" i="272"/>
  <c r="AK40" i="272"/>
  <c r="AJ40" i="272"/>
  <c r="AI40" i="272"/>
  <c r="AH40" i="272"/>
  <c r="AG40" i="272"/>
  <c r="AF40" i="272"/>
  <c r="AE40" i="272"/>
  <c r="AD40" i="272"/>
  <c r="AC40" i="272"/>
  <c r="AB40" i="272"/>
  <c r="Y40" i="272"/>
  <c r="U40" i="272"/>
  <c r="AA40" i="272" s="1"/>
  <c r="M40" i="272"/>
  <c r="HR39" i="272"/>
  <c r="HQ39" i="272"/>
  <c r="HP39" i="272"/>
  <c r="HO39" i="272"/>
  <c r="HN39" i="272"/>
  <c r="HM39" i="272"/>
  <c r="HL39" i="272"/>
  <c r="HK39" i="272"/>
  <c r="HJ39" i="272"/>
  <c r="HI39" i="272"/>
  <c r="HH39" i="272"/>
  <c r="HG39" i="272"/>
  <c r="HF39" i="272"/>
  <c r="HE39" i="272"/>
  <c r="HD39" i="272"/>
  <c r="HC39" i="272"/>
  <c r="HB39" i="272"/>
  <c r="HA39" i="272"/>
  <c r="GZ39" i="272"/>
  <c r="GY39" i="272"/>
  <c r="GX39" i="272"/>
  <c r="GW39" i="272"/>
  <c r="GV39" i="272"/>
  <c r="GU39" i="272"/>
  <c r="GT39" i="272"/>
  <c r="GS39" i="272"/>
  <c r="GR39" i="272"/>
  <c r="GQ39" i="272"/>
  <c r="GP39" i="272"/>
  <c r="GO39" i="272"/>
  <c r="GN39" i="272"/>
  <c r="GM39" i="272"/>
  <c r="GL39" i="272"/>
  <c r="GK39" i="272"/>
  <c r="GJ39" i="272"/>
  <c r="GI39" i="272"/>
  <c r="GH39" i="272"/>
  <c r="GG39" i="272"/>
  <c r="GF39" i="272"/>
  <c r="GE39" i="272"/>
  <c r="GD39" i="272"/>
  <c r="GC39" i="272"/>
  <c r="GB39" i="272"/>
  <c r="GA39" i="272"/>
  <c r="FZ39" i="272"/>
  <c r="FY39" i="272"/>
  <c r="FX39" i="272"/>
  <c r="FW39" i="272"/>
  <c r="FV39" i="272"/>
  <c r="FU39" i="272"/>
  <c r="FT39" i="272"/>
  <c r="FS39" i="272"/>
  <c r="FR39" i="272"/>
  <c r="FQ39" i="272"/>
  <c r="FP39" i="272"/>
  <c r="FO39" i="272"/>
  <c r="FN39" i="272"/>
  <c r="FM39" i="272"/>
  <c r="FL39" i="272"/>
  <c r="FK39" i="272"/>
  <c r="FJ39" i="272"/>
  <c r="FI39" i="272"/>
  <c r="FH39" i="272"/>
  <c r="FG39" i="272"/>
  <c r="FF39" i="272"/>
  <c r="FE39" i="272"/>
  <c r="FD39" i="272"/>
  <c r="FC39" i="272"/>
  <c r="FB39" i="272"/>
  <c r="FA39" i="272"/>
  <c r="EZ39" i="272"/>
  <c r="EY39" i="272"/>
  <c r="EX39" i="272"/>
  <c r="EW39" i="272"/>
  <c r="EV39" i="272"/>
  <c r="EU39" i="272"/>
  <c r="ET39" i="272"/>
  <c r="ES39" i="272"/>
  <c r="ER39" i="272"/>
  <c r="EQ39" i="272"/>
  <c r="EP39" i="272"/>
  <c r="EO39" i="272"/>
  <c r="EN39" i="272"/>
  <c r="EM39" i="272"/>
  <c r="EL39" i="272"/>
  <c r="EK39" i="272"/>
  <c r="EJ39" i="272"/>
  <c r="EI39" i="272"/>
  <c r="EH39" i="272"/>
  <c r="EG39" i="272"/>
  <c r="EF39" i="272"/>
  <c r="EE39" i="272"/>
  <c r="ED39" i="272"/>
  <c r="EC39" i="272"/>
  <c r="EB39" i="272"/>
  <c r="EA39" i="272"/>
  <c r="DZ39" i="272"/>
  <c r="DY39" i="272"/>
  <c r="DW39" i="272"/>
  <c r="DT39" i="272"/>
  <c r="DS39" i="272"/>
  <c r="DR39" i="272"/>
  <c r="DQ39" i="272"/>
  <c r="DP39" i="272"/>
  <c r="DO39" i="272"/>
  <c r="DN39" i="272"/>
  <c r="DM39" i="272"/>
  <c r="DL39" i="272"/>
  <c r="DK39" i="272"/>
  <c r="DJ39" i="272"/>
  <c r="DI39" i="272"/>
  <c r="DH39" i="272"/>
  <c r="DG39" i="272"/>
  <c r="DF39" i="272"/>
  <c r="DE39" i="272"/>
  <c r="DD39" i="272"/>
  <c r="DC39" i="272"/>
  <c r="DB39" i="272"/>
  <c r="DA39" i="272"/>
  <c r="CZ39" i="272"/>
  <c r="CY39" i="272"/>
  <c r="CX39" i="272"/>
  <c r="CW39" i="272"/>
  <c r="CV39" i="272"/>
  <c r="CU39" i="272"/>
  <c r="CT39" i="272"/>
  <c r="CS39" i="272"/>
  <c r="CR39" i="272"/>
  <c r="CQ39" i="272"/>
  <c r="CP39" i="272"/>
  <c r="CO39" i="272"/>
  <c r="CN39" i="272"/>
  <c r="CM39" i="272"/>
  <c r="CL39" i="272"/>
  <c r="CK39" i="272"/>
  <c r="CJ39" i="272"/>
  <c r="CI39" i="272"/>
  <c r="CH39" i="272"/>
  <c r="CG39" i="272"/>
  <c r="CF39" i="272"/>
  <c r="CE39" i="272"/>
  <c r="CD39" i="272"/>
  <c r="CC39" i="272"/>
  <c r="CB39" i="272"/>
  <c r="CA39" i="272"/>
  <c r="BZ39" i="272"/>
  <c r="BY39" i="272"/>
  <c r="BX39" i="272"/>
  <c r="BW39" i="272"/>
  <c r="BV39" i="272"/>
  <c r="BU39" i="272"/>
  <c r="BT39" i="272"/>
  <c r="BS39" i="272"/>
  <c r="BR39" i="272"/>
  <c r="BQ39" i="272"/>
  <c r="BP39" i="272"/>
  <c r="BO39" i="272"/>
  <c r="BN39" i="272"/>
  <c r="BM39" i="272"/>
  <c r="BL39" i="272"/>
  <c r="BK39" i="272"/>
  <c r="BJ39" i="272"/>
  <c r="BI39" i="272"/>
  <c r="BH39" i="272"/>
  <c r="BG39" i="272"/>
  <c r="BF39" i="272"/>
  <c r="BE39" i="272"/>
  <c r="BD39" i="272"/>
  <c r="BC39" i="272"/>
  <c r="BB39" i="272"/>
  <c r="BA39" i="272"/>
  <c r="AZ39" i="272"/>
  <c r="AY39" i="272"/>
  <c r="AX39" i="272"/>
  <c r="AW39" i="272"/>
  <c r="AV39" i="272"/>
  <c r="AU39" i="272"/>
  <c r="AT39" i="272"/>
  <c r="AS39" i="272"/>
  <c r="AR39" i="272"/>
  <c r="AQ39" i="272"/>
  <c r="AP39" i="272"/>
  <c r="AO39" i="272"/>
  <c r="AN39" i="272"/>
  <c r="AM39" i="272"/>
  <c r="AL39" i="272"/>
  <c r="AK39" i="272"/>
  <c r="AJ39" i="272"/>
  <c r="AI39" i="272"/>
  <c r="AH39" i="272"/>
  <c r="AG39" i="272"/>
  <c r="AF39" i="272"/>
  <c r="AE39" i="272"/>
  <c r="AD39" i="272"/>
  <c r="AC39" i="272"/>
  <c r="AB39" i="272"/>
  <c r="AA39" i="272"/>
  <c r="Y39" i="272"/>
  <c r="U39" i="272"/>
  <c r="Z39" i="272" s="1"/>
  <c r="R39" i="272"/>
  <c r="Q39" i="272"/>
  <c r="M39" i="272"/>
  <c r="HR38" i="272"/>
  <c r="HQ38" i="272"/>
  <c r="HP38" i="272"/>
  <c r="HO38" i="272"/>
  <c r="HN38" i="272"/>
  <c r="HM38" i="272"/>
  <c r="HL38" i="272"/>
  <c r="HK38" i="272"/>
  <c r="HJ38" i="272"/>
  <c r="HI38" i="272"/>
  <c r="HH38" i="272"/>
  <c r="HG38" i="272"/>
  <c r="HF38" i="272"/>
  <c r="HE38" i="272"/>
  <c r="HD38" i="272"/>
  <c r="HC38" i="272"/>
  <c r="HB38" i="272"/>
  <c r="HA38" i="272"/>
  <c r="GZ38" i="272"/>
  <c r="GY38" i="272"/>
  <c r="GX38" i="272"/>
  <c r="GW38" i="272"/>
  <c r="GV38" i="272"/>
  <c r="GU38" i="272"/>
  <c r="GT38" i="272"/>
  <c r="GS38" i="272"/>
  <c r="GR38" i="272"/>
  <c r="GQ38" i="272"/>
  <c r="GP38" i="272"/>
  <c r="GO38" i="272"/>
  <c r="GN38" i="272"/>
  <c r="GM38" i="272"/>
  <c r="GL38" i="272"/>
  <c r="GK38" i="272"/>
  <c r="GJ38" i="272"/>
  <c r="GI38" i="272"/>
  <c r="GH38" i="272"/>
  <c r="GG38" i="272"/>
  <c r="GF38" i="272"/>
  <c r="GE38" i="272"/>
  <c r="GD38" i="272"/>
  <c r="GC38" i="272"/>
  <c r="GB38" i="272"/>
  <c r="GA38" i="272"/>
  <c r="FZ38" i="272"/>
  <c r="FY38" i="272"/>
  <c r="FX38" i="272"/>
  <c r="FW38" i="272"/>
  <c r="FV38" i="272"/>
  <c r="FU38" i="272"/>
  <c r="FT38" i="272"/>
  <c r="FS38" i="272"/>
  <c r="FR38" i="272"/>
  <c r="FQ38" i="272"/>
  <c r="FP38" i="272"/>
  <c r="FO38" i="272"/>
  <c r="FN38" i="272"/>
  <c r="FM38" i="272"/>
  <c r="FL38" i="272"/>
  <c r="FK38" i="272"/>
  <c r="FJ38" i="272"/>
  <c r="FI38" i="272"/>
  <c r="FH38" i="272"/>
  <c r="FG38" i="272"/>
  <c r="FF38" i="272"/>
  <c r="FE38" i="272"/>
  <c r="FD38" i="272"/>
  <c r="FC38" i="272"/>
  <c r="FB38" i="272"/>
  <c r="FA38" i="272"/>
  <c r="EZ38" i="272"/>
  <c r="EY38" i="272"/>
  <c r="EX38" i="272"/>
  <c r="EW38" i="272"/>
  <c r="EV38" i="272"/>
  <c r="EU38" i="272"/>
  <c r="ET38" i="272"/>
  <c r="ES38" i="272"/>
  <c r="ER38" i="272"/>
  <c r="EQ38" i="272"/>
  <c r="EP38" i="272"/>
  <c r="EO38" i="272"/>
  <c r="EN38" i="272"/>
  <c r="EM38" i="272"/>
  <c r="EL38" i="272"/>
  <c r="EK38" i="272"/>
  <c r="EJ38" i="272"/>
  <c r="EI38" i="272"/>
  <c r="EH38" i="272"/>
  <c r="EG38" i="272"/>
  <c r="EF38" i="272"/>
  <c r="EE38" i="272"/>
  <c r="ED38" i="272"/>
  <c r="EC38" i="272"/>
  <c r="EB38" i="272"/>
  <c r="EA38" i="272"/>
  <c r="DZ38" i="272"/>
  <c r="DY38" i="272"/>
  <c r="DW38" i="272"/>
  <c r="DT38" i="272"/>
  <c r="DS38" i="272"/>
  <c r="DR38" i="272"/>
  <c r="DQ38" i="272"/>
  <c r="DP38" i="272"/>
  <c r="DO38" i="272"/>
  <c r="DN38" i="272"/>
  <c r="DM38" i="272"/>
  <c r="DL38" i="272"/>
  <c r="DK38" i="272"/>
  <c r="DJ38" i="272"/>
  <c r="DI38" i="272"/>
  <c r="DH38" i="272"/>
  <c r="DG38" i="272"/>
  <c r="DF38" i="272"/>
  <c r="DE38" i="272"/>
  <c r="DD38" i="272"/>
  <c r="DC38" i="272"/>
  <c r="DB38" i="272"/>
  <c r="DA38" i="272"/>
  <c r="CZ38" i="272"/>
  <c r="CY38" i="272"/>
  <c r="CX38" i="272"/>
  <c r="CW38" i="272"/>
  <c r="CV38" i="272"/>
  <c r="CU38" i="272"/>
  <c r="CT38" i="272"/>
  <c r="CS38" i="272"/>
  <c r="CR38" i="272"/>
  <c r="CQ38" i="272"/>
  <c r="CP38" i="272"/>
  <c r="CO38" i="272"/>
  <c r="CN38" i="272"/>
  <c r="CM38" i="272"/>
  <c r="CL38" i="272"/>
  <c r="CK38" i="272"/>
  <c r="CJ38" i="272"/>
  <c r="CI38" i="272"/>
  <c r="CH38" i="272"/>
  <c r="CG38" i="272"/>
  <c r="CF38" i="272"/>
  <c r="CE38" i="272"/>
  <c r="CD38" i="272"/>
  <c r="CC38" i="272"/>
  <c r="CB38" i="272"/>
  <c r="CA38" i="272"/>
  <c r="BZ38" i="272"/>
  <c r="BY38" i="272"/>
  <c r="BX38" i="272"/>
  <c r="BW38" i="272"/>
  <c r="BV38" i="272"/>
  <c r="BU38" i="272"/>
  <c r="BT38" i="272"/>
  <c r="BS38" i="272"/>
  <c r="BR38" i="272"/>
  <c r="BQ38" i="272"/>
  <c r="BP38" i="272"/>
  <c r="BO38" i="272"/>
  <c r="BN38" i="272"/>
  <c r="BM38" i="272"/>
  <c r="BL38" i="272"/>
  <c r="BK38" i="272"/>
  <c r="BJ38" i="272"/>
  <c r="BI38" i="272"/>
  <c r="BH38" i="272"/>
  <c r="BG38" i="272"/>
  <c r="BF38" i="272"/>
  <c r="BE38" i="272"/>
  <c r="BD38" i="272"/>
  <c r="BC38" i="272"/>
  <c r="BB38" i="272"/>
  <c r="BA38" i="272"/>
  <c r="AZ38" i="272"/>
  <c r="AY38" i="272"/>
  <c r="AX38" i="272"/>
  <c r="AW38" i="272"/>
  <c r="AV38" i="272"/>
  <c r="AU38" i="272"/>
  <c r="AT38" i="272"/>
  <c r="AS38" i="272"/>
  <c r="AR38" i="272"/>
  <c r="AQ38" i="272"/>
  <c r="AP38" i="272"/>
  <c r="AO38" i="272"/>
  <c r="AN38" i="272"/>
  <c r="AM38" i="272"/>
  <c r="AL38" i="272"/>
  <c r="AK38" i="272"/>
  <c r="AJ38" i="272"/>
  <c r="AI38" i="272"/>
  <c r="AH38" i="272"/>
  <c r="AG38" i="272"/>
  <c r="AF38" i="272"/>
  <c r="AE38" i="272"/>
  <c r="AD38" i="272"/>
  <c r="AC38" i="272"/>
  <c r="AB38" i="272"/>
  <c r="AA38" i="272"/>
  <c r="Y38" i="272"/>
  <c r="R38" i="272"/>
  <c r="HR37" i="272"/>
  <c r="HQ37" i="272"/>
  <c r="HP37" i="272"/>
  <c r="HO37" i="272"/>
  <c r="HN37" i="272"/>
  <c r="HM37" i="272"/>
  <c r="HL37" i="272"/>
  <c r="HK37" i="272"/>
  <c r="HJ37" i="272"/>
  <c r="HI37" i="272"/>
  <c r="HH37" i="272"/>
  <c r="HG37" i="272"/>
  <c r="HF37" i="272"/>
  <c r="HE37" i="272"/>
  <c r="HD37" i="272"/>
  <c r="HC37" i="272"/>
  <c r="HB37" i="272"/>
  <c r="HA37" i="272"/>
  <c r="GZ37" i="272"/>
  <c r="GY37" i="272"/>
  <c r="GX37" i="272"/>
  <c r="GW37" i="272"/>
  <c r="GV37" i="272"/>
  <c r="GU37" i="272"/>
  <c r="GT37" i="272"/>
  <c r="GS37" i="272"/>
  <c r="GR37" i="272"/>
  <c r="GQ37" i="272"/>
  <c r="GP37" i="272"/>
  <c r="GO37" i="272"/>
  <c r="GN37" i="272"/>
  <c r="GM37" i="272"/>
  <c r="GL37" i="272"/>
  <c r="GK37" i="272"/>
  <c r="GJ37" i="272"/>
  <c r="GI37" i="272"/>
  <c r="GH37" i="272"/>
  <c r="GG37" i="272"/>
  <c r="GF37" i="272"/>
  <c r="GE37" i="272"/>
  <c r="GD37" i="272"/>
  <c r="GC37" i="272"/>
  <c r="GB37" i="272"/>
  <c r="GA37" i="272"/>
  <c r="FZ37" i="272"/>
  <c r="FY37" i="272"/>
  <c r="FX37" i="272"/>
  <c r="FW37" i="272"/>
  <c r="FV37" i="272"/>
  <c r="FU37" i="272"/>
  <c r="FT37" i="272"/>
  <c r="FS37" i="272"/>
  <c r="FR37" i="272"/>
  <c r="FQ37" i="272"/>
  <c r="FP37" i="272"/>
  <c r="FO37" i="272"/>
  <c r="FN37" i="272"/>
  <c r="FM37" i="272"/>
  <c r="FL37" i="272"/>
  <c r="FK37" i="272"/>
  <c r="FJ37" i="272"/>
  <c r="FI37" i="272"/>
  <c r="FH37" i="272"/>
  <c r="FG37" i="272"/>
  <c r="FF37" i="272"/>
  <c r="FE37" i="272"/>
  <c r="FD37" i="272"/>
  <c r="FC37" i="272"/>
  <c r="FB37" i="272"/>
  <c r="FA37" i="272"/>
  <c r="EZ37" i="272"/>
  <c r="EY37" i="272"/>
  <c r="EX37" i="272"/>
  <c r="EW37" i="272"/>
  <c r="EV37" i="272"/>
  <c r="EU37" i="272"/>
  <c r="ET37" i="272"/>
  <c r="ES37" i="272"/>
  <c r="ER37" i="272"/>
  <c r="EQ37" i="272"/>
  <c r="EP37" i="272"/>
  <c r="EO37" i="272"/>
  <c r="EN37" i="272"/>
  <c r="EM37" i="272"/>
  <c r="EL37" i="272"/>
  <c r="EK37" i="272"/>
  <c r="EJ37" i="272"/>
  <c r="EI37" i="272"/>
  <c r="EH37" i="272"/>
  <c r="EG37" i="272"/>
  <c r="EF37" i="272"/>
  <c r="EE37" i="272"/>
  <c r="ED37" i="272"/>
  <c r="EC37" i="272"/>
  <c r="EB37" i="272"/>
  <c r="EA37" i="272"/>
  <c r="DZ37" i="272"/>
  <c r="DY37" i="272"/>
  <c r="DW37" i="272"/>
  <c r="DT37" i="272"/>
  <c r="DS37" i="272"/>
  <c r="DR37" i="272"/>
  <c r="DQ37" i="272"/>
  <c r="DP37" i="272"/>
  <c r="DO37" i="272"/>
  <c r="DN37" i="272"/>
  <c r="DM37" i="272"/>
  <c r="DL37" i="272"/>
  <c r="DK37" i="272"/>
  <c r="DJ37" i="272"/>
  <c r="DI37" i="272"/>
  <c r="DH37" i="272"/>
  <c r="DG37" i="272"/>
  <c r="DF37" i="272"/>
  <c r="DE37" i="272"/>
  <c r="DD37" i="272"/>
  <c r="DC37" i="272"/>
  <c r="DB37" i="272"/>
  <c r="DA37" i="272"/>
  <c r="CZ37" i="272"/>
  <c r="CY37" i="272"/>
  <c r="CX37" i="272"/>
  <c r="CW37" i="272"/>
  <c r="CV37" i="272"/>
  <c r="CU37" i="272"/>
  <c r="CT37" i="272"/>
  <c r="CS37" i="272"/>
  <c r="CR37" i="272"/>
  <c r="CQ37" i="272"/>
  <c r="CP37" i="272"/>
  <c r="CO37" i="272"/>
  <c r="CN37" i="272"/>
  <c r="CM37" i="272"/>
  <c r="CL37" i="272"/>
  <c r="CK37" i="272"/>
  <c r="CJ37" i="272"/>
  <c r="CI37" i="272"/>
  <c r="CH37" i="272"/>
  <c r="CG37" i="272"/>
  <c r="CF37" i="272"/>
  <c r="CE37" i="272"/>
  <c r="CD37" i="272"/>
  <c r="CC37" i="272"/>
  <c r="CB37" i="272"/>
  <c r="CA37" i="272"/>
  <c r="BZ37" i="272"/>
  <c r="BY37" i="272"/>
  <c r="BX37" i="272"/>
  <c r="BW37" i="272"/>
  <c r="BV37" i="272"/>
  <c r="BU37" i="272"/>
  <c r="BT37" i="272"/>
  <c r="BS37" i="272"/>
  <c r="BR37" i="272"/>
  <c r="BQ37" i="272"/>
  <c r="BP37" i="272"/>
  <c r="BO37" i="272"/>
  <c r="BN37" i="272"/>
  <c r="BM37" i="272"/>
  <c r="BL37" i="272"/>
  <c r="BK37" i="272"/>
  <c r="BJ37" i="272"/>
  <c r="BI37" i="272"/>
  <c r="BH37" i="272"/>
  <c r="BG37" i="272"/>
  <c r="BF37" i="272"/>
  <c r="BE37" i="272"/>
  <c r="BD37" i="272"/>
  <c r="BC37" i="272"/>
  <c r="BB37" i="272"/>
  <c r="BA37" i="272"/>
  <c r="AZ37" i="272"/>
  <c r="AY37" i="272"/>
  <c r="AX37" i="272"/>
  <c r="AW37" i="272"/>
  <c r="AV37" i="272"/>
  <c r="AU37" i="272"/>
  <c r="AT37" i="272"/>
  <c r="AS37" i="272"/>
  <c r="AR37" i="272"/>
  <c r="AQ37" i="272"/>
  <c r="AP37" i="272"/>
  <c r="AO37" i="272"/>
  <c r="AN37" i="272"/>
  <c r="AM37" i="272"/>
  <c r="AL37" i="272"/>
  <c r="AK37" i="272"/>
  <c r="AJ37" i="272"/>
  <c r="AI37" i="272"/>
  <c r="AH37" i="272"/>
  <c r="AG37" i="272"/>
  <c r="AF37" i="272"/>
  <c r="AE37" i="272"/>
  <c r="AD37" i="272"/>
  <c r="AC37" i="272"/>
  <c r="AB37" i="272"/>
  <c r="AA37" i="272"/>
  <c r="Y37" i="272"/>
  <c r="R37" i="272"/>
  <c r="Q37" i="272"/>
  <c r="M37" i="272"/>
  <c r="HR36" i="272"/>
  <c r="HQ36" i="272"/>
  <c r="HP36" i="272"/>
  <c r="HO36" i="272"/>
  <c r="HN36" i="272"/>
  <c r="HM36" i="272"/>
  <c r="HL36" i="272"/>
  <c r="HK36" i="272"/>
  <c r="HJ36" i="272"/>
  <c r="HI36" i="272"/>
  <c r="HH36" i="272"/>
  <c r="HG36" i="272"/>
  <c r="HF36" i="272"/>
  <c r="HE36" i="272"/>
  <c r="HD36" i="272"/>
  <c r="HC36" i="272"/>
  <c r="HB36" i="272"/>
  <c r="HA36" i="272"/>
  <c r="GZ36" i="272"/>
  <c r="GY36" i="272"/>
  <c r="GX36" i="272"/>
  <c r="GW36" i="272"/>
  <c r="GV36" i="272"/>
  <c r="GU36" i="272"/>
  <c r="GT36" i="272"/>
  <c r="GS36" i="272"/>
  <c r="GR36" i="272"/>
  <c r="GQ36" i="272"/>
  <c r="GP36" i="272"/>
  <c r="GO36" i="272"/>
  <c r="GN36" i="272"/>
  <c r="GM36" i="272"/>
  <c r="GL36" i="272"/>
  <c r="GK36" i="272"/>
  <c r="GJ36" i="272"/>
  <c r="GI36" i="272"/>
  <c r="GH36" i="272"/>
  <c r="GG36" i="272"/>
  <c r="GF36" i="272"/>
  <c r="GE36" i="272"/>
  <c r="GD36" i="272"/>
  <c r="GC36" i="272"/>
  <c r="GB36" i="272"/>
  <c r="GA36" i="272"/>
  <c r="FZ36" i="272"/>
  <c r="FY36" i="272"/>
  <c r="FX36" i="272"/>
  <c r="FW36" i="272"/>
  <c r="FV36" i="272"/>
  <c r="FU36" i="272"/>
  <c r="FT36" i="272"/>
  <c r="FS36" i="272"/>
  <c r="FR36" i="272"/>
  <c r="FQ36" i="272"/>
  <c r="FP36" i="272"/>
  <c r="FO36" i="272"/>
  <c r="FN36" i="272"/>
  <c r="FM36" i="272"/>
  <c r="FL36" i="272"/>
  <c r="FK36" i="272"/>
  <c r="FJ36" i="272"/>
  <c r="FI36" i="272"/>
  <c r="FH36" i="272"/>
  <c r="FG36" i="272"/>
  <c r="FF36" i="272"/>
  <c r="FE36" i="272"/>
  <c r="FD36" i="272"/>
  <c r="FC36" i="272"/>
  <c r="FB36" i="272"/>
  <c r="FA36" i="272"/>
  <c r="EZ36" i="272"/>
  <c r="EY36" i="272"/>
  <c r="EX36" i="272"/>
  <c r="EW36" i="272"/>
  <c r="EV36" i="272"/>
  <c r="EU36" i="272"/>
  <c r="ET36" i="272"/>
  <c r="ES36" i="272"/>
  <c r="ER36" i="272"/>
  <c r="EQ36" i="272"/>
  <c r="EP36" i="272"/>
  <c r="EO36" i="272"/>
  <c r="EN36" i="272"/>
  <c r="EM36" i="272"/>
  <c r="EL36" i="272"/>
  <c r="EK36" i="272"/>
  <c r="EJ36" i="272"/>
  <c r="EI36" i="272"/>
  <c r="EH36" i="272"/>
  <c r="EG36" i="272"/>
  <c r="EF36" i="272"/>
  <c r="EE36" i="272"/>
  <c r="ED36" i="272"/>
  <c r="EC36" i="272"/>
  <c r="EB36" i="272"/>
  <c r="EA36" i="272"/>
  <c r="DZ36" i="272"/>
  <c r="DY36" i="272"/>
  <c r="DW36" i="272"/>
  <c r="DT36" i="272"/>
  <c r="DS36" i="272"/>
  <c r="DR36" i="272"/>
  <c r="DQ36" i="272"/>
  <c r="DP36" i="272"/>
  <c r="DO36" i="272"/>
  <c r="DN36" i="272"/>
  <c r="DM36" i="272"/>
  <c r="DL36" i="272"/>
  <c r="DK36" i="272"/>
  <c r="DJ36" i="272"/>
  <c r="DI36" i="272"/>
  <c r="DH36" i="272"/>
  <c r="DG36" i="272"/>
  <c r="DF36" i="272"/>
  <c r="DE36" i="272"/>
  <c r="DD36" i="272"/>
  <c r="DC36" i="272"/>
  <c r="DB36" i="272"/>
  <c r="DA36" i="272"/>
  <c r="CZ36" i="272"/>
  <c r="CY36" i="272"/>
  <c r="CX36" i="272"/>
  <c r="CW36" i="272"/>
  <c r="CV36" i="272"/>
  <c r="CU36" i="272"/>
  <c r="CT36" i="272"/>
  <c r="CS36" i="272"/>
  <c r="CR36" i="272"/>
  <c r="CQ36" i="272"/>
  <c r="CP36" i="272"/>
  <c r="CO36" i="272"/>
  <c r="CN36" i="272"/>
  <c r="CM36" i="272"/>
  <c r="CL36" i="272"/>
  <c r="CK36" i="272"/>
  <c r="CJ36" i="272"/>
  <c r="CI36" i="272"/>
  <c r="CH36" i="272"/>
  <c r="CG36" i="272"/>
  <c r="CF36" i="272"/>
  <c r="CE36" i="272"/>
  <c r="CD36" i="272"/>
  <c r="CC36" i="272"/>
  <c r="CB36" i="272"/>
  <c r="CA36" i="272"/>
  <c r="BZ36" i="272"/>
  <c r="BY36" i="272"/>
  <c r="BX36" i="272"/>
  <c r="BW36" i="272"/>
  <c r="BV36" i="272"/>
  <c r="BU36" i="272"/>
  <c r="BT36" i="272"/>
  <c r="BS36" i="272"/>
  <c r="BR36" i="272"/>
  <c r="BQ36" i="272"/>
  <c r="BP36" i="272"/>
  <c r="BO36" i="272"/>
  <c r="BN36" i="272"/>
  <c r="BM36" i="272"/>
  <c r="BL36" i="272"/>
  <c r="BK36" i="272"/>
  <c r="BJ36" i="272"/>
  <c r="BI36" i="272"/>
  <c r="BH36" i="272"/>
  <c r="BG36" i="272"/>
  <c r="BF36" i="272"/>
  <c r="BE36" i="272"/>
  <c r="BD36" i="272"/>
  <c r="BC36" i="272"/>
  <c r="BB36" i="272"/>
  <c r="BA36" i="272"/>
  <c r="AZ36" i="272"/>
  <c r="AY36" i="272"/>
  <c r="AX36" i="272"/>
  <c r="AW36" i="272"/>
  <c r="AV36" i="272"/>
  <c r="AU36" i="272"/>
  <c r="AT36" i="272"/>
  <c r="AS36" i="272"/>
  <c r="AR36" i="272"/>
  <c r="AQ36" i="272"/>
  <c r="AP36" i="272"/>
  <c r="AO36" i="272"/>
  <c r="AN36" i="272"/>
  <c r="AM36" i="272"/>
  <c r="AL36" i="272"/>
  <c r="AK36" i="272"/>
  <c r="AJ36" i="272"/>
  <c r="AI36" i="272"/>
  <c r="AH36" i="272"/>
  <c r="AG36" i="272"/>
  <c r="AF36" i="272"/>
  <c r="AE36" i="272"/>
  <c r="AD36" i="272"/>
  <c r="AC36" i="272"/>
  <c r="AB36" i="272"/>
  <c r="AA36" i="272"/>
  <c r="Y36" i="272"/>
  <c r="U36" i="272"/>
  <c r="Z36" i="272" s="1"/>
  <c r="R36" i="272"/>
  <c r="Q36" i="272"/>
  <c r="M36" i="272"/>
  <c r="HR35" i="272"/>
  <c r="HQ35" i="272"/>
  <c r="HP35" i="272"/>
  <c r="HO35" i="272"/>
  <c r="HN35" i="272"/>
  <c r="HM35" i="272"/>
  <c r="HL35" i="272"/>
  <c r="HK35" i="272"/>
  <c r="HJ35" i="272"/>
  <c r="HI35" i="272"/>
  <c r="HH35" i="272"/>
  <c r="HG35" i="272"/>
  <c r="HF35" i="272"/>
  <c r="HE35" i="272"/>
  <c r="HD35" i="272"/>
  <c r="HC35" i="272"/>
  <c r="HB35" i="272"/>
  <c r="HA35" i="272"/>
  <c r="GZ35" i="272"/>
  <c r="GY35" i="272"/>
  <c r="GX35" i="272"/>
  <c r="GW35" i="272"/>
  <c r="GV35" i="272"/>
  <c r="GU35" i="272"/>
  <c r="GT35" i="272"/>
  <c r="GS35" i="272"/>
  <c r="GR35" i="272"/>
  <c r="GQ35" i="272"/>
  <c r="GP35" i="272"/>
  <c r="GO35" i="272"/>
  <c r="GN35" i="272"/>
  <c r="GM35" i="272"/>
  <c r="GL35" i="272"/>
  <c r="GK35" i="272"/>
  <c r="GJ35" i="272"/>
  <c r="GI35" i="272"/>
  <c r="GH35" i="272"/>
  <c r="GG35" i="272"/>
  <c r="GF35" i="272"/>
  <c r="GE35" i="272"/>
  <c r="GD35" i="272"/>
  <c r="GC35" i="272"/>
  <c r="GB35" i="272"/>
  <c r="GA35" i="272"/>
  <c r="FZ35" i="272"/>
  <c r="FY35" i="272"/>
  <c r="FX35" i="272"/>
  <c r="FW35" i="272"/>
  <c r="FV35" i="272"/>
  <c r="FU35" i="272"/>
  <c r="FT35" i="272"/>
  <c r="FS35" i="272"/>
  <c r="FR35" i="272"/>
  <c r="FQ35" i="272"/>
  <c r="FP35" i="272"/>
  <c r="FO35" i="272"/>
  <c r="FN35" i="272"/>
  <c r="FM35" i="272"/>
  <c r="FL35" i="272"/>
  <c r="FK35" i="272"/>
  <c r="FJ35" i="272"/>
  <c r="FI35" i="272"/>
  <c r="FH35" i="272"/>
  <c r="FG35" i="272"/>
  <c r="FF35" i="272"/>
  <c r="FE35" i="272"/>
  <c r="FD35" i="272"/>
  <c r="FC35" i="272"/>
  <c r="FB35" i="272"/>
  <c r="FA35" i="272"/>
  <c r="EZ35" i="272"/>
  <c r="EY35" i="272"/>
  <c r="EX35" i="272"/>
  <c r="EW35" i="272"/>
  <c r="EV35" i="272"/>
  <c r="EU35" i="272"/>
  <c r="ET35" i="272"/>
  <c r="ES35" i="272"/>
  <c r="ER35" i="272"/>
  <c r="EQ35" i="272"/>
  <c r="EP35" i="272"/>
  <c r="EO35" i="272"/>
  <c r="EN35" i="272"/>
  <c r="EM35" i="272"/>
  <c r="EL35" i="272"/>
  <c r="EK35" i="272"/>
  <c r="EJ35" i="272"/>
  <c r="EI35" i="272"/>
  <c r="EH35" i="272"/>
  <c r="EG35" i="272"/>
  <c r="EF35" i="272"/>
  <c r="EE35" i="272"/>
  <c r="ED35" i="272"/>
  <c r="EC35" i="272"/>
  <c r="EB35" i="272"/>
  <c r="EA35" i="272"/>
  <c r="DZ35" i="272"/>
  <c r="DY35" i="272"/>
  <c r="DW35" i="272"/>
  <c r="DT35" i="272"/>
  <c r="DS35" i="272"/>
  <c r="DR35" i="272"/>
  <c r="DQ35" i="272"/>
  <c r="DP35" i="272"/>
  <c r="DO35" i="272"/>
  <c r="DN35" i="272"/>
  <c r="DM35" i="272"/>
  <c r="DL35" i="272"/>
  <c r="DK35" i="272"/>
  <c r="DJ35" i="272"/>
  <c r="DI35" i="272"/>
  <c r="DH35" i="272"/>
  <c r="DG35" i="272"/>
  <c r="DF35" i="272"/>
  <c r="DE35" i="272"/>
  <c r="DD35" i="272"/>
  <c r="DC35" i="272"/>
  <c r="DB35" i="272"/>
  <c r="DA35" i="272"/>
  <c r="CZ35" i="272"/>
  <c r="CY35" i="272"/>
  <c r="CX35" i="272"/>
  <c r="CW35" i="272"/>
  <c r="CV35" i="272"/>
  <c r="CU35" i="272"/>
  <c r="CT35" i="272"/>
  <c r="CS35" i="272"/>
  <c r="CR35" i="272"/>
  <c r="CQ35" i="272"/>
  <c r="CP35" i="272"/>
  <c r="CO35" i="272"/>
  <c r="CN35" i="272"/>
  <c r="CM35" i="272"/>
  <c r="CL35" i="272"/>
  <c r="CK35" i="272"/>
  <c r="CJ35" i="272"/>
  <c r="CI35" i="272"/>
  <c r="CH35" i="272"/>
  <c r="CG35" i="272"/>
  <c r="CF35" i="272"/>
  <c r="CE35" i="272"/>
  <c r="CD35" i="272"/>
  <c r="CC35" i="272"/>
  <c r="CB35" i="272"/>
  <c r="CA35" i="272"/>
  <c r="BZ35" i="272"/>
  <c r="BY35" i="272"/>
  <c r="BX35" i="272"/>
  <c r="BW35" i="272"/>
  <c r="BV35" i="272"/>
  <c r="BU35" i="272"/>
  <c r="BT35" i="272"/>
  <c r="BS35" i="272"/>
  <c r="BR35" i="272"/>
  <c r="BQ35" i="272"/>
  <c r="BP35" i="272"/>
  <c r="BO35" i="272"/>
  <c r="BN35" i="272"/>
  <c r="BM35" i="272"/>
  <c r="BL35" i="272"/>
  <c r="BK35" i="272"/>
  <c r="BJ35" i="272"/>
  <c r="BI35" i="272"/>
  <c r="BH35" i="272"/>
  <c r="BG35" i="272"/>
  <c r="BF35" i="272"/>
  <c r="BE35" i="272"/>
  <c r="BD35" i="272"/>
  <c r="BC35" i="272"/>
  <c r="BB35" i="272"/>
  <c r="BA35" i="272"/>
  <c r="AZ35" i="272"/>
  <c r="AY35" i="272"/>
  <c r="AX35" i="272"/>
  <c r="AW35" i="272"/>
  <c r="AV35" i="272"/>
  <c r="AU35" i="272"/>
  <c r="AT35" i="272"/>
  <c r="AS35" i="272"/>
  <c r="AR35" i="272"/>
  <c r="AQ35" i="272"/>
  <c r="AP35" i="272"/>
  <c r="AO35" i="272"/>
  <c r="AN35" i="272"/>
  <c r="AM35" i="272"/>
  <c r="AL35" i="272"/>
  <c r="AK35" i="272"/>
  <c r="AJ35" i="272"/>
  <c r="AI35" i="272"/>
  <c r="AH35" i="272"/>
  <c r="AG35" i="272"/>
  <c r="AF35" i="272"/>
  <c r="AE35" i="272"/>
  <c r="AD35" i="272"/>
  <c r="AC35" i="272"/>
  <c r="AB35" i="272"/>
  <c r="AA35" i="272"/>
  <c r="Y35" i="272"/>
  <c r="U35" i="272"/>
  <c r="Z35" i="272" s="1"/>
  <c r="Q35" i="272"/>
  <c r="M35" i="272"/>
  <c r="HR34" i="272"/>
  <c r="HQ34" i="272"/>
  <c r="HP34" i="272"/>
  <c r="HO34" i="272"/>
  <c r="HN34" i="272"/>
  <c r="HM34" i="272"/>
  <c r="HL34" i="272"/>
  <c r="HK34" i="272"/>
  <c r="HJ34" i="272"/>
  <c r="HI34" i="272"/>
  <c r="HH34" i="272"/>
  <c r="HG34" i="272"/>
  <c r="HF34" i="272"/>
  <c r="HE34" i="272"/>
  <c r="HD34" i="272"/>
  <c r="HC34" i="272"/>
  <c r="HB34" i="272"/>
  <c r="HA34" i="272"/>
  <c r="GZ34" i="272"/>
  <c r="GY34" i="272"/>
  <c r="GX34" i="272"/>
  <c r="GW34" i="272"/>
  <c r="GV34" i="272"/>
  <c r="GU34" i="272"/>
  <c r="GT34" i="272"/>
  <c r="GS34" i="272"/>
  <c r="GR34" i="272"/>
  <c r="GQ34" i="272"/>
  <c r="GP34" i="272"/>
  <c r="GO34" i="272"/>
  <c r="GN34" i="272"/>
  <c r="GM34" i="272"/>
  <c r="GL34" i="272"/>
  <c r="GK34" i="272"/>
  <c r="GJ34" i="272"/>
  <c r="GI34" i="272"/>
  <c r="GH34" i="272"/>
  <c r="GG34" i="272"/>
  <c r="GF34" i="272"/>
  <c r="GE34" i="272"/>
  <c r="GD34" i="272"/>
  <c r="GC34" i="272"/>
  <c r="GB34" i="272"/>
  <c r="GA34" i="272"/>
  <c r="FZ34" i="272"/>
  <c r="FY34" i="272"/>
  <c r="FX34" i="272"/>
  <c r="FW34" i="272"/>
  <c r="FV34" i="272"/>
  <c r="FU34" i="272"/>
  <c r="FT34" i="272"/>
  <c r="FS34" i="272"/>
  <c r="FR34" i="272"/>
  <c r="FQ34" i="272"/>
  <c r="FP34" i="272"/>
  <c r="FO34" i="272"/>
  <c r="FN34" i="272"/>
  <c r="FM34" i="272"/>
  <c r="FL34" i="272"/>
  <c r="FK34" i="272"/>
  <c r="FJ34" i="272"/>
  <c r="FI34" i="272"/>
  <c r="FH34" i="272"/>
  <c r="FG34" i="272"/>
  <c r="FF34" i="272"/>
  <c r="FE34" i="272"/>
  <c r="FD34" i="272"/>
  <c r="FC34" i="272"/>
  <c r="FB34" i="272"/>
  <c r="FA34" i="272"/>
  <c r="EZ34" i="272"/>
  <c r="EY34" i="272"/>
  <c r="EX34" i="272"/>
  <c r="EW34" i="272"/>
  <c r="EV34" i="272"/>
  <c r="EU34" i="272"/>
  <c r="ET34" i="272"/>
  <c r="ES34" i="272"/>
  <c r="ER34" i="272"/>
  <c r="EQ34" i="272"/>
  <c r="EP34" i="272"/>
  <c r="EO34" i="272"/>
  <c r="EN34" i="272"/>
  <c r="EM34" i="272"/>
  <c r="EL34" i="272"/>
  <c r="EK34" i="272"/>
  <c r="EJ34" i="272"/>
  <c r="EI34" i="272"/>
  <c r="EH34" i="272"/>
  <c r="EG34" i="272"/>
  <c r="EF34" i="272"/>
  <c r="EE34" i="272"/>
  <c r="ED34" i="272"/>
  <c r="EC34" i="272"/>
  <c r="EB34" i="272"/>
  <c r="EA34" i="272"/>
  <c r="DZ34" i="272"/>
  <c r="DY34" i="272"/>
  <c r="DW34" i="272"/>
  <c r="DT34" i="272"/>
  <c r="DS34" i="272"/>
  <c r="DR34" i="272"/>
  <c r="DQ34" i="272"/>
  <c r="DP34" i="272"/>
  <c r="DO34" i="272"/>
  <c r="DN34" i="272"/>
  <c r="DM34" i="272"/>
  <c r="DL34" i="272"/>
  <c r="DK34" i="272"/>
  <c r="DJ34" i="272"/>
  <c r="DI34" i="272"/>
  <c r="DH34" i="272"/>
  <c r="DG34" i="272"/>
  <c r="DF34" i="272"/>
  <c r="DE34" i="272"/>
  <c r="DD34" i="272"/>
  <c r="DC34" i="272"/>
  <c r="DB34" i="272"/>
  <c r="DA34" i="272"/>
  <c r="CZ34" i="272"/>
  <c r="CY34" i="272"/>
  <c r="CX34" i="272"/>
  <c r="CW34" i="272"/>
  <c r="CV34" i="272"/>
  <c r="CU34" i="272"/>
  <c r="CT34" i="272"/>
  <c r="CS34" i="272"/>
  <c r="CR34" i="272"/>
  <c r="CQ34" i="272"/>
  <c r="CP34" i="272"/>
  <c r="CO34" i="272"/>
  <c r="CN34" i="272"/>
  <c r="CM34" i="272"/>
  <c r="CL34" i="272"/>
  <c r="CK34" i="272"/>
  <c r="CJ34" i="272"/>
  <c r="CI34" i="272"/>
  <c r="CH34" i="272"/>
  <c r="CG34" i="272"/>
  <c r="CF34" i="272"/>
  <c r="CE34" i="272"/>
  <c r="CD34" i="272"/>
  <c r="CC34" i="272"/>
  <c r="CB34" i="272"/>
  <c r="CA34" i="272"/>
  <c r="BZ34" i="272"/>
  <c r="BY34" i="272"/>
  <c r="BX34" i="272"/>
  <c r="BW34" i="272"/>
  <c r="BV34" i="272"/>
  <c r="BU34" i="272"/>
  <c r="BT34" i="272"/>
  <c r="BS34" i="272"/>
  <c r="BR34" i="272"/>
  <c r="BQ34" i="272"/>
  <c r="BP34" i="272"/>
  <c r="BO34" i="272"/>
  <c r="BN34" i="272"/>
  <c r="BM34" i="272"/>
  <c r="BL34" i="272"/>
  <c r="BK34" i="272"/>
  <c r="BJ34" i="272"/>
  <c r="BI34" i="272"/>
  <c r="BH34" i="272"/>
  <c r="BG34" i="272"/>
  <c r="BF34" i="272"/>
  <c r="BE34" i="272"/>
  <c r="BD34" i="272"/>
  <c r="BC34" i="272"/>
  <c r="BB34" i="272"/>
  <c r="BA34" i="272"/>
  <c r="AZ34" i="272"/>
  <c r="AY34" i="272"/>
  <c r="AX34" i="272"/>
  <c r="AW34" i="272"/>
  <c r="AV34" i="272"/>
  <c r="AU34" i="272"/>
  <c r="AT34" i="272"/>
  <c r="AS34" i="272"/>
  <c r="AR34" i="272"/>
  <c r="AQ34" i="272"/>
  <c r="AP34" i="272"/>
  <c r="AO34" i="272"/>
  <c r="AN34" i="272"/>
  <c r="AM34" i="272"/>
  <c r="AL34" i="272"/>
  <c r="AK34" i="272"/>
  <c r="AJ34" i="272"/>
  <c r="AI34" i="272"/>
  <c r="AH34" i="272"/>
  <c r="AG34" i="272"/>
  <c r="AF34" i="272"/>
  <c r="AE34" i="272"/>
  <c r="AD34" i="272"/>
  <c r="AC34" i="272"/>
  <c r="AB34" i="272"/>
  <c r="AA34" i="272"/>
  <c r="Y34" i="272"/>
  <c r="Q34" i="272"/>
  <c r="M34" i="272"/>
  <c r="HR33" i="272"/>
  <c r="HQ33" i="272"/>
  <c r="HP33" i="272"/>
  <c r="HO33" i="272"/>
  <c r="HN33" i="272"/>
  <c r="HM33" i="272"/>
  <c r="HL33" i="272"/>
  <c r="HK33" i="272"/>
  <c r="HJ33" i="272"/>
  <c r="HI33" i="272"/>
  <c r="HH33" i="272"/>
  <c r="HG33" i="272"/>
  <c r="HF33" i="272"/>
  <c r="HE33" i="272"/>
  <c r="HD33" i="272"/>
  <c r="HC33" i="272"/>
  <c r="HB33" i="272"/>
  <c r="HA33" i="272"/>
  <c r="GZ33" i="272"/>
  <c r="GY33" i="272"/>
  <c r="GX33" i="272"/>
  <c r="GW33" i="272"/>
  <c r="GV33" i="272"/>
  <c r="GU33" i="272"/>
  <c r="GT33" i="272"/>
  <c r="GS33" i="272"/>
  <c r="GR33" i="272"/>
  <c r="GQ33" i="272"/>
  <c r="GP33" i="272"/>
  <c r="GO33" i="272"/>
  <c r="GN33" i="272"/>
  <c r="GM33" i="272"/>
  <c r="GL33" i="272"/>
  <c r="GK33" i="272"/>
  <c r="GJ33" i="272"/>
  <c r="GI33" i="272"/>
  <c r="GH33" i="272"/>
  <c r="GG33" i="272"/>
  <c r="GF33" i="272"/>
  <c r="GE33" i="272"/>
  <c r="GD33" i="272"/>
  <c r="GC33" i="272"/>
  <c r="GB33" i="272"/>
  <c r="GA33" i="272"/>
  <c r="FZ33" i="272"/>
  <c r="FY33" i="272"/>
  <c r="FX33" i="272"/>
  <c r="FW33" i="272"/>
  <c r="FV33" i="272"/>
  <c r="FU33" i="272"/>
  <c r="FT33" i="272"/>
  <c r="FS33" i="272"/>
  <c r="FR33" i="272"/>
  <c r="FQ33" i="272"/>
  <c r="FP33" i="272"/>
  <c r="FO33" i="272"/>
  <c r="FN33" i="272"/>
  <c r="FM33" i="272"/>
  <c r="FL33" i="272"/>
  <c r="FK33" i="272"/>
  <c r="FJ33" i="272"/>
  <c r="FI33" i="272"/>
  <c r="FH33" i="272"/>
  <c r="FG33" i="272"/>
  <c r="FF33" i="272"/>
  <c r="FE33" i="272"/>
  <c r="FD33" i="272"/>
  <c r="FC33" i="272"/>
  <c r="FB33" i="272"/>
  <c r="FA33" i="272"/>
  <c r="EZ33" i="272"/>
  <c r="EY33" i="272"/>
  <c r="EX33" i="272"/>
  <c r="EW33" i="272"/>
  <c r="EV33" i="272"/>
  <c r="EU33" i="272"/>
  <c r="ET33" i="272"/>
  <c r="ES33" i="272"/>
  <c r="ER33" i="272"/>
  <c r="EQ33" i="272"/>
  <c r="EP33" i="272"/>
  <c r="EO33" i="272"/>
  <c r="EN33" i="272"/>
  <c r="EM33" i="272"/>
  <c r="EL33" i="272"/>
  <c r="EK33" i="272"/>
  <c r="EJ33" i="272"/>
  <c r="EI33" i="272"/>
  <c r="EH33" i="272"/>
  <c r="EG33" i="272"/>
  <c r="EF33" i="272"/>
  <c r="EE33" i="272"/>
  <c r="ED33" i="272"/>
  <c r="EC33" i="272"/>
  <c r="EB33" i="272"/>
  <c r="EA33" i="272"/>
  <c r="DZ33" i="272"/>
  <c r="DY33" i="272"/>
  <c r="DW33" i="272"/>
  <c r="DT33" i="272"/>
  <c r="DS33" i="272"/>
  <c r="DR33" i="272"/>
  <c r="DQ33" i="272"/>
  <c r="DP33" i="272"/>
  <c r="DO33" i="272"/>
  <c r="DN33" i="272"/>
  <c r="DM33" i="272"/>
  <c r="DL33" i="272"/>
  <c r="DK33" i="272"/>
  <c r="DJ33" i="272"/>
  <c r="DI33" i="272"/>
  <c r="DH33" i="272"/>
  <c r="DG33" i="272"/>
  <c r="DF33" i="272"/>
  <c r="DE33" i="272"/>
  <c r="DD33" i="272"/>
  <c r="DC33" i="272"/>
  <c r="DB33" i="272"/>
  <c r="DA33" i="272"/>
  <c r="CZ33" i="272"/>
  <c r="CY33" i="272"/>
  <c r="CX33" i="272"/>
  <c r="CW33" i="272"/>
  <c r="CV33" i="272"/>
  <c r="CU33" i="272"/>
  <c r="CT33" i="272"/>
  <c r="CS33" i="272"/>
  <c r="CR33" i="272"/>
  <c r="CQ33" i="272"/>
  <c r="CP33" i="272"/>
  <c r="CO33" i="272"/>
  <c r="CN33" i="272"/>
  <c r="CM33" i="272"/>
  <c r="CL33" i="272"/>
  <c r="CK33" i="272"/>
  <c r="CJ33" i="272"/>
  <c r="CI33" i="272"/>
  <c r="CH33" i="272"/>
  <c r="CG33" i="272"/>
  <c r="CF33" i="272"/>
  <c r="CE33" i="272"/>
  <c r="CD33" i="272"/>
  <c r="CC33" i="272"/>
  <c r="CB33" i="272"/>
  <c r="CA33" i="272"/>
  <c r="BZ33" i="272"/>
  <c r="BY33" i="272"/>
  <c r="BX33" i="272"/>
  <c r="BW33" i="272"/>
  <c r="BV33" i="272"/>
  <c r="BU33" i="272"/>
  <c r="BT33" i="272"/>
  <c r="BS33" i="272"/>
  <c r="BR33" i="272"/>
  <c r="BQ33" i="272"/>
  <c r="BP33" i="272"/>
  <c r="BO33" i="272"/>
  <c r="BN33" i="272"/>
  <c r="BM33" i="272"/>
  <c r="BL33" i="272"/>
  <c r="BK33" i="272"/>
  <c r="BJ33" i="272"/>
  <c r="BI33" i="272"/>
  <c r="BH33" i="272"/>
  <c r="BG33" i="272"/>
  <c r="BF33" i="272"/>
  <c r="BE33" i="272"/>
  <c r="BD33" i="272"/>
  <c r="BC33" i="272"/>
  <c r="BB33" i="272"/>
  <c r="BA33" i="272"/>
  <c r="AZ33" i="272"/>
  <c r="AY33" i="272"/>
  <c r="AX33" i="272"/>
  <c r="AW33" i="272"/>
  <c r="AV33" i="272"/>
  <c r="AU33" i="272"/>
  <c r="AT33" i="272"/>
  <c r="AS33" i="272"/>
  <c r="AR33" i="272"/>
  <c r="AQ33" i="272"/>
  <c r="AP33" i="272"/>
  <c r="AO33" i="272"/>
  <c r="AN33" i="272"/>
  <c r="AM33" i="272"/>
  <c r="AL33" i="272"/>
  <c r="AK33" i="272"/>
  <c r="AJ33" i="272"/>
  <c r="AI33" i="272"/>
  <c r="AH33" i="272"/>
  <c r="AG33" i="272"/>
  <c r="AF33" i="272"/>
  <c r="AE33" i="272"/>
  <c r="AD33" i="272"/>
  <c r="AC33" i="272"/>
  <c r="AB33" i="272"/>
  <c r="AA33" i="272"/>
  <c r="Y33" i="272"/>
  <c r="Q33" i="272"/>
  <c r="M33" i="272"/>
  <c r="HR32" i="272"/>
  <c r="HQ32" i="272"/>
  <c r="HP32" i="272"/>
  <c r="HO32" i="272"/>
  <c r="HN32" i="272"/>
  <c r="HM32" i="272"/>
  <c r="HL32" i="272"/>
  <c r="HK32" i="272"/>
  <c r="HJ32" i="272"/>
  <c r="HI32" i="272"/>
  <c r="HH32" i="272"/>
  <c r="HG32" i="272"/>
  <c r="HF32" i="272"/>
  <c r="HE32" i="272"/>
  <c r="HD32" i="272"/>
  <c r="HC32" i="272"/>
  <c r="HB32" i="272"/>
  <c r="HA32" i="272"/>
  <c r="GZ32" i="272"/>
  <c r="GY32" i="272"/>
  <c r="GX32" i="272"/>
  <c r="GW32" i="272"/>
  <c r="GV32" i="272"/>
  <c r="GU32" i="272"/>
  <c r="GT32" i="272"/>
  <c r="GS32" i="272"/>
  <c r="GR32" i="272"/>
  <c r="GQ32" i="272"/>
  <c r="GP32" i="272"/>
  <c r="GO32" i="272"/>
  <c r="GN32" i="272"/>
  <c r="GM32" i="272"/>
  <c r="GL32" i="272"/>
  <c r="GK32" i="272"/>
  <c r="GJ32" i="272"/>
  <c r="GI32" i="272"/>
  <c r="GH32" i="272"/>
  <c r="GG32" i="272"/>
  <c r="GF32" i="272"/>
  <c r="GE32" i="272"/>
  <c r="GD32" i="272"/>
  <c r="GC32" i="272"/>
  <c r="GB32" i="272"/>
  <c r="GA32" i="272"/>
  <c r="FZ32" i="272"/>
  <c r="FY32" i="272"/>
  <c r="FX32" i="272"/>
  <c r="FW32" i="272"/>
  <c r="FV32" i="272"/>
  <c r="FU32" i="272"/>
  <c r="FT32" i="272"/>
  <c r="FS32" i="272"/>
  <c r="FR32" i="272"/>
  <c r="FQ32" i="272"/>
  <c r="FP32" i="272"/>
  <c r="FO32" i="272"/>
  <c r="FN32" i="272"/>
  <c r="FM32" i="272"/>
  <c r="FL32" i="272"/>
  <c r="FK32" i="272"/>
  <c r="FJ32" i="272"/>
  <c r="FI32" i="272"/>
  <c r="FH32" i="272"/>
  <c r="FG32" i="272"/>
  <c r="FF32" i="272"/>
  <c r="FE32" i="272"/>
  <c r="FD32" i="272"/>
  <c r="FC32" i="272"/>
  <c r="FB32" i="272"/>
  <c r="FA32" i="272"/>
  <c r="EZ32" i="272"/>
  <c r="EY32" i="272"/>
  <c r="EX32" i="272"/>
  <c r="EW32" i="272"/>
  <c r="EV32" i="272"/>
  <c r="EU32" i="272"/>
  <c r="ET32" i="272"/>
  <c r="ES32" i="272"/>
  <c r="ER32" i="272"/>
  <c r="EQ32" i="272"/>
  <c r="EP32" i="272"/>
  <c r="EO32" i="272"/>
  <c r="EN32" i="272"/>
  <c r="EM32" i="272"/>
  <c r="EL32" i="272"/>
  <c r="EK32" i="272"/>
  <c r="EJ32" i="272"/>
  <c r="EI32" i="272"/>
  <c r="EH32" i="272"/>
  <c r="EG32" i="272"/>
  <c r="EF32" i="272"/>
  <c r="EE32" i="272"/>
  <c r="ED32" i="272"/>
  <c r="EC32" i="272"/>
  <c r="EB32" i="272"/>
  <c r="EA32" i="272"/>
  <c r="DZ32" i="272"/>
  <c r="DY32" i="272"/>
  <c r="DW32" i="272"/>
  <c r="DT32" i="272"/>
  <c r="DS32" i="272"/>
  <c r="DR32" i="272"/>
  <c r="DQ32" i="272"/>
  <c r="DP32" i="272"/>
  <c r="DO32" i="272"/>
  <c r="DN32" i="272"/>
  <c r="DM32" i="272"/>
  <c r="DL32" i="272"/>
  <c r="DK32" i="272"/>
  <c r="DJ32" i="272"/>
  <c r="DI32" i="272"/>
  <c r="DH32" i="272"/>
  <c r="DG32" i="272"/>
  <c r="DF32" i="272"/>
  <c r="DE32" i="272"/>
  <c r="DD32" i="272"/>
  <c r="DC32" i="272"/>
  <c r="DB32" i="272"/>
  <c r="DA32" i="272"/>
  <c r="CZ32" i="272"/>
  <c r="CY32" i="272"/>
  <c r="CX32" i="272"/>
  <c r="CW32" i="272"/>
  <c r="CV32" i="272"/>
  <c r="CU32" i="272"/>
  <c r="CT32" i="272"/>
  <c r="CS32" i="272"/>
  <c r="CR32" i="272"/>
  <c r="CQ32" i="272"/>
  <c r="CP32" i="272"/>
  <c r="CO32" i="272"/>
  <c r="CN32" i="272"/>
  <c r="CM32" i="272"/>
  <c r="CL32" i="272"/>
  <c r="CK32" i="272"/>
  <c r="CJ32" i="272"/>
  <c r="CI32" i="272"/>
  <c r="CH32" i="272"/>
  <c r="CG32" i="272"/>
  <c r="CF32" i="272"/>
  <c r="CE32" i="272"/>
  <c r="CD32" i="272"/>
  <c r="CC32" i="272"/>
  <c r="CB32" i="272"/>
  <c r="CA32" i="272"/>
  <c r="BZ32" i="272"/>
  <c r="BY32" i="272"/>
  <c r="BX32" i="272"/>
  <c r="BW32" i="272"/>
  <c r="BV32" i="272"/>
  <c r="BU32" i="272"/>
  <c r="BT32" i="272"/>
  <c r="BS32" i="272"/>
  <c r="BR32" i="272"/>
  <c r="BQ32" i="272"/>
  <c r="BP32" i="272"/>
  <c r="BO32" i="272"/>
  <c r="BN32" i="272"/>
  <c r="BM32" i="272"/>
  <c r="BL32" i="272"/>
  <c r="BK32" i="272"/>
  <c r="BJ32" i="272"/>
  <c r="BI32" i="272"/>
  <c r="BH32" i="272"/>
  <c r="BG32" i="272"/>
  <c r="BF32" i="272"/>
  <c r="BE32" i="272"/>
  <c r="BD32" i="272"/>
  <c r="BC32" i="272"/>
  <c r="BB32" i="272"/>
  <c r="BA32" i="272"/>
  <c r="AZ32" i="272"/>
  <c r="AY32" i="272"/>
  <c r="AX32" i="272"/>
  <c r="AW32" i="272"/>
  <c r="AV32" i="272"/>
  <c r="AU32" i="272"/>
  <c r="AT32" i="272"/>
  <c r="AS32" i="272"/>
  <c r="AR32" i="272"/>
  <c r="AQ32" i="272"/>
  <c r="AP32" i="272"/>
  <c r="AO32" i="272"/>
  <c r="AN32" i="272"/>
  <c r="AM32" i="272"/>
  <c r="AL32" i="272"/>
  <c r="AK32" i="272"/>
  <c r="AJ32" i="272"/>
  <c r="AI32" i="272"/>
  <c r="AH32" i="272"/>
  <c r="AG32" i="272"/>
  <c r="AF32" i="272"/>
  <c r="AE32" i="272"/>
  <c r="AD32" i="272"/>
  <c r="AC32" i="272"/>
  <c r="AB32" i="272"/>
  <c r="AA32" i="272"/>
  <c r="Y32" i="272"/>
  <c r="U32" i="272"/>
  <c r="Z32" i="272" s="1"/>
  <c r="Q32" i="272"/>
  <c r="M32" i="272"/>
  <c r="HR31" i="272"/>
  <c r="HQ31" i="272"/>
  <c r="HP31" i="272"/>
  <c r="HO31" i="272"/>
  <c r="HN31" i="272"/>
  <c r="HM31" i="272"/>
  <c r="HL31" i="272"/>
  <c r="HK31" i="272"/>
  <c r="HJ31" i="272"/>
  <c r="HI31" i="272"/>
  <c r="HH31" i="272"/>
  <c r="HG31" i="272"/>
  <c r="HF31" i="272"/>
  <c r="HE31" i="272"/>
  <c r="HD31" i="272"/>
  <c r="HC31" i="272"/>
  <c r="HB31" i="272"/>
  <c r="HA31" i="272"/>
  <c r="GZ31" i="272"/>
  <c r="GY31" i="272"/>
  <c r="GX31" i="272"/>
  <c r="GW31" i="272"/>
  <c r="GV31" i="272"/>
  <c r="GU31" i="272"/>
  <c r="GT31" i="272"/>
  <c r="GS31" i="272"/>
  <c r="GR31" i="272"/>
  <c r="GQ31" i="272"/>
  <c r="GP31" i="272"/>
  <c r="GO31" i="272"/>
  <c r="GN31" i="272"/>
  <c r="GM31" i="272"/>
  <c r="GL31" i="272"/>
  <c r="GK31" i="272"/>
  <c r="GJ31" i="272"/>
  <c r="GI31" i="272"/>
  <c r="GH31" i="272"/>
  <c r="GG31" i="272"/>
  <c r="GF31" i="272"/>
  <c r="GE31" i="272"/>
  <c r="GD31" i="272"/>
  <c r="GC31" i="272"/>
  <c r="GB31" i="272"/>
  <c r="GA31" i="272"/>
  <c r="FZ31" i="272"/>
  <c r="FY31" i="272"/>
  <c r="FX31" i="272"/>
  <c r="FW31" i="272"/>
  <c r="FV31" i="272"/>
  <c r="FU31" i="272"/>
  <c r="FT31" i="272"/>
  <c r="FS31" i="272"/>
  <c r="FR31" i="272"/>
  <c r="FQ31" i="272"/>
  <c r="FP31" i="272"/>
  <c r="FO31" i="272"/>
  <c r="FN31" i="272"/>
  <c r="FM31" i="272"/>
  <c r="FL31" i="272"/>
  <c r="FK31" i="272"/>
  <c r="FJ31" i="272"/>
  <c r="FI31" i="272"/>
  <c r="FH31" i="272"/>
  <c r="FG31" i="272"/>
  <c r="FF31" i="272"/>
  <c r="FE31" i="272"/>
  <c r="FD31" i="272"/>
  <c r="FC31" i="272"/>
  <c r="FB31" i="272"/>
  <c r="FA31" i="272"/>
  <c r="EZ31" i="272"/>
  <c r="EY31" i="272"/>
  <c r="EX31" i="272"/>
  <c r="EW31" i="272"/>
  <c r="EV31" i="272"/>
  <c r="EU31" i="272"/>
  <c r="ET31" i="272"/>
  <c r="ES31" i="272"/>
  <c r="ER31" i="272"/>
  <c r="EQ31" i="272"/>
  <c r="EP31" i="272"/>
  <c r="EO31" i="272"/>
  <c r="EN31" i="272"/>
  <c r="EM31" i="272"/>
  <c r="EL31" i="272"/>
  <c r="EK31" i="272"/>
  <c r="EJ31" i="272"/>
  <c r="EI31" i="272"/>
  <c r="EH31" i="272"/>
  <c r="EG31" i="272"/>
  <c r="EF31" i="272"/>
  <c r="EE31" i="272"/>
  <c r="ED31" i="272"/>
  <c r="EC31" i="272"/>
  <c r="EB31" i="272"/>
  <c r="EA31" i="272"/>
  <c r="DZ31" i="272"/>
  <c r="DY31" i="272"/>
  <c r="DW31" i="272"/>
  <c r="DT31" i="272"/>
  <c r="DS31" i="272"/>
  <c r="DR31" i="272"/>
  <c r="DQ31" i="272"/>
  <c r="DP31" i="272"/>
  <c r="DO31" i="272"/>
  <c r="DN31" i="272"/>
  <c r="DM31" i="272"/>
  <c r="DL31" i="272"/>
  <c r="DK31" i="272"/>
  <c r="DJ31" i="272"/>
  <c r="DI31" i="272"/>
  <c r="DH31" i="272"/>
  <c r="DG31" i="272"/>
  <c r="DF31" i="272"/>
  <c r="DE31" i="272"/>
  <c r="DD31" i="272"/>
  <c r="DC31" i="272"/>
  <c r="DB31" i="272"/>
  <c r="DA31" i="272"/>
  <c r="CZ31" i="272"/>
  <c r="CY31" i="272"/>
  <c r="CX31" i="272"/>
  <c r="CW31" i="272"/>
  <c r="CV31" i="272"/>
  <c r="CU31" i="272"/>
  <c r="CT31" i="272"/>
  <c r="CS31" i="272"/>
  <c r="CR31" i="272"/>
  <c r="CQ31" i="272"/>
  <c r="CP31" i="272"/>
  <c r="CO31" i="272"/>
  <c r="CN31" i="272"/>
  <c r="CM31" i="272"/>
  <c r="CL31" i="272"/>
  <c r="CK31" i="272"/>
  <c r="CJ31" i="272"/>
  <c r="CI31" i="272"/>
  <c r="CH31" i="272"/>
  <c r="CG31" i="272"/>
  <c r="CF31" i="272"/>
  <c r="CE31" i="272"/>
  <c r="CD31" i="272"/>
  <c r="CC31" i="272"/>
  <c r="CB31" i="272"/>
  <c r="CA31" i="272"/>
  <c r="BZ31" i="272"/>
  <c r="BY31" i="272"/>
  <c r="BX31" i="272"/>
  <c r="BW31" i="272"/>
  <c r="BV31" i="272"/>
  <c r="BU31" i="272"/>
  <c r="BT31" i="272"/>
  <c r="BS31" i="272"/>
  <c r="BR31" i="272"/>
  <c r="BQ31" i="272"/>
  <c r="BP31" i="272"/>
  <c r="BO31" i="272"/>
  <c r="BN31" i="272"/>
  <c r="BM31" i="272"/>
  <c r="BL31" i="272"/>
  <c r="BK31" i="272"/>
  <c r="BJ31" i="272"/>
  <c r="BI31" i="272"/>
  <c r="BH31" i="272"/>
  <c r="BG31" i="272"/>
  <c r="BF31" i="272"/>
  <c r="BE31" i="272"/>
  <c r="BD31" i="272"/>
  <c r="BC31" i="272"/>
  <c r="BB31" i="272"/>
  <c r="BA31" i="272"/>
  <c r="AZ31" i="272"/>
  <c r="AY31" i="272"/>
  <c r="AX31" i="272"/>
  <c r="AW31" i="272"/>
  <c r="AV31" i="272"/>
  <c r="AU31" i="272"/>
  <c r="AT31" i="272"/>
  <c r="AS31" i="272"/>
  <c r="AR31" i="272"/>
  <c r="AQ31" i="272"/>
  <c r="AP31" i="272"/>
  <c r="AO31" i="272"/>
  <c r="AN31" i="272"/>
  <c r="AM31" i="272"/>
  <c r="AL31" i="272"/>
  <c r="AK31" i="272"/>
  <c r="AJ31" i="272"/>
  <c r="AI31" i="272"/>
  <c r="AH31" i="272"/>
  <c r="AG31" i="272"/>
  <c r="AF31" i="272"/>
  <c r="AE31" i="272"/>
  <c r="AD31" i="272"/>
  <c r="AC31" i="272"/>
  <c r="AB31" i="272"/>
  <c r="AA31" i="272"/>
  <c r="Y31" i="272"/>
  <c r="U31" i="272"/>
  <c r="Z31" i="272" s="1"/>
  <c r="Q31" i="272"/>
  <c r="M31" i="272"/>
  <c r="HR30" i="272"/>
  <c r="HQ30" i="272"/>
  <c r="HP30" i="272"/>
  <c r="HO30" i="272"/>
  <c r="HN30" i="272"/>
  <c r="HM30" i="272"/>
  <c r="HL30" i="272"/>
  <c r="HK30" i="272"/>
  <c r="HJ30" i="272"/>
  <c r="HI30" i="272"/>
  <c r="HH30" i="272"/>
  <c r="HG30" i="272"/>
  <c r="HF30" i="272"/>
  <c r="HE30" i="272"/>
  <c r="HD30" i="272"/>
  <c r="HC30" i="272"/>
  <c r="HB30" i="272"/>
  <c r="HA30" i="272"/>
  <c r="GZ30" i="272"/>
  <c r="GY30" i="272"/>
  <c r="GX30" i="272"/>
  <c r="GW30" i="272"/>
  <c r="GV30" i="272"/>
  <c r="GU30" i="272"/>
  <c r="GT30" i="272"/>
  <c r="GS30" i="272"/>
  <c r="GR30" i="272"/>
  <c r="GQ30" i="272"/>
  <c r="GP30" i="272"/>
  <c r="GO30" i="272"/>
  <c r="GN30" i="272"/>
  <c r="GM30" i="272"/>
  <c r="GL30" i="272"/>
  <c r="GK30" i="272"/>
  <c r="GJ30" i="272"/>
  <c r="GI30" i="272"/>
  <c r="GH30" i="272"/>
  <c r="GG30" i="272"/>
  <c r="GF30" i="272"/>
  <c r="GE30" i="272"/>
  <c r="GD30" i="272"/>
  <c r="GC30" i="272"/>
  <c r="GB30" i="272"/>
  <c r="GA30" i="272"/>
  <c r="FZ30" i="272"/>
  <c r="FY30" i="272"/>
  <c r="FX30" i="272"/>
  <c r="FW30" i="272"/>
  <c r="FV30" i="272"/>
  <c r="FU30" i="272"/>
  <c r="FT30" i="272"/>
  <c r="FS30" i="272"/>
  <c r="FR30" i="272"/>
  <c r="FQ30" i="272"/>
  <c r="FP30" i="272"/>
  <c r="FO30" i="272"/>
  <c r="FN30" i="272"/>
  <c r="FM30" i="272"/>
  <c r="FL30" i="272"/>
  <c r="FK30" i="272"/>
  <c r="FJ30" i="272"/>
  <c r="FI30" i="272"/>
  <c r="FH30" i="272"/>
  <c r="FG30" i="272"/>
  <c r="FF30" i="272"/>
  <c r="FE30" i="272"/>
  <c r="FD30" i="272"/>
  <c r="FC30" i="272"/>
  <c r="FB30" i="272"/>
  <c r="FA30" i="272"/>
  <c r="EZ30" i="272"/>
  <c r="EY30" i="272"/>
  <c r="EX30" i="272"/>
  <c r="EW30" i="272"/>
  <c r="EV30" i="272"/>
  <c r="EU30" i="272"/>
  <c r="ET30" i="272"/>
  <c r="ES30" i="272"/>
  <c r="ER30" i="272"/>
  <c r="EQ30" i="272"/>
  <c r="EP30" i="272"/>
  <c r="EO30" i="272"/>
  <c r="EN30" i="272"/>
  <c r="EM30" i="272"/>
  <c r="EL30" i="272"/>
  <c r="EK30" i="272"/>
  <c r="EJ30" i="272"/>
  <c r="EI30" i="272"/>
  <c r="EH30" i="272"/>
  <c r="EG30" i="272"/>
  <c r="EF30" i="272"/>
  <c r="EE30" i="272"/>
  <c r="ED30" i="272"/>
  <c r="EC30" i="272"/>
  <c r="EB30" i="272"/>
  <c r="EA30" i="272"/>
  <c r="DZ30" i="272"/>
  <c r="DY30" i="272"/>
  <c r="DW30" i="272"/>
  <c r="DT30" i="272"/>
  <c r="DS30" i="272"/>
  <c r="DR30" i="272"/>
  <c r="DQ30" i="272"/>
  <c r="DP30" i="272"/>
  <c r="DO30" i="272"/>
  <c r="DN30" i="272"/>
  <c r="DM30" i="272"/>
  <c r="DL30" i="272"/>
  <c r="DK30" i="272"/>
  <c r="DJ30" i="272"/>
  <c r="DI30" i="272"/>
  <c r="DH30" i="272"/>
  <c r="DG30" i="272"/>
  <c r="DF30" i="272"/>
  <c r="DE30" i="272"/>
  <c r="DD30" i="272"/>
  <c r="DC30" i="272"/>
  <c r="DB30" i="272"/>
  <c r="DA30" i="272"/>
  <c r="CZ30" i="272"/>
  <c r="CY30" i="272"/>
  <c r="CX30" i="272"/>
  <c r="CW30" i="272"/>
  <c r="CV30" i="272"/>
  <c r="CU30" i="272"/>
  <c r="CT30" i="272"/>
  <c r="CS30" i="272"/>
  <c r="CR30" i="272"/>
  <c r="CQ30" i="272"/>
  <c r="CP30" i="272"/>
  <c r="CO30" i="272"/>
  <c r="CN30" i="272"/>
  <c r="CM30" i="272"/>
  <c r="CL30" i="272"/>
  <c r="CK30" i="272"/>
  <c r="CJ30" i="272"/>
  <c r="CI30" i="272"/>
  <c r="CH30" i="272"/>
  <c r="CG30" i="272"/>
  <c r="CF30" i="272"/>
  <c r="CE30" i="272"/>
  <c r="CD30" i="272"/>
  <c r="CC30" i="272"/>
  <c r="CB30" i="272"/>
  <c r="CA30" i="272"/>
  <c r="BZ30" i="272"/>
  <c r="BY30" i="272"/>
  <c r="BX30" i="272"/>
  <c r="BW30" i="272"/>
  <c r="BV30" i="272"/>
  <c r="BU30" i="272"/>
  <c r="BT30" i="272"/>
  <c r="BS30" i="272"/>
  <c r="BR30" i="272"/>
  <c r="BQ30" i="272"/>
  <c r="BP30" i="272"/>
  <c r="BO30" i="272"/>
  <c r="BN30" i="272"/>
  <c r="BM30" i="272"/>
  <c r="BL30" i="272"/>
  <c r="BK30" i="272"/>
  <c r="BJ30" i="272"/>
  <c r="BI30" i="272"/>
  <c r="BH30" i="272"/>
  <c r="BG30" i="272"/>
  <c r="BF30" i="272"/>
  <c r="BE30" i="272"/>
  <c r="BD30" i="272"/>
  <c r="BC30" i="272"/>
  <c r="BB30" i="272"/>
  <c r="BA30" i="272"/>
  <c r="AZ30" i="272"/>
  <c r="AY30" i="272"/>
  <c r="AX30" i="272"/>
  <c r="AW30" i="272"/>
  <c r="AV30" i="272"/>
  <c r="AU30" i="272"/>
  <c r="AT30" i="272"/>
  <c r="AS30" i="272"/>
  <c r="AR30" i="272"/>
  <c r="AQ30" i="272"/>
  <c r="AP30" i="272"/>
  <c r="AO30" i="272"/>
  <c r="AN30" i="272"/>
  <c r="AM30" i="272"/>
  <c r="AL30" i="272"/>
  <c r="AK30" i="272"/>
  <c r="AJ30" i="272"/>
  <c r="AI30" i="272"/>
  <c r="AH30" i="272"/>
  <c r="AG30" i="272"/>
  <c r="AF30" i="272"/>
  <c r="AE30" i="272"/>
  <c r="AD30" i="272"/>
  <c r="AC30" i="272"/>
  <c r="AB30" i="272"/>
  <c r="AA30" i="272"/>
  <c r="Y30" i="272"/>
  <c r="U30" i="272"/>
  <c r="Z30" i="272" s="1"/>
  <c r="Q30" i="272"/>
  <c r="M30" i="272"/>
  <c r="HR29" i="272"/>
  <c r="HQ29" i="272"/>
  <c r="HP29" i="272"/>
  <c r="HO29" i="272"/>
  <c r="HN29" i="272"/>
  <c r="HM29" i="272"/>
  <c r="HL29" i="272"/>
  <c r="HK29" i="272"/>
  <c r="HJ29" i="272"/>
  <c r="HI29" i="272"/>
  <c r="HH29" i="272"/>
  <c r="HG29" i="272"/>
  <c r="HF29" i="272"/>
  <c r="HE29" i="272"/>
  <c r="HD29" i="272"/>
  <c r="HC29" i="272"/>
  <c r="HB29" i="272"/>
  <c r="HA29" i="272"/>
  <c r="GZ29" i="272"/>
  <c r="GY29" i="272"/>
  <c r="GX29" i="272"/>
  <c r="GW29" i="272"/>
  <c r="GV29" i="272"/>
  <c r="GU29" i="272"/>
  <c r="GT29" i="272"/>
  <c r="GS29" i="272"/>
  <c r="GR29" i="272"/>
  <c r="GQ29" i="272"/>
  <c r="GP29" i="272"/>
  <c r="GO29" i="272"/>
  <c r="GN29" i="272"/>
  <c r="GM29" i="272"/>
  <c r="GL29" i="272"/>
  <c r="GK29" i="272"/>
  <c r="GJ29" i="272"/>
  <c r="GI29" i="272"/>
  <c r="GH29" i="272"/>
  <c r="GG29" i="272"/>
  <c r="GF29" i="272"/>
  <c r="GE29" i="272"/>
  <c r="GD29" i="272"/>
  <c r="GC29" i="272"/>
  <c r="GB29" i="272"/>
  <c r="GA29" i="272"/>
  <c r="FZ29" i="272"/>
  <c r="FY29" i="272"/>
  <c r="FX29" i="272"/>
  <c r="FW29" i="272"/>
  <c r="FV29" i="272"/>
  <c r="FU29" i="272"/>
  <c r="FT29" i="272"/>
  <c r="FS29" i="272"/>
  <c r="FR29" i="272"/>
  <c r="FQ29" i="272"/>
  <c r="FP29" i="272"/>
  <c r="FO29" i="272"/>
  <c r="FN29" i="272"/>
  <c r="FM29" i="272"/>
  <c r="FL29" i="272"/>
  <c r="FK29" i="272"/>
  <c r="FJ29" i="272"/>
  <c r="FI29" i="272"/>
  <c r="FH29" i="272"/>
  <c r="FG29" i="272"/>
  <c r="FF29" i="272"/>
  <c r="FE29" i="272"/>
  <c r="FD29" i="272"/>
  <c r="FC29" i="272"/>
  <c r="FB29" i="272"/>
  <c r="FA29" i="272"/>
  <c r="EZ29" i="272"/>
  <c r="EY29" i="272"/>
  <c r="EX29" i="272"/>
  <c r="EW29" i="272"/>
  <c r="EV29" i="272"/>
  <c r="EU29" i="272"/>
  <c r="ET29" i="272"/>
  <c r="ES29" i="272"/>
  <c r="ER29" i="272"/>
  <c r="EQ29" i="272"/>
  <c r="EP29" i="272"/>
  <c r="EO29" i="272"/>
  <c r="EN29" i="272"/>
  <c r="EM29" i="272"/>
  <c r="EL29" i="272"/>
  <c r="EK29" i="272"/>
  <c r="EJ29" i="272"/>
  <c r="EI29" i="272"/>
  <c r="EH29" i="272"/>
  <c r="EG29" i="272"/>
  <c r="EF29" i="272"/>
  <c r="EE29" i="272"/>
  <c r="ED29" i="272"/>
  <c r="EC29" i="272"/>
  <c r="EB29" i="272"/>
  <c r="EA29" i="272"/>
  <c r="DZ29" i="272"/>
  <c r="DY29" i="272"/>
  <c r="DW29" i="272"/>
  <c r="DT29" i="272"/>
  <c r="DS29" i="272"/>
  <c r="DR29" i="272"/>
  <c r="DQ29" i="272"/>
  <c r="DP29" i="272"/>
  <c r="DO29" i="272"/>
  <c r="DN29" i="272"/>
  <c r="DM29" i="272"/>
  <c r="DL29" i="272"/>
  <c r="DK29" i="272"/>
  <c r="DJ29" i="272"/>
  <c r="DI29" i="272"/>
  <c r="DH29" i="272"/>
  <c r="DG29" i="272"/>
  <c r="DF29" i="272"/>
  <c r="DE29" i="272"/>
  <c r="DD29" i="272"/>
  <c r="DC29" i="272"/>
  <c r="DB29" i="272"/>
  <c r="DA29" i="272"/>
  <c r="CZ29" i="272"/>
  <c r="CY29" i="272"/>
  <c r="CX29" i="272"/>
  <c r="CW29" i="272"/>
  <c r="CV29" i="272"/>
  <c r="CU29" i="272"/>
  <c r="CT29" i="272"/>
  <c r="CS29" i="272"/>
  <c r="CR29" i="272"/>
  <c r="CQ29" i="272"/>
  <c r="CP29" i="272"/>
  <c r="CO29" i="272"/>
  <c r="CN29" i="272"/>
  <c r="CM29" i="272"/>
  <c r="CL29" i="272"/>
  <c r="CK29" i="272"/>
  <c r="CJ29" i="272"/>
  <c r="CI29" i="272"/>
  <c r="CH29" i="272"/>
  <c r="CG29" i="272"/>
  <c r="CF29" i="272"/>
  <c r="CE29" i="272"/>
  <c r="CD29" i="272"/>
  <c r="CC29" i="272"/>
  <c r="CB29" i="272"/>
  <c r="CA29" i="272"/>
  <c r="BZ29" i="272"/>
  <c r="BY29" i="272"/>
  <c r="BX29" i="272"/>
  <c r="BW29" i="272"/>
  <c r="BV29" i="272"/>
  <c r="BU29" i="272"/>
  <c r="BT29" i="272"/>
  <c r="BS29" i="272"/>
  <c r="BR29" i="272"/>
  <c r="BQ29" i="272"/>
  <c r="BP29" i="272"/>
  <c r="BO29" i="272"/>
  <c r="BN29" i="272"/>
  <c r="BM29" i="272"/>
  <c r="BL29" i="272"/>
  <c r="BK29" i="272"/>
  <c r="BJ29" i="272"/>
  <c r="BI29" i="272"/>
  <c r="BH29" i="272"/>
  <c r="BG29" i="272"/>
  <c r="BF29" i="272"/>
  <c r="BE29" i="272"/>
  <c r="BD29" i="272"/>
  <c r="BC29" i="272"/>
  <c r="BB29" i="272"/>
  <c r="BA29" i="272"/>
  <c r="AZ29" i="272"/>
  <c r="AY29" i="272"/>
  <c r="AX29" i="272"/>
  <c r="AW29" i="272"/>
  <c r="AV29" i="272"/>
  <c r="AU29" i="272"/>
  <c r="AT29" i="272"/>
  <c r="AS29" i="272"/>
  <c r="AR29" i="272"/>
  <c r="AQ29" i="272"/>
  <c r="AP29" i="272"/>
  <c r="AO29" i="272"/>
  <c r="AN29" i="272"/>
  <c r="AM29" i="272"/>
  <c r="AL29" i="272"/>
  <c r="AK29" i="272"/>
  <c r="AJ29" i="272"/>
  <c r="AI29" i="272"/>
  <c r="AH29" i="272"/>
  <c r="AG29" i="272"/>
  <c r="AF29" i="272"/>
  <c r="AE29" i="272"/>
  <c r="AD29" i="272"/>
  <c r="AC29" i="272"/>
  <c r="AB29" i="272"/>
  <c r="AA29" i="272"/>
  <c r="Y29" i="272"/>
  <c r="R29" i="272"/>
  <c r="Q29" i="272"/>
  <c r="M29" i="272"/>
  <c r="HR28" i="272"/>
  <c r="HQ28" i="272"/>
  <c r="HP28" i="272"/>
  <c r="HO28" i="272"/>
  <c r="HN28" i="272"/>
  <c r="HM28" i="272"/>
  <c r="HL28" i="272"/>
  <c r="HK28" i="272"/>
  <c r="HJ28" i="272"/>
  <c r="HI28" i="272"/>
  <c r="HH28" i="272"/>
  <c r="HG28" i="272"/>
  <c r="HF28" i="272"/>
  <c r="HE28" i="272"/>
  <c r="HD28" i="272"/>
  <c r="HC28" i="272"/>
  <c r="HB28" i="272"/>
  <c r="HA28" i="272"/>
  <c r="GZ28" i="272"/>
  <c r="GY28" i="272"/>
  <c r="GX28" i="272"/>
  <c r="GW28" i="272"/>
  <c r="GV28" i="272"/>
  <c r="GU28" i="272"/>
  <c r="GT28" i="272"/>
  <c r="GS28" i="272"/>
  <c r="GR28" i="272"/>
  <c r="GQ28" i="272"/>
  <c r="GP28" i="272"/>
  <c r="GO28" i="272"/>
  <c r="GN28" i="272"/>
  <c r="GM28" i="272"/>
  <c r="GL28" i="272"/>
  <c r="GK28" i="272"/>
  <c r="GJ28" i="272"/>
  <c r="GI28" i="272"/>
  <c r="GH28" i="272"/>
  <c r="GG28" i="272"/>
  <c r="GF28" i="272"/>
  <c r="GE28" i="272"/>
  <c r="GD28" i="272"/>
  <c r="GC28" i="272"/>
  <c r="GB28" i="272"/>
  <c r="GA28" i="272"/>
  <c r="FZ28" i="272"/>
  <c r="FY28" i="272"/>
  <c r="FX28" i="272"/>
  <c r="FW28" i="272"/>
  <c r="FV28" i="272"/>
  <c r="FU28" i="272"/>
  <c r="FT28" i="272"/>
  <c r="FS28" i="272"/>
  <c r="FR28" i="272"/>
  <c r="FQ28" i="272"/>
  <c r="FP28" i="272"/>
  <c r="FO28" i="272"/>
  <c r="FN28" i="272"/>
  <c r="FM28" i="272"/>
  <c r="FL28" i="272"/>
  <c r="FK28" i="272"/>
  <c r="FJ28" i="272"/>
  <c r="FI28" i="272"/>
  <c r="FH28" i="272"/>
  <c r="FG28" i="272"/>
  <c r="FF28" i="272"/>
  <c r="FE28" i="272"/>
  <c r="FD28" i="272"/>
  <c r="FC28" i="272"/>
  <c r="FB28" i="272"/>
  <c r="FA28" i="272"/>
  <c r="EZ28" i="272"/>
  <c r="EY28" i="272"/>
  <c r="EX28" i="272"/>
  <c r="EW28" i="272"/>
  <c r="EV28" i="272"/>
  <c r="EU28" i="272"/>
  <c r="ET28" i="272"/>
  <c r="ES28" i="272"/>
  <c r="ER28" i="272"/>
  <c r="EQ28" i="272"/>
  <c r="EP28" i="272"/>
  <c r="EO28" i="272"/>
  <c r="EN28" i="272"/>
  <c r="EM28" i="272"/>
  <c r="EL28" i="272"/>
  <c r="EK28" i="272"/>
  <c r="EJ28" i="272"/>
  <c r="EI28" i="272"/>
  <c r="EH28" i="272"/>
  <c r="EG28" i="272"/>
  <c r="EF28" i="272"/>
  <c r="EE28" i="272"/>
  <c r="ED28" i="272"/>
  <c r="EC28" i="272"/>
  <c r="EB28" i="272"/>
  <c r="EA28" i="272"/>
  <c r="DZ28" i="272"/>
  <c r="DY28" i="272"/>
  <c r="DT28" i="272"/>
  <c r="DS28" i="272"/>
  <c r="DR28" i="272"/>
  <c r="DQ28" i="272"/>
  <c r="DP28" i="272"/>
  <c r="DO28" i="272"/>
  <c r="DN28" i="272"/>
  <c r="DM28" i="272"/>
  <c r="DL28" i="272"/>
  <c r="DK28" i="272"/>
  <c r="DJ28" i="272"/>
  <c r="DI28" i="272"/>
  <c r="DH28" i="272"/>
  <c r="DG28" i="272"/>
  <c r="DF28" i="272"/>
  <c r="DE28" i="272"/>
  <c r="DD28" i="272"/>
  <c r="DC28" i="272"/>
  <c r="DB28" i="272"/>
  <c r="DA28" i="272"/>
  <c r="CZ28" i="272"/>
  <c r="CY28" i="272"/>
  <c r="CX28" i="272"/>
  <c r="CW28" i="272"/>
  <c r="CV28" i="272"/>
  <c r="CU28" i="272"/>
  <c r="CT28" i="272"/>
  <c r="CS28" i="272"/>
  <c r="CR28" i="272"/>
  <c r="CQ28" i="272"/>
  <c r="CP28" i="272"/>
  <c r="CO28" i="272"/>
  <c r="CN28" i="272"/>
  <c r="CM28" i="272"/>
  <c r="CL28" i="272"/>
  <c r="CK28" i="272"/>
  <c r="CJ28" i="272"/>
  <c r="CI28" i="272"/>
  <c r="CH28" i="272"/>
  <c r="CG28" i="272"/>
  <c r="CF28" i="272"/>
  <c r="CE28" i="272"/>
  <c r="CD28" i="272"/>
  <c r="CC28" i="272"/>
  <c r="CB28" i="272"/>
  <c r="CA28" i="272"/>
  <c r="BZ28" i="272"/>
  <c r="BY28" i="272"/>
  <c r="BX28" i="272"/>
  <c r="BW28" i="272"/>
  <c r="BV28" i="272"/>
  <c r="BU28" i="272"/>
  <c r="BT28" i="272"/>
  <c r="BS28" i="272"/>
  <c r="BR28" i="272"/>
  <c r="BQ28" i="272"/>
  <c r="BP28" i="272"/>
  <c r="BO28" i="272"/>
  <c r="BN28" i="272"/>
  <c r="BM28" i="272"/>
  <c r="BL28" i="272"/>
  <c r="BK28" i="272"/>
  <c r="BJ28" i="272"/>
  <c r="BI28" i="272"/>
  <c r="BH28" i="272"/>
  <c r="BG28" i="272"/>
  <c r="BF28" i="272"/>
  <c r="BE28" i="272"/>
  <c r="BD28" i="272"/>
  <c r="BC28" i="272"/>
  <c r="BB28" i="272"/>
  <c r="BA28" i="272"/>
  <c r="AZ28" i="272"/>
  <c r="AY28" i="272"/>
  <c r="AX28" i="272"/>
  <c r="AW28" i="272"/>
  <c r="AV28" i="272"/>
  <c r="AU28" i="272"/>
  <c r="AT28" i="272"/>
  <c r="AS28" i="272"/>
  <c r="AR28" i="272"/>
  <c r="AQ28" i="272"/>
  <c r="AP28" i="272"/>
  <c r="AO28" i="272"/>
  <c r="AN28" i="272"/>
  <c r="AM28" i="272"/>
  <c r="AL28" i="272"/>
  <c r="AK28" i="272"/>
  <c r="AJ28" i="272"/>
  <c r="AI28" i="272"/>
  <c r="AH28" i="272"/>
  <c r="AG28" i="272"/>
  <c r="AF28" i="272"/>
  <c r="AE28" i="272"/>
  <c r="AD28" i="272"/>
  <c r="AC28" i="272"/>
  <c r="AB28" i="272"/>
  <c r="AA28" i="272"/>
  <c r="U28" i="272"/>
  <c r="Y28" i="272" s="1"/>
  <c r="R28" i="272"/>
  <c r="M28" i="272"/>
  <c r="HR27" i="272"/>
  <c r="HQ27" i="272"/>
  <c r="HP27" i="272"/>
  <c r="HO27" i="272"/>
  <c r="HN27" i="272"/>
  <c r="HM27" i="272"/>
  <c r="HL27" i="272"/>
  <c r="HK27" i="272"/>
  <c r="HJ27" i="272"/>
  <c r="HI27" i="272"/>
  <c r="HH27" i="272"/>
  <c r="HG27" i="272"/>
  <c r="HF27" i="272"/>
  <c r="HE27" i="272"/>
  <c r="HD27" i="272"/>
  <c r="HC27" i="272"/>
  <c r="HB27" i="272"/>
  <c r="HA27" i="272"/>
  <c r="GZ27" i="272"/>
  <c r="GY27" i="272"/>
  <c r="GX27" i="272"/>
  <c r="GW27" i="272"/>
  <c r="GV27" i="272"/>
  <c r="GU27" i="272"/>
  <c r="GT27" i="272"/>
  <c r="GS27" i="272"/>
  <c r="GR27" i="272"/>
  <c r="GQ27" i="272"/>
  <c r="GP27" i="272"/>
  <c r="GO27" i="272"/>
  <c r="GN27" i="272"/>
  <c r="GM27" i="272"/>
  <c r="GL27" i="272"/>
  <c r="GK27" i="272"/>
  <c r="GJ27" i="272"/>
  <c r="GI27" i="272"/>
  <c r="GH27" i="272"/>
  <c r="GG27" i="272"/>
  <c r="GF27" i="272"/>
  <c r="GE27" i="272"/>
  <c r="GD27" i="272"/>
  <c r="GC27" i="272"/>
  <c r="GB27" i="272"/>
  <c r="GA27" i="272"/>
  <c r="FZ27" i="272"/>
  <c r="FY27" i="272"/>
  <c r="FX27" i="272"/>
  <c r="FW27" i="272"/>
  <c r="FV27" i="272"/>
  <c r="FU27" i="272"/>
  <c r="FT27" i="272"/>
  <c r="FS27" i="272"/>
  <c r="FR27" i="272"/>
  <c r="FQ27" i="272"/>
  <c r="FP27" i="272"/>
  <c r="FO27" i="272"/>
  <c r="FN27" i="272"/>
  <c r="FM27" i="272"/>
  <c r="FL27" i="272"/>
  <c r="FK27" i="272"/>
  <c r="FJ27" i="272"/>
  <c r="FI27" i="272"/>
  <c r="FH27" i="272"/>
  <c r="FG27" i="272"/>
  <c r="FF27" i="272"/>
  <c r="FE27" i="272"/>
  <c r="FD27" i="272"/>
  <c r="FC27" i="272"/>
  <c r="FB27" i="272"/>
  <c r="FA27" i="272"/>
  <c r="EZ27" i="272"/>
  <c r="EY27" i="272"/>
  <c r="EX27" i="272"/>
  <c r="EW27" i="272"/>
  <c r="EV27" i="272"/>
  <c r="EU27" i="272"/>
  <c r="ET27" i="272"/>
  <c r="ES27" i="272"/>
  <c r="ER27" i="272"/>
  <c r="EQ27" i="272"/>
  <c r="EP27" i="272"/>
  <c r="EO27" i="272"/>
  <c r="EN27" i="272"/>
  <c r="EM27" i="272"/>
  <c r="EL27" i="272"/>
  <c r="EK27" i="272"/>
  <c r="EJ27" i="272"/>
  <c r="EI27" i="272"/>
  <c r="EH27" i="272"/>
  <c r="EG27" i="272"/>
  <c r="EF27" i="272"/>
  <c r="EE27" i="272"/>
  <c r="ED27" i="272"/>
  <c r="EC27" i="272"/>
  <c r="EB27" i="272"/>
  <c r="EA27" i="272"/>
  <c r="DZ27" i="272"/>
  <c r="DY27" i="272"/>
  <c r="DT27" i="272"/>
  <c r="DS27" i="272"/>
  <c r="DR27" i="272"/>
  <c r="DQ27" i="272"/>
  <c r="DP27" i="272"/>
  <c r="DO27" i="272"/>
  <c r="DN27" i="272"/>
  <c r="DM27" i="272"/>
  <c r="DL27" i="272"/>
  <c r="DK27" i="272"/>
  <c r="DJ27" i="272"/>
  <c r="DI27" i="272"/>
  <c r="DH27" i="272"/>
  <c r="DG27" i="272"/>
  <c r="DF27" i="272"/>
  <c r="DE27" i="272"/>
  <c r="DD27" i="272"/>
  <c r="DC27" i="272"/>
  <c r="DB27" i="272"/>
  <c r="DA27" i="272"/>
  <c r="CZ27" i="272"/>
  <c r="CY27" i="272"/>
  <c r="CX27" i="272"/>
  <c r="CW27" i="272"/>
  <c r="CV27" i="272"/>
  <c r="CU27" i="272"/>
  <c r="CT27" i="272"/>
  <c r="CS27" i="272"/>
  <c r="CR27" i="272"/>
  <c r="CQ27" i="272"/>
  <c r="CP27" i="272"/>
  <c r="CO27" i="272"/>
  <c r="CN27" i="272"/>
  <c r="CM27" i="272"/>
  <c r="CL27" i="272"/>
  <c r="CK27" i="272"/>
  <c r="CJ27" i="272"/>
  <c r="CI27" i="272"/>
  <c r="CH27" i="272"/>
  <c r="CG27" i="272"/>
  <c r="CF27" i="272"/>
  <c r="CE27" i="272"/>
  <c r="CD27" i="272"/>
  <c r="CC27" i="272"/>
  <c r="CB27" i="272"/>
  <c r="CA27" i="272"/>
  <c r="BZ27" i="272"/>
  <c r="BY27" i="272"/>
  <c r="BX27" i="272"/>
  <c r="BW27" i="272"/>
  <c r="BV27" i="272"/>
  <c r="BU27" i="272"/>
  <c r="BT27" i="272"/>
  <c r="BS27" i="272"/>
  <c r="BR27" i="272"/>
  <c r="BQ27" i="272"/>
  <c r="BP27" i="272"/>
  <c r="BO27" i="272"/>
  <c r="BN27" i="272"/>
  <c r="BM27" i="272"/>
  <c r="BL27" i="272"/>
  <c r="BK27" i="272"/>
  <c r="BJ27" i="272"/>
  <c r="BI27" i="272"/>
  <c r="BH27" i="272"/>
  <c r="BG27" i="272"/>
  <c r="BF27" i="272"/>
  <c r="BE27" i="272"/>
  <c r="BD27" i="272"/>
  <c r="BC27" i="272"/>
  <c r="BB27" i="272"/>
  <c r="BA27" i="272"/>
  <c r="AZ27" i="272"/>
  <c r="AY27" i="272"/>
  <c r="AX27" i="272"/>
  <c r="AW27" i="272"/>
  <c r="AV27" i="272"/>
  <c r="AU27" i="272"/>
  <c r="AT27" i="272"/>
  <c r="AS27" i="272"/>
  <c r="AR27" i="272"/>
  <c r="AQ27" i="272"/>
  <c r="AP27" i="272"/>
  <c r="AO27" i="272"/>
  <c r="AN27" i="272"/>
  <c r="AM27" i="272"/>
  <c r="AL27" i="272"/>
  <c r="AK27" i="272"/>
  <c r="AJ27" i="272"/>
  <c r="AI27" i="272"/>
  <c r="AH27" i="272"/>
  <c r="AG27" i="272"/>
  <c r="AF27" i="272"/>
  <c r="AE27" i="272"/>
  <c r="AD27" i="272"/>
  <c r="AC27" i="272"/>
  <c r="AB27" i="272"/>
  <c r="AA27" i="272"/>
  <c r="U27" i="272"/>
  <c r="Y27" i="272" s="1"/>
  <c r="R27" i="272"/>
  <c r="Q27" i="272"/>
  <c r="M27" i="272"/>
  <c r="HR26" i="272"/>
  <c r="HQ26" i="272"/>
  <c r="HP26" i="272"/>
  <c r="HO26" i="272"/>
  <c r="HN26" i="272"/>
  <c r="HM26" i="272"/>
  <c r="HL26" i="272"/>
  <c r="HK26" i="272"/>
  <c r="HJ26" i="272"/>
  <c r="HI26" i="272"/>
  <c r="HH26" i="272"/>
  <c r="HG26" i="272"/>
  <c r="HF26" i="272"/>
  <c r="HE26" i="272"/>
  <c r="HD26" i="272"/>
  <c r="HC26" i="272"/>
  <c r="HB26" i="272"/>
  <c r="HA26" i="272"/>
  <c r="GZ26" i="272"/>
  <c r="GY26" i="272"/>
  <c r="GX26" i="272"/>
  <c r="GW26" i="272"/>
  <c r="GV26" i="272"/>
  <c r="GU26" i="272"/>
  <c r="GT26" i="272"/>
  <c r="GS26" i="272"/>
  <c r="GR26" i="272"/>
  <c r="GQ26" i="272"/>
  <c r="GP26" i="272"/>
  <c r="GO26" i="272"/>
  <c r="GN26" i="272"/>
  <c r="GM26" i="272"/>
  <c r="GL26" i="272"/>
  <c r="GK26" i="272"/>
  <c r="GJ26" i="272"/>
  <c r="GI26" i="272"/>
  <c r="GH26" i="272"/>
  <c r="GG26" i="272"/>
  <c r="GF26" i="272"/>
  <c r="GE26" i="272"/>
  <c r="GD26" i="272"/>
  <c r="GC26" i="272"/>
  <c r="GB26" i="272"/>
  <c r="GA26" i="272"/>
  <c r="FZ26" i="272"/>
  <c r="FY26" i="272"/>
  <c r="FX26" i="272"/>
  <c r="FW26" i="272"/>
  <c r="FV26" i="272"/>
  <c r="FU26" i="272"/>
  <c r="FT26" i="272"/>
  <c r="FS26" i="272"/>
  <c r="FR26" i="272"/>
  <c r="FQ26" i="272"/>
  <c r="FP26" i="272"/>
  <c r="FO26" i="272"/>
  <c r="FN26" i="272"/>
  <c r="FM26" i="272"/>
  <c r="FL26" i="272"/>
  <c r="FK26" i="272"/>
  <c r="FJ26" i="272"/>
  <c r="FI26" i="272"/>
  <c r="FH26" i="272"/>
  <c r="FG26" i="272"/>
  <c r="FF26" i="272"/>
  <c r="FE26" i="272"/>
  <c r="FD26" i="272"/>
  <c r="FC26" i="272"/>
  <c r="FB26" i="272"/>
  <c r="FA26" i="272"/>
  <c r="EZ26" i="272"/>
  <c r="EY26" i="272"/>
  <c r="EX26" i="272"/>
  <c r="EW26" i="272"/>
  <c r="EV26" i="272"/>
  <c r="EU26" i="272"/>
  <c r="ET26" i="272"/>
  <c r="ES26" i="272"/>
  <c r="ER26" i="272"/>
  <c r="EQ26" i="272"/>
  <c r="EP26" i="272"/>
  <c r="EO26" i="272"/>
  <c r="EN26" i="272"/>
  <c r="EM26" i="272"/>
  <c r="EL26" i="272"/>
  <c r="EK26" i="272"/>
  <c r="EJ26" i="272"/>
  <c r="EI26" i="272"/>
  <c r="EH26" i="272"/>
  <c r="EG26" i="272"/>
  <c r="EF26" i="272"/>
  <c r="EE26" i="272"/>
  <c r="ED26" i="272"/>
  <c r="EC26" i="272"/>
  <c r="EB26" i="272"/>
  <c r="EA26" i="272"/>
  <c r="DZ26" i="272"/>
  <c r="DY26" i="272"/>
  <c r="DT26" i="272"/>
  <c r="DS26" i="272"/>
  <c r="DR26" i="272"/>
  <c r="DQ26" i="272"/>
  <c r="DP26" i="272"/>
  <c r="DO26" i="272"/>
  <c r="DN26" i="272"/>
  <c r="DM26" i="272"/>
  <c r="DL26" i="272"/>
  <c r="DK26" i="272"/>
  <c r="DJ26" i="272"/>
  <c r="DI26" i="272"/>
  <c r="DH26" i="272"/>
  <c r="DG26" i="272"/>
  <c r="DF26" i="272"/>
  <c r="DE26" i="272"/>
  <c r="DD26" i="272"/>
  <c r="DC26" i="272"/>
  <c r="DB26" i="272"/>
  <c r="DA26" i="272"/>
  <c r="CZ26" i="272"/>
  <c r="CY26" i="272"/>
  <c r="CX26" i="272"/>
  <c r="CW26" i="272"/>
  <c r="CV26" i="272"/>
  <c r="CU26" i="272"/>
  <c r="CT26" i="272"/>
  <c r="CS26" i="272"/>
  <c r="CR26" i="272"/>
  <c r="CQ26" i="272"/>
  <c r="CP26" i="272"/>
  <c r="CO26" i="272"/>
  <c r="CN26" i="272"/>
  <c r="CM26" i="272"/>
  <c r="CL26" i="272"/>
  <c r="CK26" i="272"/>
  <c r="CJ26" i="272"/>
  <c r="CI26" i="272"/>
  <c r="CH26" i="272"/>
  <c r="CG26" i="272"/>
  <c r="CF26" i="272"/>
  <c r="CE26" i="272"/>
  <c r="CD26" i="272"/>
  <c r="CC26" i="272"/>
  <c r="CB26" i="272"/>
  <c r="CA26" i="272"/>
  <c r="BZ26" i="272"/>
  <c r="BY26" i="272"/>
  <c r="BX26" i="272"/>
  <c r="BW26" i="272"/>
  <c r="BV26" i="272"/>
  <c r="BU26" i="272"/>
  <c r="BT26" i="272"/>
  <c r="BS26" i="272"/>
  <c r="BR26" i="272"/>
  <c r="BQ26" i="272"/>
  <c r="BP26" i="272"/>
  <c r="BO26" i="272"/>
  <c r="BN26" i="272"/>
  <c r="BM26" i="272"/>
  <c r="BL26" i="272"/>
  <c r="BK26" i="272"/>
  <c r="BJ26" i="272"/>
  <c r="BI26" i="272"/>
  <c r="BH26" i="272"/>
  <c r="BG26" i="272"/>
  <c r="BF26" i="272"/>
  <c r="BE26" i="272"/>
  <c r="BD26" i="272"/>
  <c r="BC26" i="272"/>
  <c r="BB26" i="272"/>
  <c r="BA26" i="272"/>
  <c r="AZ26" i="272"/>
  <c r="AY26" i="272"/>
  <c r="AX26" i="272"/>
  <c r="AW26" i="272"/>
  <c r="AV26" i="272"/>
  <c r="AU26" i="272"/>
  <c r="AT26" i="272"/>
  <c r="AS26" i="272"/>
  <c r="AR26" i="272"/>
  <c r="AQ26" i="272"/>
  <c r="AP26" i="272"/>
  <c r="AO26" i="272"/>
  <c r="AN26" i="272"/>
  <c r="AM26" i="272"/>
  <c r="AL26" i="272"/>
  <c r="AK26" i="272"/>
  <c r="AJ26" i="272"/>
  <c r="AI26" i="272"/>
  <c r="AH26" i="272"/>
  <c r="AG26" i="272"/>
  <c r="AF26" i="272"/>
  <c r="AE26" i="272"/>
  <c r="AD26" i="272"/>
  <c r="AC26" i="272"/>
  <c r="AB26" i="272"/>
  <c r="AA26" i="272"/>
  <c r="R26" i="272"/>
  <c r="Q26" i="272"/>
  <c r="M26" i="272"/>
  <c r="HR25" i="272"/>
  <c r="HQ25" i="272"/>
  <c r="HP25" i="272"/>
  <c r="HO25" i="272"/>
  <c r="HN25" i="272"/>
  <c r="HM25" i="272"/>
  <c r="HL25" i="272"/>
  <c r="HK25" i="272"/>
  <c r="HJ25" i="272"/>
  <c r="HI25" i="272"/>
  <c r="HH25" i="272"/>
  <c r="HG25" i="272"/>
  <c r="HF25" i="272"/>
  <c r="HE25" i="272"/>
  <c r="HD25" i="272"/>
  <c r="HC25" i="272"/>
  <c r="HB25" i="272"/>
  <c r="HA25" i="272"/>
  <c r="GZ25" i="272"/>
  <c r="GY25" i="272"/>
  <c r="GX25" i="272"/>
  <c r="GW25" i="272"/>
  <c r="GV25" i="272"/>
  <c r="GU25" i="272"/>
  <c r="GT25" i="272"/>
  <c r="GS25" i="272"/>
  <c r="GR25" i="272"/>
  <c r="GQ25" i="272"/>
  <c r="GP25" i="272"/>
  <c r="GO25" i="272"/>
  <c r="GN25" i="272"/>
  <c r="GM25" i="272"/>
  <c r="GL25" i="272"/>
  <c r="GK25" i="272"/>
  <c r="GJ25" i="272"/>
  <c r="GI25" i="272"/>
  <c r="GH25" i="272"/>
  <c r="GG25" i="272"/>
  <c r="GF25" i="272"/>
  <c r="GE25" i="272"/>
  <c r="GD25" i="272"/>
  <c r="GC25" i="272"/>
  <c r="GB25" i="272"/>
  <c r="GA25" i="272"/>
  <c r="FZ25" i="272"/>
  <c r="FY25" i="272"/>
  <c r="FX25" i="272"/>
  <c r="FW25" i="272"/>
  <c r="FV25" i="272"/>
  <c r="FU25" i="272"/>
  <c r="FT25" i="272"/>
  <c r="FS25" i="272"/>
  <c r="FR25" i="272"/>
  <c r="FQ25" i="272"/>
  <c r="FP25" i="272"/>
  <c r="FO25" i="272"/>
  <c r="FN25" i="272"/>
  <c r="FM25" i="272"/>
  <c r="FL25" i="272"/>
  <c r="FK25" i="272"/>
  <c r="FJ25" i="272"/>
  <c r="FI25" i="272"/>
  <c r="FH25" i="272"/>
  <c r="FG25" i="272"/>
  <c r="FF25" i="272"/>
  <c r="FE25" i="272"/>
  <c r="FD25" i="272"/>
  <c r="FC25" i="272"/>
  <c r="FB25" i="272"/>
  <c r="FA25" i="272"/>
  <c r="EZ25" i="272"/>
  <c r="EY25" i="272"/>
  <c r="EX25" i="272"/>
  <c r="EW25" i="272"/>
  <c r="EV25" i="272"/>
  <c r="EU25" i="272"/>
  <c r="ET25" i="272"/>
  <c r="ES25" i="272"/>
  <c r="ER25" i="272"/>
  <c r="EQ25" i="272"/>
  <c r="EP25" i="272"/>
  <c r="EO25" i="272"/>
  <c r="EN25" i="272"/>
  <c r="EM25" i="272"/>
  <c r="EL25" i="272"/>
  <c r="EK25" i="272"/>
  <c r="EJ25" i="272"/>
  <c r="EI25" i="272"/>
  <c r="EH25" i="272"/>
  <c r="EG25" i="272"/>
  <c r="EF25" i="272"/>
  <c r="EE25" i="272"/>
  <c r="ED25" i="272"/>
  <c r="EC25" i="272"/>
  <c r="EB25" i="272"/>
  <c r="EA25" i="272"/>
  <c r="DZ25" i="272"/>
  <c r="DY25" i="272"/>
  <c r="DT25" i="272"/>
  <c r="DS25" i="272"/>
  <c r="DR25" i="272"/>
  <c r="DQ25" i="272"/>
  <c r="DP25" i="272"/>
  <c r="DO25" i="272"/>
  <c r="DN25" i="272"/>
  <c r="DM25" i="272"/>
  <c r="DL25" i="272"/>
  <c r="DK25" i="272"/>
  <c r="DJ25" i="272"/>
  <c r="DI25" i="272"/>
  <c r="DH25" i="272"/>
  <c r="DG25" i="272"/>
  <c r="DF25" i="272"/>
  <c r="DE25" i="272"/>
  <c r="DD25" i="272"/>
  <c r="DC25" i="272"/>
  <c r="DB25" i="272"/>
  <c r="DA25" i="272"/>
  <c r="CZ25" i="272"/>
  <c r="CY25" i="272"/>
  <c r="CX25" i="272"/>
  <c r="CW25" i="272"/>
  <c r="CV25" i="272"/>
  <c r="CU25" i="272"/>
  <c r="CT25" i="272"/>
  <c r="CS25" i="272"/>
  <c r="CR25" i="272"/>
  <c r="CQ25" i="272"/>
  <c r="CP25" i="272"/>
  <c r="CO25" i="272"/>
  <c r="CN25" i="272"/>
  <c r="CM25" i="272"/>
  <c r="CL25" i="272"/>
  <c r="CK25" i="272"/>
  <c r="CJ25" i="272"/>
  <c r="CI25" i="272"/>
  <c r="CH25" i="272"/>
  <c r="CG25" i="272"/>
  <c r="CF25" i="272"/>
  <c r="CE25" i="272"/>
  <c r="CD25" i="272"/>
  <c r="CC25" i="272"/>
  <c r="CB25" i="272"/>
  <c r="CA25" i="272"/>
  <c r="BZ25" i="272"/>
  <c r="BY25" i="272"/>
  <c r="BX25" i="272"/>
  <c r="BW25" i="272"/>
  <c r="BV25" i="272"/>
  <c r="BU25" i="272"/>
  <c r="BT25" i="272"/>
  <c r="BS25" i="272"/>
  <c r="BR25" i="272"/>
  <c r="BQ25" i="272"/>
  <c r="BP25" i="272"/>
  <c r="BO25" i="272"/>
  <c r="BN25" i="272"/>
  <c r="BM25" i="272"/>
  <c r="BL25" i="272"/>
  <c r="BK25" i="272"/>
  <c r="BJ25" i="272"/>
  <c r="BI25" i="272"/>
  <c r="BH25" i="272"/>
  <c r="BG25" i="272"/>
  <c r="BF25" i="272"/>
  <c r="BE25" i="272"/>
  <c r="BD25" i="272"/>
  <c r="BC25" i="272"/>
  <c r="BB25" i="272"/>
  <c r="BA25" i="272"/>
  <c r="AZ25" i="272"/>
  <c r="AY25" i="272"/>
  <c r="AX25" i="272"/>
  <c r="AW25" i="272"/>
  <c r="AV25" i="272"/>
  <c r="AU25" i="272"/>
  <c r="AT25" i="272"/>
  <c r="AS25" i="272"/>
  <c r="AR25" i="272"/>
  <c r="AQ25" i="272"/>
  <c r="AP25" i="272"/>
  <c r="AO25" i="272"/>
  <c r="AN25" i="272"/>
  <c r="AM25" i="272"/>
  <c r="AL25" i="272"/>
  <c r="AK25" i="272"/>
  <c r="AJ25" i="272"/>
  <c r="AI25" i="272"/>
  <c r="AH25" i="272"/>
  <c r="AG25" i="272"/>
  <c r="AF25" i="272"/>
  <c r="AE25" i="272"/>
  <c r="AD25" i="272"/>
  <c r="AC25" i="272"/>
  <c r="AB25" i="272"/>
  <c r="AA25" i="272"/>
  <c r="R25" i="272"/>
  <c r="Q25" i="272"/>
  <c r="M25" i="272"/>
  <c r="HR24" i="272"/>
  <c r="HQ24" i="272"/>
  <c r="HP24" i="272"/>
  <c r="HO24" i="272"/>
  <c r="HN24" i="272"/>
  <c r="HM24" i="272"/>
  <c r="HL24" i="272"/>
  <c r="HK24" i="272"/>
  <c r="HJ24" i="272"/>
  <c r="HI24" i="272"/>
  <c r="HH24" i="272"/>
  <c r="HG24" i="272"/>
  <c r="HF24" i="272"/>
  <c r="HE24" i="272"/>
  <c r="HD24" i="272"/>
  <c r="HC24" i="272"/>
  <c r="HB24" i="272"/>
  <c r="HA24" i="272"/>
  <c r="GZ24" i="272"/>
  <c r="GY24" i="272"/>
  <c r="GX24" i="272"/>
  <c r="GW24" i="272"/>
  <c r="GV24" i="272"/>
  <c r="GU24" i="272"/>
  <c r="GT24" i="272"/>
  <c r="GS24" i="272"/>
  <c r="GR24" i="272"/>
  <c r="GQ24" i="272"/>
  <c r="GP24" i="272"/>
  <c r="GO24" i="272"/>
  <c r="GN24" i="272"/>
  <c r="GM24" i="272"/>
  <c r="GL24" i="272"/>
  <c r="GK24" i="272"/>
  <c r="GJ24" i="272"/>
  <c r="GI24" i="272"/>
  <c r="GH24" i="272"/>
  <c r="GG24" i="272"/>
  <c r="GF24" i="272"/>
  <c r="GE24" i="272"/>
  <c r="GD24" i="272"/>
  <c r="GC24" i="272"/>
  <c r="GB24" i="272"/>
  <c r="GA24" i="272"/>
  <c r="FZ24" i="272"/>
  <c r="FY24" i="272"/>
  <c r="FX24" i="272"/>
  <c r="FW24" i="272"/>
  <c r="FV24" i="272"/>
  <c r="FU24" i="272"/>
  <c r="FT24" i="272"/>
  <c r="FS24" i="272"/>
  <c r="FR24" i="272"/>
  <c r="FQ24" i="272"/>
  <c r="FP24" i="272"/>
  <c r="FO24" i="272"/>
  <c r="FN24" i="272"/>
  <c r="FM24" i="272"/>
  <c r="FL24" i="272"/>
  <c r="FK24" i="272"/>
  <c r="FJ24" i="272"/>
  <c r="FI24" i="272"/>
  <c r="FH24" i="272"/>
  <c r="FG24" i="272"/>
  <c r="FF24" i="272"/>
  <c r="FE24" i="272"/>
  <c r="FD24" i="272"/>
  <c r="FC24" i="272"/>
  <c r="FB24" i="272"/>
  <c r="FA24" i="272"/>
  <c r="EZ24" i="272"/>
  <c r="EY24" i="272"/>
  <c r="EX24" i="272"/>
  <c r="EW24" i="272"/>
  <c r="EV24" i="272"/>
  <c r="EU24" i="272"/>
  <c r="ET24" i="272"/>
  <c r="ES24" i="272"/>
  <c r="ER24" i="272"/>
  <c r="EQ24" i="272"/>
  <c r="EP24" i="272"/>
  <c r="EO24" i="272"/>
  <c r="EN24" i="272"/>
  <c r="EM24" i="272"/>
  <c r="EL24" i="272"/>
  <c r="EK24" i="272"/>
  <c r="EJ24" i="272"/>
  <c r="EI24" i="272"/>
  <c r="EH24" i="272"/>
  <c r="EG24" i="272"/>
  <c r="EF24" i="272"/>
  <c r="EE24" i="272"/>
  <c r="ED24" i="272"/>
  <c r="EC24" i="272"/>
  <c r="EB24" i="272"/>
  <c r="EA24" i="272"/>
  <c r="DZ24" i="272"/>
  <c r="DY24" i="272"/>
  <c r="DT24" i="272"/>
  <c r="DS24" i="272"/>
  <c r="DR24" i="272"/>
  <c r="DQ24" i="272"/>
  <c r="DP24" i="272"/>
  <c r="DO24" i="272"/>
  <c r="DN24" i="272"/>
  <c r="DM24" i="272"/>
  <c r="DL24" i="272"/>
  <c r="DK24" i="272"/>
  <c r="DJ24" i="272"/>
  <c r="DI24" i="272"/>
  <c r="DH24" i="272"/>
  <c r="DG24" i="272"/>
  <c r="DF24" i="272"/>
  <c r="DE24" i="272"/>
  <c r="DD24" i="272"/>
  <c r="DC24" i="272"/>
  <c r="DB24" i="272"/>
  <c r="DA24" i="272"/>
  <c r="CZ24" i="272"/>
  <c r="CY24" i="272"/>
  <c r="CX24" i="272"/>
  <c r="CW24" i="272"/>
  <c r="CV24" i="272"/>
  <c r="CU24" i="272"/>
  <c r="CT24" i="272"/>
  <c r="CS24" i="272"/>
  <c r="CR24" i="272"/>
  <c r="CQ24" i="272"/>
  <c r="CP24" i="272"/>
  <c r="CO24" i="272"/>
  <c r="CN24" i="272"/>
  <c r="CM24" i="272"/>
  <c r="CL24" i="272"/>
  <c r="CK24" i="272"/>
  <c r="CJ24" i="272"/>
  <c r="CI24" i="272"/>
  <c r="CH24" i="272"/>
  <c r="CG24" i="272"/>
  <c r="CF24" i="272"/>
  <c r="CE24" i="272"/>
  <c r="CD24" i="272"/>
  <c r="CC24" i="272"/>
  <c r="CB24" i="272"/>
  <c r="CA24" i="272"/>
  <c r="BZ24" i="272"/>
  <c r="BY24" i="272"/>
  <c r="BX24" i="272"/>
  <c r="BW24" i="272"/>
  <c r="BV24" i="272"/>
  <c r="BU24" i="272"/>
  <c r="BT24" i="272"/>
  <c r="BS24" i="272"/>
  <c r="BR24" i="272"/>
  <c r="BQ24" i="272"/>
  <c r="BP24" i="272"/>
  <c r="BO24" i="272"/>
  <c r="BN24" i="272"/>
  <c r="BM24" i="272"/>
  <c r="BL24" i="272"/>
  <c r="BK24" i="272"/>
  <c r="BJ24" i="272"/>
  <c r="BI24" i="272"/>
  <c r="BH24" i="272"/>
  <c r="BG24" i="272"/>
  <c r="BF24" i="272"/>
  <c r="BE24" i="272"/>
  <c r="BD24" i="272"/>
  <c r="BC24" i="272"/>
  <c r="BB24" i="272"/>
  <c r="BA24" i="272"/>
  <c r="AZ24" i="272"/>
  <c r="AY24" i="272"/>
  <c r="AX24" i="272"/>
  <c r="AW24" i="272"/>
  <c r="AV24" i="272"/>
  <c r="AU24" i="272"/>
  <c r="AT24" i="272"/>
  <c r="AS24" i="272"/>
  <c r="AR24" i="272"/>
  <c r="AQ24" i="272"/>
  <c r="AP24" i="272"/>
  <c r="AO24" i="272"/>
  <c r="AN24" i="272"/>
  <c r="AM24" i="272"/>
  <c r="AL24" i="272"/>
  <c r="AK24" i="272"/>
  <c r="AJ24" i="272"/>
  <c r="AI24" i="272"/>
  <c r="AH24" i="272"/>
  <c r="AG24" i="272"/>
  <c r="AF24" i="272"/>
  <c r="AE24" i="272"/>
  <c r="AD24" i="272"/>
  <c r="AC24" i="272"/>
  <c r="AB24" i="272"/>
  <c r="AA24" i="272"/>
  <c r="U24" i="272"/>
  <c r="Y24" i="272" s="1"/>
  <c r="R24" i="272"/>
  <c r="Q24" i="272"/>
  <c r="M24" i="272"/>
  <c r="O24" i="272" s="1"/>
  <c r="DW24" i="272" s="1"/>
  <c r="HR23" i="272"/>
  <c r="HQ23" i="272"/>
  <c r="HP23" i="272"/>
  <c r="HO23" i="272"/>
  <c r="HN23" i="272"/>
  <c r="HM23" i="272"/>
  <c r="HL23" i="272"/>
  <c r="HK23" i="272"/>
  <c r="HJ23" i="272"/>
  <c r="HI23" i="272"/>
  <c r="HH23" i="272"/>
  <c r="HG23" i="272"/>
  <c r="HF23" i="272"/>
  <c r="HE23" i="272"/>
  <c r="HD23" i="272"/>
  <c r="HC23" i="272"/>
  <c r="HB23" i="272"/>
  <c r="HA23" i="272"/>
  <c r="GZ23" i="272"/>
  <c r="GY23" i="272"/>
  <c r="GX23" i="272"/>
  <c r="GW23" i="272"/>
  <c r="GV23" i="272"/>
  <c r="GU23" i="272"/>
  <c r="GT23" i="272"/>
  <c r="GS23" i="272"/>
  <c r="GR23" i="272"/>
  <c r="GQ23" i="272"/>
  <c r="GP23" i="272"/>
  <c r="GO23" i="272"/>
  <c r="GN23" i="272"/>
  <c r="GM23" i="272"/>
  <c r="GL23" i="272"/>
  <c r="GK23" i="272"/>
  <c r="GJ23" i="272"/>
  <c r="GI23" i="272"/>
  <c r="GH23" i="272"/>
  <c r="GG23" i="272"/>
  <c r="GF23" i="272"/>
  <c r="GE23" i="272"/>
  <c r="GD23" i="272"/>
  <c r="GC23" i="272"/>
  <c r="GB23" i="272"/>
  <c r="GA23" i="272"/>
  <c r="FZ23" i="272"/>
  <c r="FY23" i="272"/>
  <c r="FX23" i="272"/>
  <c r="FW23" i="272"/>
  <c r="FV23" i="272"/>
  <c r="FU23" i="272"/>
  <c r="FT23" i="272"/>
  <c r="FS23" i="272"/>
  <c r="FR23" i="272"/>
  <c r="FQ23" i="272"/>
  <c r="FP23" i="272"/>
  <c r="FO23" i="272"/>
  <c r="FN23" i="272"/>
  <c r="FM23" i="272"/>
  <c r="FL23" i="272"/>
  <c r="FK23" i="272"/>
  <c r="FJ23" i="272"/>
  <c r="FI23" i="272"/>
  <c r="FH23" i="272"/>
  <c r="FG23" i="272"/>
  <c r="FF23" i="272"/>
  <c r="FE23" i="272"/>
  <c r="FD23" i="272"/>
  <c r="FC23" i="272"/>
  <c r="FB23" i="272"/>
  <c r="FA23" i="272"/>
  <c r="EZ23" i="272"/>
  <c r="EY23" i="272"/>
  <c r="EX23" i="272"/>
  <c r="EW23" i="272"/>
  <c r="EV23" i="272"/>
  <c r="EU23" i="272"/>
  <c r="ET23" i="272"/>
  <c r="ES23" i="272"/>
  <c r="ER23" i="272"/>
  <c r="EQ23" i="272"/>
  <c r="EP23" i="272"/>
  <c r="EO23" i="272"/>
  <c r="EN23" i="272"/>
  <c r="EM23" i="272"/>
  <c r="EL23" i="272"/>
  <c r="EK23" i="272"/>
  <c r="EJ23" i="272"/>
  <c r="EI23" i="272"/>
  <c r="EH23" i="272"/>
  <c r="EG23" i="272"/>
  <c r="EF23" i="272"/>
  <c r="EE23" i="272"/>
  <c r="ED23" i="272"/>
  <c r="EC23" i="272"/>
  <c r="EB23" i="272"/>
  <c r="EA23" i="272"/>
  <c r="DZ23" i="272"/>
  <c r="DY23" i="272"/>
  <c r="DT23" i="272"/>
  <c r="DS23" i="272"/>
  <c r="DR23" i="272"/>
  <c r="DQ23" i="272"/>
  <c r="DP23" i="272"/>
  <c r="DO23" i="272"/>
  <c r="DN23" i="272"/>
  <c r="DM23" i="272"/>
  <c r="DL23" i="272"/>
  <c r="DK23" i="272"/>
  <c r="DJ23" i="272"/>
  <c r="DI23" i="272"/>
  <c r="DH23" i="272"/>
  <c r="DG23" i="272"/>
  <c r="DF23" i="272"/>
  <c r="DE23" i="272"/>
  <c r="DD23" i="272"/>
  <c r="DC23" i="272"/>
  <c r="DB23" i="272"/>
  <c r="DA23" i="272"/>
  <c r="CZ23" i="272"/>
  <c r="CY23" i="272"/>
  <c r="CX23" i="272"/>
  <c r="CW23" i="272"/>
  <c r="CV23" i="272"/>
  <c r="CU23" i="272"/>
  <c r="CT23" i="272"/>
  <c r="CS23" i="272"/>
  <c r="CR23" i="272"/>
  <c r="CQ23" i="272"/>
  <c r="CP23" i="272"/>
  <c r="CO23" i="272"/>
  <c r="CN23" i="272"/>
  <c r="CM23" i="272"/>
  <c r="CL23" i="272"/>
  <c r="CK23" i="272"/>
  <c r="CJ23" i="272"/>
  <c r="CI23" i="272"/>
  <c r="CH23" i="272"/>
  <c r="CG23" i="272"/>
  <c r="CF23" i="272"/>
  <c r="CE23" i="272"/>
  <c r="CD23" i="272"/>
  <c r="CC23" i="272"/>
  <c r="CB23" i="272"/>
  <c r="CA23" i="272"/>
  <c r="BZ23" i="272"/>
  <c r="BY23" i="272"/>
  <c r="BX23" i="272"/>
  <c r="BW23" i="272"/>
  <c r="BV23" i="272"/>
  <c r="BU23" i="272"/>
  <c r="BT23" i="272"/>
  <c r="BS23" i="272"/>
  <c r="BR23" i="272"/>
  <c r="BQ23" i="272"/>
  <c r="BP23" i="272"/>
  <c r="BO23" i="272"/>
  <c r="BN23" i="272"/>
  <c r="BM23" i="272"/>
  <c r="BL23" i="272"/>
  <c r="BK23" i="272"/>
  <c r="BJ23" i="272"/>
  <c r="BI23" i="272"/>
  <c r="BH23" i="272"/>
  <c r="BG23" i="272"/>
  <c r="BF23" i="272"/>
  <c r="BE23" i="272"/>
  <c r="BD23" i="272"/>
  <c r="BC23" i="272"/>
  <c r="BB23" i="272"/>
  <c r="BA23" i="272"/>
  <c r="AZ23" i="272"/>
  <c r="AY23" i="272"/>
  <c r="AX23" i="272"/>
  <c r="AW23" i="272"/>
  <c r="AV23" i="272"/>
  <c r="AU23" i="272"/>
  <c r="AT23" i="272"/>
  <c r="AS23" i="272"/>
  <c r="AR23" i="272"/>
  <c r="AQ23" i="272"/>
  <c r="AP23" i="272"/>
  <c r="AO23" i="272"/>
  <c r="AN23" i="272"/>
  <c r="AM23" i="272"/>
  <c r="AL23" i="272"/>
  <c r="AK23" i="272"/>
  <c r="AJ23" i="272"/>
  <c r="AI23" i="272"/>
  <c r="AH23" i="272"/>
  <c r="AG23" i="272"/>
  <c r="AF23" i="272"/>
  <c r="AE23" i="272"/>
  <c r="AD23" i="272"/>
  <c r="AC23" i="272"/>
  <c r="AB23" i="272"/>
  <c r="AA23" i="272"/>
  <c r="U23" i="272"/>
  <c r="Y23" i="272" s="1"/>
  <c r="Q23" i="272"/>
  <c r="O23" i="272"/>
  <c r="DW23" i="272" s="1"/>
  <c r="M23" i="272"/>
  <c r="HR22" i="272"/>
  <c r="HQ22" i="272"/>
  <c r="HP22" i="272"/>
  <c r="HO22" i="272"/>
  <c r="HN22" i="272"/>
  <c r="HM22" i="272"/>
  <c r="HL22" i="272"/>
  <c r="HK22" i="272"/>
  <c r="HJ22" i="272"/>
  <c r="HI22" i="272"/>
  <c r="HH22" i="272"/>
  <c r="HG22" i="272"/>
  <c r="HF22" i="272"/>
  <c r="HE22" i="272"/>
  <c r="HD22" i="272"/>
  <c r="HC22" i="272"/>
  <c r="HB22" i="272"/>
  <c r="HA22" i="272"/>
  <c r="GZ22" i="272"/>
  <c r="GY22" i="272"/>
  <c r="GX22" i="272"/>
  <c r="GW22" i="272"/>
  <c r="GV22" i="272"/>
  <c r="GU22" i="272"/>
  <c r="GT22" i="272"/>
  <c r="GS22" i="272"/>
  <c r="GR22" i="272"/>
  <c r="GQ22" i="272"/>
  <c r="GP22" i="272"/>
  <c r="GO22" i="272"/>
  <c r="GN22" i="272"/>
  <c r="GM22" i="272"/>
  <c r="GL22" i="272"/>
  <c r="GK22" i="272"/>
  <c r="GJ22" i="272"/>
  <c r="GI22" i="272"/>
  <c r="GH22" i="272"/>
  <c r="GG22" i="272"/>
  <c r="GF22" i="272"/>
  <c r="GE22" i="272"/>
  <c r="GD22" i="272"/>
  <c r="GC22" i="272"/>
  <c r="GB22" i="272"/>
  <c r="GA22" i="272"/>
  <c r="FZ22" i="272"/>
  <c r="FY22" i="272"/>
  <c r="FX22" i="272"/>
  <c r="FW22" i="272"/>
  <c r="FV22" i="272"/>
  <c r="FU22" i="272"/>
  <c r="FT22" i="272"/>
  <c r="FS22" i="272"/>
  <c r="FR22" i="272"/>
  <c r="FQ22" i="272"/>
  <c r="FP22" i="272"/>
  <c r="FO22" i="272"/>
  <c r="FN22" i="272"/>
  <c r="FM22" i="272"/>
  <c r="FL22" i="272"/>
  <c r="FK22" i="272"/>
  <c r="FJ22" i="272"/>
  <c r="FI22" i="272"/>
  <c r="FH22" i="272"/>
  <c r="FG22" i="272"/>
  <c r="FF22" i="272"/>
  <c r="FE22" i="272"/>
  <c r="FD22" i="272"/>
  <c r="FC22" i="272"/>
  <c r="FB22" i="272"/>
  <c r="FA22" i="272"/>
  <c r="EZ22" i="272"/>
  <c r="EY22" i="272"/>
  <c r="EX22" i="272"/>
  <c r="EW22" i="272"/>
  <c r="EV22" i="272"/>
  <c r="EU22" i="272"/>
  <c r="ET22" i="272"/>
  <c r="ES22" i="272"/>
  <c r="ER22" i="272"/>
  <c r="EQ22" i="272"/>
  <c r="EP22" i="272"/>
  <c r="EO22" i="272"/>
  <c r="EN22" i="272"/>
  <c r="EM22" i="272"/>
  <c r="EL22" i="272"/>
  <c r="EK22" i="272"/>
  <c r="EJ22" i="272"/>
  <c r="EI22" i="272"/>
  <c r="EH22" i="272"/>
  <c r="EG22" i="272"/>
  <c r="EF22" i="272"/>
  <c r="EE22" i="272"/>
  <c r="ED22" i="272"/>
  <c r="EC22" i="272"/>
  <c r="EB22" i="272"/>
  <c r="EA22" i="272"/>
  <c r="DZ22" i="272"/>
  <c r="DY22" i="272"/>
  <c r="DT22" i="272"/>
  <c r="DS22" i="272"/>
  <c r="DR22" i="272"/>
  <c r="DQ22" i="272"/>
  <c r="DP22" i="272"/>
  <c r="DO22" i="272"/>
  <c r="DN22" i="272"/>
  <c r="DM22" i="272"/>
  <c r="DL22" i="272"/>
  <c r="DK22" i="272"/>
  <c r="DJ22" i="272"/>
  <c r="DI22" i="272"/>
  <c r="DH22" i="272"/>
  <c r="DG22" i="272"/>
  <c r="DF22" i="272"/>
  <c r="DE22" i="272"/>
  <c r="DD22" i="272"/>
  <c r="DC22" i="272"/>
  <c r="DB22" i="272"/>
  <c r="DA22" i="272"/>
  <c r="CZ22" i="272"/>
  <c r="CY22" i="272"/>
  <c r="CX22" i="272"/>
  <c r="CW22" i="272"/>
  <c r="CV22" i="272"/>
  <c r="CU22" i="272"/>
  <c r="CT22" i="272"/>
  <c r="CS22" i="272"/>
  <c r="CR22" i="272"/>
  <c r="CQ22" i="272"/>
  <c r="CP22" i="272"/>
  <c r="CO22" i="272"/>
  <c r="CN22" i="272"/>
  <c r="CM22" i="272"/>
  <c r="CL22" i="272"/>
  <c r="CK22" i="272"/>
  <c r="CJ22" i="272"/>
  <c r="CI22" i="272"/>
  <c r="CH22" i="272"/>
  <c r="CG22" i="272"/>
  <c r="CF22" i="272"/>
  <c r="CE22" i="272"/>
  <c r="CD22" i="272"/>
  <c r="CC22" i="272"/>
  <c r="CB22" i="272"/>
  <c r="CA22" i="272"/>
  <c r="BZ22" i="272"/>
  <c r="BY22" i="272"/>
  <c r="BX22" i="272"/>
  <c r="BW22" i="272"/>
  <c r="BV22" i="272"/>
  <c r="BU22" i="272"/>
  <c r="BT22" i="272"/>
  <c r="BS22" i="272"/>
  <c r="BR22" i="272"/>
  <c r="BQ22" i="272"/>
  <c r="BP22" i="272"/>
  <c r="BO22" i="272"/>
  <c r="BN22" i="272"/>
  <c r="BM22" i="272"/>
  <c r="BL22" i="272"/>
  <c r="BK22" i="272"/>
  <c r="BJ22" i="272"/>
  <c r="BI22" i="272"/>
  <c r="BH22" i="272"/>
  <c r="BG22" i="272"/>
  <c r="BF22" i="272"/>
  <c r="BE22" i="272"/>
  <c r="BD22" i="272"/>
  <c r="BC22" i="272"/>
  <c r="BB22" i="272"/>
  <c r="BA22" i="272"/>
  <c r="AZ22" i="272"/>
  <c r="AY22" i="272"/>
  <c r="AX22" i="272"/>
  <c r="AW22" i="272"/>
  <c r="AV22" i="272"/>
  <c r="AU22" i="272"/>
  <c r="AT22" i="272"/>
  <c r="AS22" i="272"/>
  <c r="AR22" i="272"/>
  <c r="AQ22" i="272"/>
  <c r="AP22" i="272"/>
  <c r="AO22" i="272"/>
  <c r="AN22" i="272"/>
  <c r="AM22" i="272"/>
  <c r="AL22" i="272"/>
  <c r="AK22" i="272"/>
  <c r="AJ22" i="272"/>
  <c r="AI22" i="272"/>
  <c r="AH22" i="272"/>
  <c r="AG22" i="272"/>
  <c r="AF22" i="272"/>
  <c r="AE22" i="272"/>
  <c r="AD22" i="272"/>
  <c r="AC22" i="272"/>
  <c r="AB22" i="272"/>
  <c r="AA22" i="272"/>
  <c r="Q22" i="272"/>
  <c r="O22" i="272"/>
  <c r="DW22" i="272" s="1"/>
  <c r="M22" i="272"/>
  <c r="HR21" i="272"/>
  <c r="HQ21" i="272"/>
  <c r="HP21" i="272"/>
  <c r="HO21" i="272"/>
  <c r="HN21" i="272"/>
  <c r="HM21" i="272"/>
  <c r="HL21" i="272"/>
  <c r="HK21" i="272"/>
  <c r="HJ21" i="272"/>
  <c r="HI21" i="272"/>
  <c r="HH21" i="272"/>
  <c r="HG21" i="272"/>
  <c r="HF21" i="272"/>
  <c r="HE21" i="272"/>
  <c r="HD21" i="272"/>
  <c r="HC21" i="272"/>
  <c r="HB21" i="272"/>
  <c r="HA21" i="272"/>
  <c r="GZ21" i="272"/>
  <c r="GY21" i="272"/>
  <c r="GX21" i="272"/>
  <c r="GW21" i="272"/>
  <c r="GV21" i="272"/>
  <c r="GU21" i="272"/>
  <c r="GT21" i="272"/>
  <c r="GS21" i="272"/>
  <c r="GR21" i="272"/>
  <c r="GQ21" i="272"/>
  <c r="GP21" i="272"/>
  <c r="GO21" i="272"/>
  <c r="GN21" i="272"/>
  <c r="GM21" i="272"/>
  <c r="GL21" i="272"/>
  <c r="GK21" i="272"/>
  <c r="GJ21" i="272"/>
  <c r="GI21" i="272"/>
  <c r="GH21" i="272"/>
  <c r="GG21" i="272"/>
  <c r="GF21" i="272"/>
  <c r="GE21" i="272"/>
  <c r="GD21" i="272"/>
  <c r="GC21" i="272"/>
  <c r="GB21" i="272"/>
  <c r="GA21" i="272"/>
  <c r="FZ21" i="272"/>
  <c r="FY21" i="272"/>
  <c r="FX21" i="272"/>
  <c r="FW21" i="272"/>
  <c r="FV21" i="272"/>
  <c r="FU21" i="272"/>
  <c r="FT21" i="272"/>
  <c r="FS21" i="272"/>
  <c r="FR21" i="272"/>
  <c r="FQ21" i="272"/>
  <c r="FP21" i="272"/>
  <c r="FO21" i="272"/>
  <c r="FN21" i="272"/>
  <c r="FM21" i="272"/>
  <c r="FL21" i="272"/>
  <c r="FK21" i="272"/>
  <c r="FJ21" i="272"/>
  <c r="FI21" i="272"/>
  <c r="FH21" i="272"/>
  <c r="FG21" i="272"/>
  <c r="FF21" i="272"/>
  <c r="FE21" i="272"/>
  <c r="FD21" i="272"/>
  <c r="FC21" i="272"/>
  <c r="FB21" i="272"/>
  <c r="FA21" i="272"/>
  <c r="EZ21" i="272"/>
  <c r="EY21" i="272"/>
  <c r="EX21" i="272"/>
  <c r="EW21" i="272"/>
  <c r="EV21" i="272"/>
  <c r="EU21" i="272"/>
  <c r="ET21" i="272"/>
  <c r="ES21" i="272"/>
  <c r="ER21" i="272"/>
  <c r="EQ21" i="272"/>
  <c r="EP21" i="272"/>
  <c r="EO21" i="272"/>
  <c r="EN21" i="272"/>
  <c r="EM21" i="272"/>
  <c r="EL21" i="272"/>
  <c r="EK21" i="272"/>
  <c r="EJ21" i="272"/>
  <c r="EI21" i="272"/>
  <c r="EH21" i="272"/>
  <c r="EG21" i="272"/>
  <c r="EF21" i="272"/>
  <c r="EE21" i="272"/>
  <c r="ED21" i="272"/>
  <c r="EC21" i="272"/>
  <c r="EB21" i="272"/>
  <c r="EA21" i="272"/>
  <c r="DZ21" i="272"/>
  <c r="DY21" i="272"/>
  <c r="DT21" i="272"/>
  <c r="DS21" i="272"/>
  <c r="DR21" i="272"/>
  <c r="DQ21" i="272"/>
  <c r="DP21" i="272"/>
  <c r="DO21" i="272"/>
  <c r="DN21" i="272"/>
  <c r="DM21" i="272"/>
  <c r="DL21" i="272"/>
  <c r="DK21" i="272"/>
  <c r="DJ21" i="272"/>
  <c r="DI21" i="272"/>
  <c r="DH21" i="272"/>
  <c r="DG21" i="272"/>
  <c r="DF21" i="272"/>
  <c r="DE21" i="272"/>
  <c r="DD21" i="272"/>
  <c r="DC21" i="272"/>
  <c r="DB21" i="272"/>
  <c r="DA21" i="272"/>
  <c r="CZ21" i="272"/>
  <c r="CY21" i="272"/>
  <c r="CX21" i="272"/>
  <c r="CW21" i="272"/>
  <c r="CV21" i="272"/>
  <c r="CU21" i="272"/>
  <c r="CT21" i="272"/>
  <c r="CS21" i="272"/>
  <c r="CR21" i="272"/>
  <c r="CQ21" i="272"/>
  <c r="CP21" i="272"/>
  <c r="CO21" i="272"/>
  <c r="CN21" i="272"/>
  <c r="CM21" i="272"/>
  <c r="CL21" i="272"/>
  <c r="CK21" i="272"/>
  <c r="CJ21" i="272"/>
  <c r="CI21" i="272"/>
  <c r="CH21" i="272"/>
  <c r="CG21" i="272"/>
  <c r="CF21" i="272"/>
  <c r="CE21" i="272"/>
  <c r="CD21" i="272"/>
  <c r="CC21" i="272"/>
  <c r="CB21" i="272"/>
  <c r="CA21" i="272"/>
  <c r="BZ21" i="272"/>
  <c r="BY21" i="272"/>
  <c r="BX21" i="272"/>
  <c r="BW21" i="272"/>
  <c r="BV21" i="272"/>
  <c r="BU21" i="272"/>
  <c r="BT21" i="272"/>
  <c r="BS21" i="272"/>
  <c r="BR21" i="272"/>
  <c r="BQ21" i="272"/>
  <c r="BP21" i="272"/>
  <c r="BO21" i="272"/>
  <c r="BN21" i="272"/>
  <c r="BM21" i="272"/>
  <c r="BL21" i="272"/>
  <c r="BK21" i="272"/>
  <c r="BJ21" i="272"/>
  <c r="BI21" i="272"/>
  <c r="BH21" i="272"/>
  <c r="BG21" i="272"/>
  <c r="BF21" i="272"/>
  <c r="BE21" i="272"/>
  <c r="BD21" i="272"/>
  <c r="BC21" i="272"/>
  <c r="BB21" i="272"/>
  <c r="BA21" i="272"/>
  <c r="AZ21" i="272"/>
  <c r="AY21" i="272"/>
  <c r="AX21" i="272"/>
  <c r="AW21" i="272"/>
  <c r="AV21" i="272"/>
  <c r="AU21" i="272"/>
  <c r="AT21" i="272"/>
  <c r="AS21" i="272"/>
  <c r="AR21" i="272"/>
  <c r="AQ21" i="272"/>
  <c r="AP21" i="272"/>
  <c r="AO21" i="272"/>
  <c r="AN21" i="272"/>
  <c r="AM21" i="272"/>
  <c r="AL21" i="272"/>
  <c r="AK21" i="272"/>
  <c r="AJ21" i="272"/>
  <c r="AI21" i="272"/>
  <c r="AH21" i="272"/>
  <c r="AG21" i="272"/>
  <c r="AF21" i="272"/>
  <c r="AE21" i="272"/>
  <c r="AD21" i="272"/>
  <c r="AC21" i="272"/>
  <c r="AB21" i="272"/>
  <c r="AA21" i="272"/>
  <c r="Q21" i="272"/>
  <c r="M21" i="272"/>
  <c r="HR20" i="272"/>
  <c r="HQ20" i="272"/>
  <c r="HP20" i="272"/>
  <c r="HO20" i="272"/>
  <c r="HN20" i="272"/>
  <c r="HM20" i="272"/>
  <c r="HL20" i="272"/>
  <c r="HK20" i="272"/>
  <c r="HJ20" i="272"/>
  <c r="HI20" i="272"/>
  <c r="HH20" i="272"/>
  <c r="HG20" i="272"/>
  <c r="HF20" i="272"/>
  <c r="HE20" i="272"/>
  <c r="HD20" i="272"/>
  <c r="HC20" i="272"/>
  <c r="HB20" i="272"/>
  <c r="HA20" i="272"/>
  <c r="GZ20" i="272"/>
  <c r="GY20" i="272"/>
  <c r="GX20" i="272"/>
  <c r="GW20" i="272"/>
  <c r="GV20" i="272"/>
  <c r="GU20" i="272"/>
  <c r="GT20" i="272"/>
  <c r="GS20" i="272"/>
  <c r="GR20" i="272"/>
  <c r="GQ20" i="272"/>
  <c r="GP20" i="272"/>
  <c r="GO20" i="272"/>
  <c r="GN20" i="272"/>
  <c r="GM20" i="272"/>
  <c r="GL20" i="272"/>
  <c r="GK20" i="272"/>
  <c r="GJ20" i="272"/>
  <c r="GI20" i="272"/>
  <c r="GH20" i="272"/>
  <c r="GG20" i="272"/>
  <c r="GF20" i="272"/>
  <c r="GE20" i="272"/>
  <c r="GD20" i="272"/>
  <c r="GC20" i="272"/>
  <c r="GB20" i="272"/>
  <c r="GA20" i="272"/>
  <c r="FZ20" i="272"/>
  <c r="FY20" i="272"/>
  <c r="FX20" i="272"/>
  <c r="FW20" i="272"/>
  <c r="FV20" i="272"/>
  <c r="FU20" i="272"/>
  <c r="FT20" i="272"/>
  <c r="FS20" i="272"/>
  <c r="FR20" i="272"/>
  <c r="FQ20" i="272"/>
  <c r="FP20" i="272"/>
  <c r="FO20" i="272"/>
  <c r="FN20" i="272"/>
  <c r="FM20" i="272"/>
  <c r="FL20" i="272"/>
  <c r="FK20" i="272"/>
  <c r="FJ20" i="272"/>
  <c r="FI20" i="272"/>
  <c r="FH20" i="272"/>
  <c r="FG20" i="272"/>
  <c r="FF20" i="272"/>
  <c r="FE20" i="272"/>
  <c r="FD20" i="272"/>
  <c r="FC20" i="272"/>
  <c r="FB20" i="272"/>
  <c r="FA20" i="272"/>
  <c r="EZ20" i="272"/>
  <c r="EY20" i="272"/>
  <c r="EX20" i="272"/>
  <c r="EW20" i="272"/>
  <c r="EV20" i="272"/>
  <c r="EU20" i="272"/>
  <c r="ET20" i="272"/>
  <c r="ES20" i="272"/>
  <c r="ER20" i="272"/>
  <c r="EQ20" i="272"/>
  <c r="EP20" i="272"/>
  <c r="EO20" i="272"/>
  <c r="EN20" i="272"/>
  <c r="EM20" i="272"/>
  <c r="EL20" i="272"/>
  <c r="EK20" i="272"/>
  <c r="EJ20" i="272"/>
  <c r="EI20" i="272"/>
  <c r="EH20" i="272"/>
  <c r="EG20" i="272"/>
  <c r="EF20" i="272"/>
  <c r="EE20" i="272"/>
  <c r="ED20" i="272"/>
  <c r="EC20" i="272"/>
  <c r="EB20" i="272"/>
  <c r="EA20" i="272"/>
  <c r="DZ20" i="272"/>
  <c r="DY20" i="272"/>
  <c r="DT20" i="272"/>
  <c r="DS20" i="272"/>
  <c r="DR20" i="272"/>
  <c r="DQ20" i="272"/>
  <c r="DP20" i="272"/>
  <c r="DO20" i="272"/>
  <c r="DN20" i="272"/>
  <c r="DM20" i="272"/>
  <c r="DL20" i="272"/>
  <c r="DK20" i="272"/>
  <c r="DJ20" i="272"/>
  <c r="DI20" i="272"/>
  <c r="DH20" i="272"/>
  <c r="DG20" i="272"/>
  <c r="DF20" i="272"/>
  <c r="DE20" i="272"/>
  <c r="DD20" i="272"/>
  <c r="DC20" i="272"/>
  <c r="DB20" i="272"/>
  <c r="DA20" i="272"/>
  <c r="CZ20" i="272"/>
  <c r="CY20" i="272"/>
  <c r="CX20" i="272"/>
  <c r="CW20" i="272"/>
  <c r="CV20" i="272"/>
  <c r="CU20" i="272"/>
  <c r="CT20" i="272"/>
  <c r="CS20" i="272"/>
  <c r="CR20" i="272"/>
  <c r="CQ20" i="272"/>
  <c r="CP20" i="272"/>
  <c r="CO20" i="272"/>
  <c r="CN20" i="272"/>
  <c r="CM20" i="272"/>
  <c r="CL20" i="272"/>
  <c r="CK20" i="272"/>
  <c r="CJ20" i="272"/>
  <c r="CI20" i="272"/>
  <c r="CH20" i="272"/>
  <c r="CG20" i="272"/>
  <c r="CF20" i="272"/>
  <c r="CE20" i="272"/>
  <c r="CD20" i="272"/>
  <c r="CC20" i="272"/>
  <c r="CB20" i="272"/>
  <c r="CA20" i="272"/>
  <c r="BZ20" i="272"/>
  <c r="BY20" i="272"/>
  <c r="BX20" i="272"/>
  <c r="BW20" i="272"/>
  <c r="BV20" i="272"/>
  <c r="BU20" i="272"/>
  <c r="BT20" i="272"/>
  <c r="BS20" i="272"/>
  <c r="BR20" i="272"/>
  <c r="BQ20" i="272"/>
  <c r="BP20" i="272"/>
  <c r="BO20" i="272"/>
  <c r="BN20" i="272"/>
  <c r="BM20" i="272"/>
  <c r="BL20" i="272"/>
  <c r="BK20" i="272"/>
  <c r="BJ20" i="272"/>
  <c r="BI20" i="272"/>
  <c r="BH20" i="272"/>
  <c r="BG20" i="272"/>
  <c r="BF20" i="272"/>
  <c r="BE20" i="272"/>
  <c r="BD20" i="272"/>
  <c r="BC20" i="272"/>
  <c r="BB20" i="272"/>
  <c r="BA20" i="272"/>
  <c r="AZ20" i="272"/>
  <c r="AY20" i="272"/>
  <c r="AX20" i="272"/>
  <c r="AW20" i="272"/>
  <c r="AV20" i="272"/>
  <c r="AU20" i="272"/>
  <c r="AT20" i="272"/>
  <c r="AS20" i="272"/>
  <c r="AR20" i="272"/>
  <c r="AQ20" i="272"/>
  <c r="AP20" i="272"/>
  <c r="AO20" i="272"/>
  <c r="AN20" i="272"/>
  <c r="AM20" i="272"/>
  <c r="AL20" i="272"/>
  <c r="AK20" i="272"/>
  <c r="AJ20" i="272"/>
  <c r="AI20" i="272"/>
  <c r="AH20" i="272"/>
  <c r="AG20" i="272"/>
  <c r="AF20" i="272"/>
  <c r="AE20" i="272"/>
  <c r="AD20" i="272"/>
  <c r="AC20" i="272"/>
  <c r="AB20" i="272"/>
  <c r="AA20" i="272"/>
  <c r="U20" i="272"/>
  <c r="Y20" i="272" s="1"/>
  <c r="Q20" i="272"/>
  <c r="M20" i="272"/>
  <c r="O20" i="272" s="1"/>
  <c r="DW20" i="272" s="1"/>
  <c r="HR19" i="272"/>
  <c r="HQ19" i="272"/>
  <c r="HP19" i="272"/>
  <c r="HO19" i="272"/>
  <c r="HN19" i="272"/>
  <c r="HM19" i="272"/>
  <c r="HL19" i="272"/>
  <c r="HK19" i="272"/>
  <c r="HJ19" i="272"/>
  <c r="HI19" i="272"/>
  <c r="HH19" i="272"/>
  <c r="HG19" i="272"/>
  <c r="HF19" i="272"/>
  <c r="HE19" i="272"/>
  <c r="HD19" i="272"/>
  <c r="HC19" i="272"/>
  <c r="HB19" i="272"/>
  <c r="HA19" i="272"/>
  <c r="GZ19" i="272"/>
  <c r="GY19" i="272"/>
  <c r="GX19" i="272"/>
  <c r="GW19" i="272"/>
  <c r="GV19" i="272"/>
  <c r="GU19" i="272"/>
  <c r="GT19" i="272"/>
  <c r="GS19" i="272"/>
  <c r="GR19" i="272"/>
  <c r="GQ19" i="272"/>
  <c r="GP19" i="272"/>
  <c r="GO19" i="272"/>
  <c r="GN19" i="272"/>
  <c r="GM19" i="272"/>
  <c r="GL19" i="272"/>
  <c r="GK19" i="272"/>
  <c r="GJ19" i="272"/>
  <c r="GI19" i="272"/>
  <c r="GH19" i="272"/>
  <c r="GG19" i="272"/>
  <c r="GF19" i="272"/>
  <c r="GE19" i="272"/>
  <c r="GD19" i="272"/>
  <c r="GC19" i="272"/>
  <c r="GB19" i="272"/>
  <c r="GA19" i="272"/>
  <c r="FZ19" i="272"/>
  <c r="FY19" i="272"/>
  <c r="FX19" i="272"/>
  <c r="FW19" i="272"/>
  <c r="FV19" i="272"/>
  <c r="FU19" i="272"/>
  <c r="FT19" i="272"/>
  <c r="FS19" i="272"/>
  <c r="FR19" i="272"/>
  <c r="FQ19" i="272"/>
  <c r="FP19" i="272"/>
  <c r="FO19" i="272"/>
  <c r="FN19" i="272"/>
  <c r="FM19" i="272"/>
  <c r="FL19" i="272"/>
  <c r="FK19" i="272"/>
  <c r="FJ19" i="272"/>
  <c r="FI19" i="272"/>
  <c r="FH19" i="272"/>
  <c r="FG19" i="272"/>
  <c r="FF19" i="272"/>
  <c r="FE19" i="272"/>
  <c r="FD19" i="272"/>
  <c r="FC19" i="272"/>
  <c r="FB19" i="272"/>
  <c r="FA19" i="272"/>
  <c r="EZ19" i="272"/>
  <c r="EY19" i="272"/>
  <c r="EX19" i="272"/>
  <c r="EW19" i="272"/>
  <c r="EV19" i="272"/>
  <c r="EU19" i="272"/>
  <c r="ET19" i="272"/>
  <c r="ES19" i="272"/>
  <c r="ER19" i="272"/>
  <c r="EQ19" i="272"/>
  <c r="EP19" i="272"/>
  <c r="EO19" i="272"/>
  <c r="EN19" i="272"/>
  <c r="EM19" i="272"/>
  <c r="EL19" i="272"/>
  <c r="EK19" i="272"/>
  <c r="EJ19" i="272"/>
  <c r="EI19" i="272"/>
  <c r="EH19" i="272"/>
  <c r="EG19" i="272"/>
  <c r="EF19" i="272"/>
  <c r="EE19" i="272"/>
  <c r="ED19" i="272"/>
  <c r="EC19" i="272"/>
  <c r="EB19" i="272"/>
  <c r="EA19" i="272"/>
  <c r="DZ19" i="272"/>
  <c r="DY19" i="272"/>
  <c r="DX19" i="272"/>
  <c r="DT19" i="272"/>
  <c r="DS19" i="272"/>
  <c r="DR19" i="272"/>
  <c r="DQ19" i="272"/>
  <c r="DP19" i="272"/>
  <c r="DO19" i="272"/>
  <c r="DN19" i="272"/>
  <c r="DM19" i="272"/>
  <c r="DL19" i="272"/>
  <c r="DK19" i="272"/>
  <c r="DJ19" i="272"/>
  <c r="DI19" i="272"/>
  <c r="DH19" i="272"/>
  <c r="DG19" i="272"/>
  <c r="DF19" i="272"/>
  <c r="DE19" i="272"/>
  <c r="DD19" i="272"/>
  <c r="DC19" i="272"/>
  <c r="DB19" i="272"/>
  <c r="DA19" i="272"/>
  <c r="CZ19" i="272"/>
  <c r="CY19" i="272"/>
  <c r="CX19" i="272"/>
  <c r="CW19" i="272"/>
  <c r="CV19" i="272"/>
  <c r="CU19" i="272"/>
  <c r="CT19" i="272"/>
  <c r="CS19" i="272"/>
  <c r="CR19" i="272"/>
  <c r="CQ19" i="272"/>
  <c r="CP19" i="272"/>
  <c r="CO19" i="272"/>
  <c r="CN19" i="272"/>
  <c r="CM19" i="272"/>
  <c r="CL19" i="272"/>
  <c r="CK19" i="272"/>
  <c r="CJ19" i="272"/>
  <c r="CI19" i="272"/>
  <c r="CH19" i="272"/>
  <c r="CG19" i="272"/>
  <c r="CF19" i="272"/>
  <c r="CE19" i="272"/>
  <c r="CD19" i="272"/>
  <c r="CC19" i="272"/>
  <c r="CB19" i="272"/>
  <c r="CA19" i="272"/>
  <c r="BZ19" i="272"/>
  <c r="BY19" i="272"/>
  <c r="BX19" i="272"/>
  <c r="BW19" i="272"/>
  <c r="BV19" i="272"/>
  <c r="BU19" i="272"/>
  <c r="BT19" i="272"/>
  <c r="BS19" i="272"/>
  <c r="BR19" i="272"/>
  <c r="BQ19" i="272"/>
  <c r="BP19" i="272"/>
  <c r="BO19" i="272"/>
  <c r="BN19" i="272"/>
  <c r="BM19" i="272"/>
  <c r="BL19" i="272"/>
  <c r="BK19" i="272"/>
  <c r="BJ19" i="272"/>
  <c r="BI19" i="272"/>
  <c r="BH19" i="272"/>
  <c r="BG19" i="272"/>
  <c r="BF19" i="272"/>
  <c r="BE19" i="272"/>
  <c r="BD19" i="272"/>
  <c r="BC19" i="272"/>
  <c r="BB19" i="272"/>
  <c r="BA19" i="272"/>
  <c r="AZ19" i="272"/>
  <c r="AY19" i="272"/>
  <c r="AX19" i="272"/>
  <c r="AW19" i="272"/>
  <c r="AV19" i="272"/>
  <c r="AU19" i="272"/>
  <c r="AT19" i="272"/>
  <c r="AS19" i="272"/>
  <c r="AR19" i="272"/>
  <c r="AQ19" i="272"/>
  <c r="AP19" i="272"/>
  <c r="AO19" i="272"/>
  <c r="AN19" i="272"/>
  <c r="AM19" i="272"/>
  <c r="AL19" i="272"/>
  <c r="AK19" i="272"/>
  <c r="AJ19" i="272"/>
  <c r="AI19" i="272"/>
  <c r="AH19" i="272"/>
  <c r="AG19" i="272"/>
  <c r="AF19" i="272"/>
  <c r="AE19" i="272"/>
  <c r="AD19" i="272"/>
  <c r="AC19" i="272"/>
  <c r="AB19" i="272"/>
  <c r="AA19" i="272"/>
  <c r="Z19" i="272"/>
  <c r="Y19" i="272"/>
  <c r="U19" i="272"/>
  <c r="R19" i="272"/>
  <c r="Q19" i="272"/>
  <c r="O19" i="272"/>
  <c r="DW19" i="272" s="1"/>
  <c r="M19" i="272"/>
  <c r="HR18" i="272"/>
  <c r="HQ18" i="272"/>
  <c r="HP18" i="272"/>
  <c r="HO18" i="272"/>
  <c r="HN18" i="272"/>
  <c r="HM18" i="272"/>
  <c r="HL18" i="272"/>
  <c r="HK18" i="272"/>
  <c r="HJ18" i="272"/>
  <c r="HI18" i="272"/>
  <c r="HH18" i="272"/>
  <c r="HG18" i="272"/>
  <c r="HF18" i="272"/>
  <c r="HE18" i="272"/>
  <c r="HD18" i="272"/>
  <c r="HC18" i="272"/>
  <c r="HB18" i="272"/>
  <c r="HA18" i="272"/>
  <c r="GZ18" i="272"/>
  <c r="GY18" i="272"/>
  <c r="GX18" i="272"/>
  <c r="GW18" i="272"/>
  <c r="GV18" i="272"/>
  <c r="GU18" i="272"/>
  <c r="GT18" i="272"/>
  <c r="GS18" i="272"/>
  <c r="GR18" i="272"/>
  <c r="GQ18" i="272"/>
  <c r="GP18" i="272"/>
  <c r="GO18" i="272"/>
  <c r="GN18" i="272"/>
  <c r="GM18" i="272"/>
  <c r="GL18" i="272"/>
  <c r="GK18" i="272"/>
  <c r="GJ18" i="272"/>
  <c r="GI18" i="272"/>
  <c r="GH18" i="272"/>
  <c r="GG18" i="272"/>
  <c r="GF18" i="272"/>
  <c r="GE18" i="272"/>
  <c r="GD18" i="272"/>
  <c r="GC18" i="272"/>
  <c r="GB18" i="272"/>
  <c r="GA18" i="272"/>
  <c r="FZ18" i="272"/>
  <c r="FY18" i="272"/>
  <c r="FX18" i="272"/>
  <c r="FW18" i="272"/>
  <c r="FV18" i="272"/>
  <c r="FU18" i="272"/>
  <c r="FT18" i="272"/>
  <c r="FS18" i="272"/>
  <c r="FR18" i="272"/>
  <c r="FQ18" i="272"/>
  <c r="FP18" i="272"/>
  <c r="FO18" i="272"/>
  <c r="FN18" i="272"/>
  <c r="FM18" i="272"/>
  <c r="FL18" i="272"/>
  <c r="FK18" i="272"/>
  <c r="FJ18" i="272"/>
  <c r="FI18" i="272"/>
  <c r="FH18" i="272"/>
  <c r="FG18" i="272"/>
  <c r="FF18" i="272"/>
  <c r="FE18" i="272"/>
  <c r="FD18" i="272"/>
  <c r="FC18" i="272"/>
  <c r="FB18" i="272"/>
  <c r="FA18" i="272"/>
  <c r="EZ18" i="272"/>
  <c r="EY18" i="272"/>
  <c r="EX18" i="272"/>
  <c r="EW18" i="272"/>
  <c r="EV18" i="272"/>
  <c r="EU18" i="272"/>
  <c r="ET18" i="272"/>
  <c r="ES18" i="272"/>
  <c r="ER18" i="272"/>
  <c r="EQ18" i="272"/>
  <c r="EP18" i="272"/>
  <c r="EO18" i="272"/>
  <c r="EN18" i="272"/>
  <c r="EM18" i="272"/>
  <c r="EL18" i="272"/>
  <c r="EK18" i="272"/>
  <c r="EJ18" i="272"/>
  <c r="EI18" i="272"/>
  <c r="EH18" i="272"/>
  <c r="EG18" i="272"/>
  <c r="EF18" i="272"/>
  <c r="EE18" i="272"/>
  <c r="ED18" i="272"/>
  <c r="EC18" i="272"/>
  <c r="EB18" i="272"/>
  <c r="EA18" i="272"/>
  <c r="DZ18" i="272"/>
  <c r="DY18" i="272"/>
  <c r="DX18" i="272"/>
  <c r="DT18" i="272"/>
  <c r="DS18" i="272"/>
  <c r="DR18" i="272"/>
  <c r="DQ18" i="272"/>
  <c r="DP18" i="272"/>
  <c r="DO18" i="272"/>
  <c r="DN18" i="272"/>
  <c r="DM18" i="272"/>
  <c r="DL18" i="272"/>
  <c r="DK18" i="272"/>
  <c r="DJ18" i="272"/>
  <c r="DI18" i="272"/>
  <c r="DH18" i="272"/>
  <c r="DG18" i="272"/>
  <c r="DF18" i="272"/>
  <c r="DE18" i="272"/>
  <c r="DD18" i="272"/>
  <c r="DC18" i="272"/>
  <c r="DB18" i="272"/>
  <c r="DA18" i="272"/>
  <c r="CZ18" i="272"/>
  <c r="CY18" i="272"/>
  <c r="CX18" i="272"/>
  <c r="CW18" i="272"/>
  <c r="CV18" i="272"/>
  <c r="CU18" i="272"/>
  <c r="CT18" i="272"/>
  <c r="CS18" i="272"/>
  <c r="CR18" i="272"/>
  <c r="CQ18" i="272"/>
  <c r="CP18" i="272"/>
  <c r="CO18" i="272"/>
  <c r="CN18" i="272"/>
  <c r="CM18" i="272"/>
  <c r="CL18" i="272"/>
  <c r="CK18" i="272"/>
  <c r="CJ18" i="272"/>
  <c r="CI18" i="272"/>
  <c r="CH18" i="272"/>
  <c r="CG18" i="272"/>
  <c r="CF18" i="272"/>
  <c r="CE18" i="272"/>
  <c r="CD18" i="272"/>
  <c r="CC18" i="272"/>
  <c r="CB18" i="272"/>
  <c r="CA18" i="272"/>
  <c r="BZ18" i="272"/>
  <c r="BY18" i="272"/>
  <c r="BX18" i="272"/>
  <c r="BW18" i="272"/>
  <c r="BV18" i="272"/>
  <c r="BU18" i="272"/>
  <c r="BT18" i="272"/>
  <c r="BS18" i="272"/>
  <c r="BR18" i="272"/>
  <c r="BQ18" i="272"/>
  <c r="BP18" i="272"/>
  <c r="BO18" i="272"/>
  <c r="BN18" i="272"/>
  <c r="BM18" i="272"/>
  <c r="BL18" i="272"/>
  <c r="BK18" i="272"/>
  <c r="BJ18" i="272"/>
  <c r="BI18" i="272"/>
  <c r="BH18" i="272"/>
  <c r="BG18" i="272"/>
  <c r="BF18" i="272"/>
  <c r="BE18" i="272"/>
  <c r="BD18" i="272"/>
  <c r="BC18" i="272"/>
  <c r="BB18" i="272"/>
  <c r="BA18" i="272"/>
  <c r="AZ18" i="272"/>
  <c r="AY18" i="272"/>
  <c r="AX18" i="272"/>
  <c r="AW18" i="272"/>
  <c r="AV18" i="272"/>
  <c r="AU18" i="272"/>
  <c r="AT18" i="272"/>
  <c r="AS18" i="272"/>
  <c r="AR18" i="272"/>
  <c r="AQ18" i="272"/>
  <c r="AP18" i="272"/>
  <c r="AO18" i="272"/>
  <c r="AN18" i="272"/>
  <c r="AM18" i="272"/>
  <c r="AL18" i="272"/>
  <c r="AK18" i="272"/>
  <c r="AJ18" i="272"/>
  <c r="AI18" i="272"/>
  <c r="AH18" i="272"/>
  <c r="AG18" i="272"/>
  <c r="AF18" i="272"/>
  <c r="AE18" i="272"/>
  <c r="AD18" i="272"/>
  <c r="AC18" i="272"/>
  <c r="AB18" i="272"/>
  <c r="AA18" i="272"/>
  <c r="Z18" i="272"/>
  <c r="M18" i="272"/>
  <c r="HR17" i="272"/>
  <c r="HQ17" i="272"/>
  <c r="HP17" i="272"/>
  <c r="HO17" i="272"/>
  <c r="HN17" i="272"/>
  <c r="HM17" i="272"/>
  <c r="HL17" i="272"/>
  <c r="HK17" i="272"/>
  <c r="HJ17" i="272"/>
  <c r="HI17" i="272"/>
  <c r="HH17" i="272"/>
  <c r="HG17" i="272"/>
  <c r="HF17" i="272"/>
  <c r="HE17" i="272"/>
  <c r="HD17" i="272"/>
  <c r="HC17" i="272"/>
  <c r="HB17" i="272"/>
  <c r="HA17" i="272"/>
  <c r="GZ17" i="272"/>
  <c r="GY17" i="272"/>
  <c r="GX17" i="272"/>
  <c r="GW17" i="272"/>
  <c r="GV17" i="272"/>
  <c r="GU17" i="272"/>
  <c r="GT17" i="272"/>
  <c r="GS17" i="272"/>
  <c r="GR17" i="272"/>
  <c r="GQ17" i="272"/>
  <c r="GP17" i="272"/>
  <c r="GO17" i="272"/>
  <c r="GN17" i="272"/>
  <c r="GM17" i="272"/>
  <c r="GL17" i="272"/>
  <c r="GK17" i="272"/>
  <c r="GJ17" i="272"/>
  <c r="GI17" i="272"/>
  <c r="GH17" i="272"/>
  <c r="GG17" i="272"/>
  <c r="GF17" i="272"/>
  <c r="GE17" i="272"/>
  <c r="GD17" i="272"/>
  <c r="GC17" i="272"/>
  <c r="GB17" i="272"/>
  <c r="GA17" i="272"/>
  <c r="FZ17" i="272"/>
  <c r="FY17" i="272"/>
  <c r="FX17" i="272"/>
  <c r="FW17" i="272"/>
  <c r="FV17" i="272"/>
  <c r="FU17" i="272"/>
  <c r="FT17" i="272"/>
  <c r="FS17" i="272"/>
  <c r="FR17" i="272"/>
  <c r="FQ17" i="272"/>
  <c r="FP17" i="272"/>
  <c r="FO17" i="272"/>
  <c r="FN17" i="272"/>
  <c r="FM17" i="272"/>
  <c r="FL17" i="272"/>
  <c r="FK17" i="272"/>
  <c r="FJ17" i="272"/>
  <c r="FI17" i="272"/>
  <c r="FH17" i="272"/>
  <c r="FG17" i="272"/>
  <c r="FF17" i="272"/>
  <c r="FE17" i="272"/>
  <c r="FD17" i="272"/>
  <c r="FC17" i="272"/>
  <c r="FB17" i="272"/>
  <c r="FA17" i="272"/>
  <c r="EZ17" i="272"/>
  <c r="EY17" i="272"/>
  <c r="EX17" i="272"/>
  <c r="EW17" i="272"/>
  <c r="EV17" i="272"/>
  <c r="EU17" i="272"/>
  <c r="ET17" i="272"/>
  <c r="ES17" i="272"/>
  <c r="ER17" i="272"/>
  <c r="EQ17" i="272"/>
  <c r="EP17" i="272"/>
  <c r="EO17" i="272"/>
  <c r="EN17" i="272"/>
  <c r="EM17" i="272"/>
  <c r="EL17" i="272"/>
  <c r="EK17" i="272"/>
  <c r="EJ17" i="272"/>
  <c r="EI17" i="272"/>
  <c r="EH17" i="272"/>
  <c r="EG17" i="272"/>
  <c r="EF17" i="272"/>
  <c r="EE17" i="272"/>
  <c r="ED17" i="272"/>
  <c r="EC17" i="272"/>
  <c r="EB17" i="272"/>
  <c r="EA17" i="272"/>
  <c r="DZ17" i="272"/>
  <c r="DY17" i="272"/>
  <c r="DX17" i="272"/>
  <c r="DT17" i="272"/>
  <c r="DS17" i="272"/>
  <c r="DR17" i="272"/>
  <c r="DQ17" i="272"/>
  <c r="DP17" i="272"/>
  <c r="DO17" i="272"/>
  <c r="DN17" i="272"/>
  <c r="DM17" i="272"/>
  <c r="DL17" i="272"/>
  <c r="DK17" i="272"/>
  <c r="DJ17" i="272"/>
  <c r="DI17" i="272"/>
  <c r="DH17" i="272"/>
  <c r="DG17" i="272"/>
  <c r="DF17" i="272"/>
  <c r="DE17" i="272"/>
  <c r="DD17" i="272"/>
  <c r="DC17" i="272"/>
  <c r="DB17" i="272"/>
  <c r="DA17" i="272"/>
  <c r="CZ17" i="272"/>
  <c r="CY17" i="272"/>
  <c r="CX17" i="272"/>
  <c r="CW17" i="272"/>
  <c r="CV17" i="272"/>
  <c r="CU17" i="272"/>
  <c r="CT17" i="272"/>
  <c r="CS17" i="272"/>
  <c r="CR17" i="272"/>
  <c r="CQ17" i="272"/>
  <c r="CP17" i="272"/>
  <c r="CO17" i="272"/>
  <c r="CN17" i="272"/>
  <c r="CM17" i="272"/>
  <c r="CL17" i="272"/>
  <c r="CK17" i="272"/>
  <c r="CJ17" i="272"/>
  <c r="CI17" i="272"/>
  <c r="CH17" i="272"/>
  <c r="CG17" i="272"/>
  <c r="CF17" i="272"/>
  <c r="CE17" i="272"/>
  <c r="CD17" i="272"/>
  <c r="CC17" i="272"/>
  <c r="CB17" i="272"/>
  <c r="CA17" i="272"/>
  <c r="BZ17" i="272"/>
  <c r="BY17" i="272"/>
  <c r="BX17" i="272"/>
  <c r="BW17" i="272"/>
  <c r="BV17" i="272"/>
  <c r="BU17" i="272"/>
  <c r="BT17" i="272"/>
  <c r="BS17" i="272"/>
  <c r="BR17" i="272"/>
  <c r="BQ17" i="272"/>
  <c r="BP17" i="272"/>
  <c r="BO17" i="272"/>
  <c r="BN17" i="272"/>
  <c r="BM17" i="272"/>
  <c r="BL17" i="272"/>
  <c r="BK17" i="272"/>
  <c r="BJ17" i="272"/>
  <c r="BI17" i="272"/>
  <c r="BH17" i="272"/>
  <c r="BG17" i="272"/>
  <c r="BF17" i="272"/>
  <c r="BE17" i="272"/>
  <c r="BD17" i="272"/>
  <c r="BC17" i="272"/>
  <c r="BB17" i="272"/>
  <c r="BA17" i="272"/>
  <c r="AZ17" i="272"/>
  <c r="AY17" i="272"/>
  <c r="AX17" i="272"/>
  <c r="AW17" i="272"/>
  <c r="AV17" i="272"/>
  <c r="AU17" i="272"/>
  <c r="AT17" i="272"/>
  <c r="AS17" i="272"/>
  <c r="AR17" i="272"/>
  <c r="AQ17" i="272"/>
  <c r="AP17" i="272"/>
  <c r="AO17" i="272"/>
  <c r="AN17" i="272"/>
  <c r="AM17" i="272"/>
  <c r="AL17" i="272"/>
  <c r="AK17" i="272"/>
  <c r="AJ17" i="272"/>
  <c r="AI17" i="272"/>
  <c r="AH17" i="272"/>
  <c r="AG17" i="272"/>
  <c r="AF17" i="272"/>
  <c r="AE17" i="272"/>
  <c r="AD17" i="272"/>
  <c r="AC17" i="272"/>
  <c r="AB17" i="272"/>
  <c r="AA17" i="272"/>
  <c r="Z17" i="272"/>
  <c r="Q17" i="272"/>
  <c r="O17" i="272"/>
  <c r="DW17" i="272" s="1"/>
  <c r="M17" i="272"/>
  <c r="HR16" i="272"/>
  <c r="HQ16" i="272"/>
  <c r="HP16" i="272"/>
  <c r="HO16" i="272"/>
  <c r="HN16" i="272"/>
  <c r="HM16" i="272"/>
  <c r="HL16" i="272"/>
  <c r="HK16" i="272"/>
  <c r="HJ16" i="272"/>
  <c r="HI16" i="272"/>
  <c r="HH16" i="272"/>
  <c r="HG16" i="272"/>
  <c r="HF16" i="272"/>
  <c r="HE16" i="272"/>
  <c r="HD16" i="272"/>
  <c r="HC16" i="272"/>
  <c r="HB16" i="272"/>
  <c r="HA16" i="272"/>
  <c r="GZ16" i="272"/>
  <c r="GY16" i="272"/>
  <c r="GX16" i="272"/>
  <c r="GW16" i="272"/>
  <c r="GV16" i="272"/>
  <c r="GU16" i="272"/>
  <c r="GT16" i="272"/>
  <c r="GS16" i="272"/>
  <c r="GR16" i="272"/>
  <c r="GQ16" i="272"/>
  <c r="GP16" i="272"/>
  <c r="GO16" i="272"/>
  <c r="GN16" i="272"/>
  <c r="GM16" i="272"/>
  <c r="GL16" i="272"/>
  <c r="GK16" i="272"/>
  <c r="GJ16" i="272"/>
  <c r="GI16" i="272"/>
  <c r="GH16" i="272"/>
  <c r="GG16" i="272"/>
  <c r="GF16" i="272"/>
  <c r="GE16" i="272"/>
  <c r="GD16" i="272"/>
  <c r="GC16" i="272"/>
  <c r="GB16" i="272"/>
  <c r="GA16" i="272"/>
  <c r="FZ16" i="272"/>
  <c r="FY16" i="272"/>
  <c r="FX16" i="272"/>
  <c r="FW16" i="272"/>
  <c r="FV16" i="272"/>
  <c r="FU16" i="272"/>
  <c r="FT16" i="272"/>
  <c r="FS16" i="272"/>
  <c r="FR16" i="272"/>
  <c r="FQ16" i="272"/>
  <c r="FP16" i="272"/>
  <c r="FO16" i="272"/>
  <c r="FN16" i="272"/>
  <c r="FM16" i="272"/>
  <c r="FL16" i="272"/>
  <c r="FK16" i="272"/>
  <c r="FJ16" i="272"/>
  <c r="FI16" i="272"/>
  <c r="FH16" i="272"/>
  <c r="FG16" i="272"/>
  <c r="FF16" i="272"/>
  <c r="FE16" i="272"/>
  <c r="FD16" i="272"/>
  <c r="FC16" i="272"/>
  <c r="FB16" i="272"/>
  <c r="FA16" i="272"/>
  <c r="EZ16" i="272"/>
  <c r="EY16" i="272"/>
  <c r="EX16" i="272"/>
  <c r="EW16" i="272"/>
  <c r="EV16" i="272"/>
  <c r="EU16" i="272"/>
  <c r="ET16" i="272"/>
  <c r="ES16" i="272"/>
  <c r="ER16" i="272"/>
  <c r="EQ16" i="272"/>
  <c r="EP16" i="272"/>
  <c r="EO16" i="272"/>
  <c r="EN16" i="272"/>
  <c r="EM16" i="272"/>
  <c r="EL16" i="272"/>
  <c r="EK16" i="272"/>
  <c r="EJ16" i="272"/>
  <c r="EI16" i="272"/>
  <c r="EH16" i="272"/>
  <c r="EG16" i="272"/>
  <c r="EF16" i="272"/>
  <c r="EE16" i="272"/>
  <c r="ED16" i="272"/>
  <c r="EC16" i="272"/>
  <c r="EB16" i="272"/>
  <c r="EA16" i="272"/>
  <c r="DZ16" i="272"/>
  <c r="DY16" i="272"/>
  <c r="DX16" i="272"/>
  <c r="DT16" i="272"/>
  <c r="DS16" i="272"/>
  <c r="DR16" i="272"/>
  <c r="DQ16" i="272"/>
  <c r="DP16" i="272"/>
  <c r="DO16" i="272"/>
  <c r="DN16" i="272"/>
  <c r="DM16" i="272"/>
  <c r="DL16" i="272"/>
  <c r="DK16" i="272"/>
  <c r="DJ16" i="272"/>
  <c r="DI16" i="272"/>
  <c r="DH16" i="272"/>
  <c r="DG16" i="272"/>
  <c r="DF16" i="272"/>
  <c r="DE16" i="272"/>
  <c r="DD16" i="272"/>
  <c r="DC16" i="272"/>
  <c r="DB16" i="272"/>
  <c r="DA16" i="272"/>
  <c r="CZ16" i="272"/>
  <c r="CY16" i="272"/>
  <c r="CX16" i="272"/>
  <c r="CW16" i="272"/>
  <c r="CV16" i="272"/>
  <c r="CU16" i="272"/>
  <c r="CT16" i="272"/>
  <c r="CS16" i="272"/>
  <c r="CR16" i="272"/>
  <c r="CQ16" i="272"/>
  <c r="CP16" i="272"/>
  <c r="CO16" i="272"/>
  <c r="CN16" i="272"/>
  <c r="CM16" i="272"/>
  <c r="CL16" i="272"/>
  <c r="CK16" i="272"/>
  <c r="CJ16" i="272"/>
  <c r="CI16" i="272"/>
  <c r="CH16" i="272"/>
  <c r="CG16" i="272"/>
  <c r="CF16" i="272"/>
  <c r="CE16" i="272"/>
  <c r="CD16" i="272"/>
  <c r="CC16" i="272"/>
  <c r="CB16" i="272"/>
  <c r="CA16" i="272"/>
  <c r="BZ16" i="272"/>
  <c r="BY16" i="272"/>
  <c r="BX16" i="272"/>
  <c r="BW16" i="272"/>
  <c r="BV16" i="272"/>
  <c r="BU16" i="272"/>
  <c r="BT16" i="272"/>
  <c r="BS16" i="272"/>
  <c r="BR16" i="272"/>
  <c r="BQ16" i="272"/>
  <c r="BP16" i="272"/>
  <c r="BO16" i="272"/>
  <c r="BN16" i="272"/>
  <c r="BM16" i="272"/>
  <c r="BL16" i="272"/>
  <c r="BK16" i="272"/>
  <c r="BJ16" i="272"/>
  <c r="BI16" i="272"/>
  <c r="BH16" i="272"/>
  <c r="BG16" i="272"/>
  <c r="BF16" i="272"/>
  <c r="BE16" i="272"/>
  <c r="BD16" i="272"/>
  <c r="BC16" i="272"/>
  <c r="BB16" i="272"/>
  <c r="BA16" i="272"/>
  <c r="AZ16" i="272"/>
  <c r="AY16" i="272"/>
  <c r="AX16" i="272"/>
  <c r="AW16" i="272"/>
  <c r="AV16" i="272"/>
  <c r="AU16" i="272"/>
  <c r="AT16" i="272"/>
  <c r="AS16" i="272"/>
  <c r="AR16" i="272"/>
  <c r="AQ16" i="272"/>
  <c r="AP16" i="272"/>
  <c r="AO16" i="272"/>
  <c r="AN16" i="272"/>
  <c r="AM16" i="272"/>
  <c r="AL16" i="272"/>
  <c r="AK16" i="272"/>
  <c r="AJ16" i="272"/>
  <c r="AI16" i="272"/>
  <c r="AH16" i="272"/>
  <c r="AG16" i="272"/>
  <c r="AF16" i="272"/>
  <c r="AE16" i="272"/>
  <c r="AD16" i="272"/>
  <c r="AC16" i="272"/>
  <c r="AB16" i="272"/>
  <c r="AA16" i="272"/>
  <c r="Z16" i="272"/>
  <c r="U16" i="272"/>
  <c r="Y16" i="272" s="1"/>
  <c r="Q16" i="272"/>
  <c r="O16" i="272"/>
  <c r="DW16" i="272" s="1"/>
  <c r="M16" i="272"/>
  <c r="HR15" i="272"/>
  <c r="HQ15" i="272"/>
  <c r="HP15" i="272"/>
  <c r="HO15" i="272"/>
  <c r="HN15" i="272"/>
  <c r="HM15" i="272"/>
  <c r="HL15" i="272"/>
  <c r="HK15" i="272"/>
  <c r="HJ15" i="272"/>
  <c r="HI15" i="272"/>
  <c r="HH15" i="272"/>
  <c r="HG15" i="272"/>
  <c r="HF15" i="272"/>
  <c r="HE15" i="272"/>
  <c r="HD15" i="272"/>
  <c r="HC15" i="272"/>
  <c r="HB15" i="272"/>
  <c r="HA15" i="272"/>
  <c r="GZ15" i="272"/>
  <c r="GY15" i="272"/>
  <c r="GX15" i="272"/>
  <c r="GW15" i="272"/>
  <c r="GV15" i="272"/>
  <c r="GU15" i="272"/>
  <c r="GT15" i="272"/>
  <c r="GS15" i="272"/>
  <c r="GR15" i="272"/>
  <c r="GQ15" i="272"/>
  <c r="GP15" i="272"/>
  <c r="GO15" i="272"/>
  <c r="GN15" i="272"/>
  <c r="GM15" i="272"/>
  <c r="GL15" i="272"/>
  <c r="GK15" i="272"/>
  <c r="GJ15" i="272"/>
  <c r="GI15" i="272"/>
  <c r="GH15" i="272"/>
  <c r="GG15" i="272"/>
  <c r="GF15" i="272"/>
  <c r="GE15" i="272"/>
  <c r="GD15" i="272"/>
  <c r="GC15" i="272"/>
  <c r="GB15" i="272"/>
  <c r="GA15" i="272"/>
  <c r="FZ15" i="272"/>
  <c r="FY15" i="272"/>
  <c r="FX15" i="272"/>
  <c r="FW15" i="272"/>
  <c r="FV15" i="272"/>
  <c r="FU15" i="272"/>
  <c r="FT15" i="272"/>
  <c r="FS15" i="272"/>
  <c r="FR15" i="272"/>
  <c r="FQ15" i="272"/>
  <c r="FP15" i="272"/>
  <c r="FO15" i="272"/>
  <c r="FN15" i="272"/>
  <c r="FM15" i="272"/>
  <c r="FL15" i="272"/>
  <c r="FK15" i="272"/>
  <c r="FJ15" i="272"/>
  <c r="FI15" i="272"/>
  <c r="FH15" i="272"/>
  <c r="FG15" i="272"/>
  <c r="FF15" i="272"/>
  <c r="FE15" i="272"/>
  <c r="FD15" i="272"/>
  <c r="FC15" i="272"/>
  <c r="FB15" i="272"/>
  <c r="FA15" i="272"/>
  <c r="EZ15" i="272"/>
  <c r="EY15" i="272"/>
  <c r="EX15" i="272"/>
  <c r="EW15" i="272"/>
  <c r="EV15" i="272"/>
  <c r="EU15" i="272"/>
  <c r="ET15" i="272"/>
  <c r="ES15" i="272"/>
  <c r="ER15" i="272"/>
  <c r="EQ15" i="272"/>
  <c r="EP15" i="272"/>
  <c r="EO15" i="272"/>
  <c r="EN15" i="272"/>
  <c r="EM15" i="272"/>
  <c r="EL15" i="272"/>
  <c r="EK15" i="272"/>
  <c r="EJ15" i="272"/>
  <c r="EI15" i="272"/>
  <c r="EH15" i="272"/>
  <c r="EG15" i="272"/>
  <c r="EF15" i="272"/>
  <c r="EE15" i="272"/>
  <c r="ED15" i="272"/>
  <c r="EC15" i="272"/>
  <c r="EB15" i="272"/>
  <c r="EA15" i="272"/>
  <c r="DZ15" i="272"/>
  <c r="DY15" i="272"/>
  <c r="DX15" i="272"/>
  <c r="DT15" i="272"/>
  <c r="DS15" i="272"/>
  <c r="DR15" i="272"/>
  <c r="DQ15" i="272"/>
  <c r="DP15" i="272"/>
  <c r="DO15" i="272"/>
  <c r="DN15" i="272"/>
  <c r="DM15" i="272"/>
  <c r="DL15" i="272"/>
  <c r="DK15" i="272"/>
  <c r="DJ15" i="272"/>
  <c r="DI15" i="272"/>
  <c r="DH15" i="272"/>
  <c r="DG15" i="272"/>
  <c r="DF15" i="272"/>
  <c r="DE15" i="272"/>
  <c r="DD15" i="272"/>
  <c r="DC15" i="272"/>
  <c r="DB15" i="272"/>
  <c r="DA15" i="272"/>
  <c r="CZ15" i="272"/>
  <c r="CY15" i="272"/>
  <c r="CX15" i="272"/>
  <c r="CW15" i="272"/>
  <c r="CV15" i="272"/>
  <c r="CU15" i="272"/>
  <c r="CT15" i="272"/>
  <c r="CS15" i="272"/>
  <c r="CR15" i="272"/>
  <c r="CQ15" i="272"/>
  <c r="CP15" i="272"/>
  <c r="CO15" i="272"/>
  <c r="CN15" i="272"/>
  <c r="CM15" i="272"/>
  <c r="CL15" i="272"/>
  <c r="CK15" i="272"/>
  <c r="CJ15" i="272"/>
  <c r="CI15" i="272"/>
  <c r="CH15" i="272"/>
  <c r="CG15" i="272"/>
  <c r="CF15" i="272"/>
  <c r="CE15" i="272"/>
  <c r="CD15" i="272"/>
  <c r="CC15" i="272"/>
  <c r="CB15" i="272"/>
  <c r="CA15" i="272"/>
  <c r="BZ15" i="272"/>
  <c r="BY15" i="272"/>
  <c r="BX15" i="272"/>
  <c r="BW15" i="272"/>
  <c r="BV15" i="272"/>
  <c r="BU15" i="272"/>
  <c r="BT15" i="272"/>
  <c r="BS15" i="272"/>
  <c r="BR15" i="272"/>
  <c r="BQ15" i="272"/>
  <c r="BP15" i="272"/>
  <c r="BO15" i="272"/>
  <c r="BN15" i="272"/>
  <c r="BM15" i="272"/>
  <c r="BL15" i="272"/>
  <c r="BK15" i="272"/>
  <c r="BJ15" i="272"/>
  <c r="BI15" i="272"/>
  <c r="BH15" i="272"/>
  <c r="BG15" i="272"/>
  <c r="BF15" i="272"/>
  <c r="BE15" i="272"/>
  <c r="BD15" i="272"/>
  <c r="BC15" i="272"/>
  <c r="BB15" i="272"/>
  <c r="BA15" i="272"/>
  <c r="AZ15" i="272"/>
  <c r="AY15" i="272"/>
  <c r="AX15" i="272"/>
  <c r="AW15" i="272"/>
  <c r="AV15" i="272"/>
  <c r="AU15" i="272"/>
  <c r="AT15" i="272"/>
  <c r="AS15" i="272"/>
  <c r="AR15" i="272"/>
  <c r="AQ15" i="272"/>
  <c r="AP15" i="272"/>
  <c r="AO15" i="272"/>
  <c r="AN15" i="272"/>
  <c r="AM15" i="272"/>
  <c r="AL15" i="272"/>
  <c r="AK15" i="272"/>
  <c r="AJ15" i="272"/>
  <c r="AI15" i="272"/>
  <c r="AH15" i="272"/>
  <c r="AG15" i="272"/>
  <c r="AF15" i="272"/>
  <c r="AE15" i="272"/>
  <c r="AD15" i="272"/>
  <c r="AC15" i="272"/>
  <c r="AB15" i="272"/>
  <c r="AA15" i="272"/>
  <c r="Z15" i="272"/>
  <c r="U15" i="272"/>
  <c r="Y15" i="272" s="1"/>
  <c r="Q15" i="272"/>
  <c r="O15" i="272"/>
  <c r="DW15" i="272" s="1"/>
  <c r="M15" i="272"/>
  <c r="HR14" i="272"/>
  <c r="HQ14" i="272"/>
  <c r="HP14" i="272"/>
  <c r="HO14" i="272"/>
  <c r="HN14" i="272"/>
  <c r="HM14" i="272"/>
  <c r="HL14" i="272"/>
  <c r="HK14" i="272"/>
  <c r="HJ14" i="272"/>
  <c r="HI14" i="272"/>
  <c r="HH14" i="272"/>
  <c r="HG14" i="272"/>
  <c r="HF14" i="272"/>
  <c r="HE14" i="272"/>
  <c r="HD14" i="272"/>
  <c r="HC14" i="272"/>
  <c r="HB14" i="272"/>
  <c r="HA14" i="272"/>
  <c r="GZ14" i="272"/>
  <c r="GY14" i="272"/>
  <c r="GX14" i="272"/>
  <c r="GW14" i="272"/>
  <c r="GV14" i="272"/>
  <c r="GU14" i="272"/>
  <c r="GT14" i="272"/>
  <c r="GS14" i="272"/>
  <c r="GR14" i="272"/>
  <c r="GQ14" i="272"/>
  <c r="GP14" i="272"/>
  <c r="GO14" i="272"/>
  <c r="GN14" i="272"/>
  <c r="GM14" i="272"/>
  <c r="GL14" i="272"/>
  <c r="GK14" i="272"/>
  <c r="GJ14" i="272"/>
  <c r="GI14" i="272"/>
  <c r="GH14" i="272"/>
  <c r="GG14" i="272"/>
  <c r="GF14" i="272"/>
  <c r="GE14" i="272"/>
  <c r="GD14" i="272"/>
  <c r="GC14" i="272"/>
  <c r="GB14" i="272"/>
  <c r="GA14" i="272"/>
  <c r="FZ14" i="272"/>
  <c r="FY14" i="272"/>
  <c r="FX14" i="272"/>
  <c r="FW14" i="272"/>
  <c r="FV14" i="272"/>
  <c r="FU14" i="272"/>
  <c r="FT14" i="272"/>
  <c r="FS14" i="272"/>
  <c r="FR14" i="272"/>
  <c r="FQ14" i="272"/>
  <c r="FP14" i="272"/>
  <c r="FO14" i="272"/>
  <c r="FN14" i="272"/>
  <c r="FM14" i="272"/>
  <c r="FL14" i="272"/>
  <c r="FK14" i="272"/>
  <c r="FJ14" i="272"/>
  <c r="FI14" i="272"/>
  <c r="FH14" i="272"/>
  <c r="FG14" i="272"/>
  <c r="FF14" i="272"/>
  <c r="FE14" i="272"/>
  <c r="FD14" i="272"/>
  <c r="FC14" i="272"/>
  <c r="FB14" i="272"/>
  <c r="FA14" i="272"/>
  <c r="EZ14" i="272"/>
  <c r="EY14" i="272"/>
  <c r="EX14" i="272"/>
  <c r="EW14" i="272"/>
  <c r="EV14" i="272"/>
  <c r="EU14" i="272"/>
  <c r="ET14" i="272"/>
  <c r="ES14" i="272"/>
  <c r="ER14" i="272"/>
  <c r="EQ14" i="272"/>
  <c r="EP14" i="272"/>
  <c r="EO14" i="272"/>
  <c r="EN14" i="272"/>
  <c r="EM14" i="272"/>
  <c r="EL14" i="272"/>
  <c r="EK14" i="272"/>
  <c r="EJ14" i="272"/>
  <c r="EI14" i="272"/>
  <c r="EH14" i="272"/>
  <c r="EG14" i="272"/>
  <c r="EF14" i="272"/>
  <c r="EE14" i="272"/>
  <c r="ED14" i="272"/>
  <c r="EC14" i="272"/>
  <c r="EB14" i="272"/>
  <c r="EA14" i="272"/>
  <c r="DZ14" i="272"/>
  <c r="DY14" i="272"/>
  <c r="DX14" i="272"/>
  <c r="DW14" i="272"/>
  <c r="DT14" i="272"/>
  <c r="DS14" i="272"/>
  <c r="DR14" i="272"/>
  <c r="DQ14" i="272"/>
  <c r="DP14" i="272"/>
  <c r="DO14" i="272"/>
  <c r="DN14" i="272"/>
  <c r="DM14" i="272"/>
  <c r="DL14" i="272"/>
  <c r="DK14" i="272"/>
  <c r="DJ14" i="272"/>
  <c r="DI14" i="272"/>
  <c r="DH14" i="272"/>
  <c r="DG14" i="272"/>
  <c r="DF14" i="272"/>
  <c r="DE14" i="272"/>
  <c r="DD14" i="272"/>
  <c r="DC14" i="272"/>
  <c r="DB14" i="272"/>
  <c r="DA14" i="272"/>
  <c r="CZ14" i="272"/>
  <c r="CY14" i="272"/>
  <c r="CX14" i="272"/>
  <c r="CW14" i="272"/>
  <c r="CV14" i="272"/>
  <c r="CU14" i="272"/>
  <c r="CT14" i="272"/>
  <c r="CS14" i="272"/>
  <c r="CR14" i="272"/>
  <c r="CQ14" i="272"/>
  <c r="CP14" i="272"/>
  <c r="CO14" i="272"/>
  <c r="CN14" i="272"/>
  <c r="CM14" i="272"/>
  <c r="CL14" i="272"/>
  <c r="CK14" i="272"/>
  <c r="CJ14" i="272"/>
  <c r="CI14" i="272"/>
  <c r="CH14" i="272"/>
  <c r="CG14" i="272"/>
  <c r="CF14" i="272"/>
  <c r="CE14" i="272"/>
  <c r="CD14" i="272"/>
  <c r="CC14" i="272"/>
  <c r="CB14" i="272"/>
  <c r="CA14" i="272"/>
  <c r="BZ14" i="272"/>
  <c r="BY14" i="272"/>
  <c r="BX14" i="272"/>
  <c r="BW14" i="272"/>
  <c r="BV14" i="272"/>
  <c r="BU14" i="272"/>
  <c r="BT14" i="272"/>
  <c r="BS14" i="272"/>
  <c r="BR14" i="272"/>
  <c r="BQ14" i="272"/>
  <c r="BP14" i="272"/>
  <c r="BO14" i="272"/>
  <c r="BN14" i="272"/>
  <c r="BM14" i="272"/>
  <c r="BL14" i="272"/>
  <c r="BK14" i="272"/>
  <c r="BJ14" i="272"/>
  <c r="BI14" i="272"/>
  <c r="BH14" i="272"/>
  <c r="BG14" i="272"/>
  <c r="BF14" i="272"/>
  <c r="BE14" i="272"/>
  <c r="BD14" i="272"/>
  <c r="BC14" i="272"/>
  <c r="BB14" i="272"/>
  <c r="BA14" i="272"/>
  <c r="AZ14" i="272"/>
  <c r="AY14" i="272"/>
  <c r="AX14" i="272"/>
  <c r="AW14" i="272"/>
  <c r="AV14" i="272"/>
  <c r="AU14" i="272"/>
  <c r="AT14" i="272"/>
  <c r="AS14" i="272"/>
  <c r="AR14" i="272"/>
  <c r="AQ14" i="272"/>
  <c r="AP14" i="272"/>
  <c r="AO14" i="272"/>
  <c r="AN14" i="272"/>
  <c r="AM14" i="272"/>
  <c r="AL14" i="272"/>
  <c r="AK14" i="272"/>
  <c r="AJ14" i="272"/>
  <c r="AI14" i="272"/>
  <c r="AH14" i="272"/>
  <c r="AG14" i="272"/>
  <c r="AF14" i="272"/>
  <c r="AE14" i="272"/>
  <c r="AD14" i="272"/>
  <c r="AC14" i="272"/>
  <c r="AB14" i="272"/>
  <c r="AA14" i="272"/>
  <c r="Z14" i="272"/>
  <c r="Y14" i="272"/>
  <c r="R14" i="272"/>
  <c r="Q14" i="272"/>
  <c r="O14" i="272"/>
  <c r="M14" i="272"/>
  <c r="F10" i="272"/>
  <c r="S6" i="272"/>
  <c r="R4" i="272"/>
  <c r="R3" i="272"/>
  <c r="O69" i="272" l="1"/>
  <c r="EE69" i="272" s="1"/>
  <c r="O54" i="272"/>
  <c r="DY54" i="272" s="1"/>
  <c r="O66" i="272"/>
  <c r="ED66" i="272" s="1"/>
  <c r="ED13" i="272" s="1"/>
  <c r="Q66" i="272" s="1"/>
  <c r="R66" i="272" s="1"/>
  <c r="O58" i="272"/>
  <c r="FC58" i="272" s="1"/>
  <c r="O56" i="272"/>
  <c r="DY56" i="272" s="1"/>
  <c r="AE63" i="272"/>
  <c r="AE13" i="272" s="1"/>
  <c r="O63" i="272"/>
  <c r="AA63" i="272"/>
  <c r="O44" i="272"/>
  <c r="DX44" i="272" s="1"/>
  <c r="O60" i="272"/>
  <c r="EB60" i="272" s="1"/>
  <c r="DY60" i="272"/>
  <c r="AB55" i="272"/>
  <c r="AD59" i="272"/>
  <c r="EA57" i="272"/>
  <c r="AD60" i="272"/>
  <c r="AC57" i="272"/>
  <c r="DZ55" i="272"/>
  <c r="AB56" i="272"/>
  <c r="EB59" i="272"/>
  <c r="EA58" i="272"/>
  <c r="AC58" i="272"/>
  <c r="AA58" i="272"/>
  <c r="DY58" i="272"/>
  <c r="O29" i="272"/>
  <c r="DX29" i="272" s="1"/>
  <c r="O39" i="272"/>
  <c r="DX39" i="272" s="1"/>
  <c r="O47" i="272"/>
  <c r="DX47" i="272" s="1"/>
  <c r="O30" i="272"/>
  <c r="DX30" i="272" s="1"/>
  <c r="O31" i="272"/>
  <c r="DX31" i="272" s="1"/>
  <c r="O33" i="272"/>
  <c r="DX33" i="272" s="1"/>
  <c r="O34" i="272"/>
  <c r="DX34" i="272" s="1"/>
  <c r="O35" i="272"/>
  <c r="DX35" i="272" s="1"/>
  <c r="O36" i="272"/>
  <c r="DX36" i="272" s="1"/>
  <c r="O45" i="272"/>
  <c r="DX45" i="272" s="1"/>
  <c r="O50" i="272"/>
  <c r="DX50" i="272" s="1"/>
  <c r="O27" i="272"/>
  <c r="DW27" i="272" s="1"/>
  <c r="O49" i="272"/>
  <c r="DX49" i="272" s="1"/>
  <c r="O48" i="272"/>
  <c r="EC48" i="272" s="1"/>
  <c r="O46" i="272"/>
  <c r="DX46" i="272" s="1"/>
  <c r="O43" i="272"/>
  <c r="EB43" i="272" s="1"/>
  <c r="O42" i="272"/>
  <c r="EA42" i="272" s="1"/>
  <c r="O40" i="272"/>
  <c r="DY40" i="272" s="1"/>
  <c r="O38" i="272"/>
  <c r="DX38" i="272" s="1"/>
  <c r="O37" i="272"/>
  <c r="DX37" i="272" s="1"/>
  <c r="O32" i="272"/>
  <c r="DX32" i="272" s="1"/>
  <c r="O26" i="272"/>
  <c r="DW26" i="272" s="1"/>
  <c r="O28" i="272"/>
  <c r="DW28" i="272" s="1"/>
  <c r="Z48" i="272"/>
  <c r="DX23" i="272"/>
  <c r="Z40" i="272"/>
  <c r="Z25" i="272"/>
  <c r="Z22" i="272"/>
  <c r="Z41" i="272"/>
  <c r="Z23" i="272"/>
  <c r="DX24" i="272"/>
  <c r="Z26" i="272"/>
  <c r="Z43" i="272"/>
  <c r="Z20" i="272"/>
  <c r="Z21" i="272"/>
  <c r="Z24" i="272"/>
  <c r="Z27" i="272"/>
  <c r="Z28" i="272"/>
  <c r="DX41" i="272"/>
  <c r="Z42" i="272"/>
  <c r="DX22" i="272"/>
  <c r="DX20" i="272"/>
  <c r="O18" i="272"/>
  <c r="DW18" i="272" s="1"/>
  <c r="EG13" i="272"/>
  <c r="FO13" i="272"/>
  <c r="FQ13" i="272"/>
  <c r="GO13" i="272"/>
  <c r="FA13" i="272"/>
  <c r="FY13" i="272"/>
  <c r="HM13" i="272"/>
  <c r="FI13" i="272"/>
  <c r="GW13" i="272"/>
  <c r="AQ13" i="272"/>
  <c r="CU13" i="272"/>
  <c r="DC13" i="272"/>
  <c r="BO13" i="272"/>
  <c r="AF13" i="272"/>
  <c r="AJ13" i="272"/>
  <c r="AN13" i="272"/>
  <c r="AR13" i="272"/>
  <c r="AV13" i="272"/>
  <c r="AZ13" i="272"/>
  <c r="EK13" i="272"/>
  <c r="ES13" i="272"/>
  <c r="FM13" i="272"/>
  <c r="GG13" i="272"/>
  <c r="HE13" i="272"/>
  <c r="HI13" i="272"/>
  <c r="BD13" i="272"/>
  <c r="BH13" i="272"/>
  <c r="BL13" i="272"/>
  <c r="BP13" i="272"/>
  <c r="BT13" i="272"/>
  <c r="BX13" i="272"/>
  <c r="CB13" i="272"/>
  <c r="CF13" i="272"/>
  <c r="CJ13" i="272"/>
  <c r="CN13" i="272"/>
  <c r="CR13" i="272"/>
  <c r="CV13" i="272"/>
  <c r="CZ13" i="272"/>
  <c r="DD13" i="272"/>
  <c r="DH13" i="272"/>
  <c r="DL13" i="272"/>
  <c r="DP13" i="272"/>
  <c r="DT13" i="272"/>
  <c r="EH13" i="272"/>
  <c r="EL13" i="272"/>
  <c r="EP13" i="272"/>
  <c r="ET13" i="272"/>
  <c r="EX13" i="272"/>
  <c r="FB13" i="272"/>
  <c r="FF13" i="272"/>
  <c r="FJ13" i="272"/>
  <c r="FN13" i="272"/>
  <c r="FR13" i="272"/>
  <c r="FV13" i="272"/>
  <c r="Q89" i="272" s="1"/>
  <c r="FZ13" i="272"/>
  <c r="GD13" i="272"/>
  <c r="GH13" i="272"/>
  <c r="GL13" i="272"/>
  <c r="GP13" i="272"/>
  <c r="GT13" i="272"/>
  <c r="GX13" i="272"/>
  <c r="HB13" i="272"/>
  <c r="HF13" i="272"/>
  <c r="HJ13" i="272"/>
  <c r="HN13" i="272"/>
  <c r="HR13" i="272"/>
  <c r="AK13" i="272"/>
  <c r="AS13" i="272"/>
  <c r="BA13" i="272"/>
  <c r="BI13" i="272"/>
  <c r="BQ13" i="272"/>
  <c r="BY13" i="272"/>
  <c r="CG13" i="272"/>
  <c r="CO13" i="272"/>
  <c r="CW13" i="272"/>
  <c r="DE13" i="272"/>
  <c r="DM13" i="272"/>
  <c r="EF13" i="272"/>
  <c r="EN13" i="272"/>
  <c r="ER13" i="272"/>
  <c r="EV13" i="272"/>
  <c r="FD13" i="272"/>
  <c r="FH13" i="272"/>
  <c r="FL13" i="272"/>
  <c r="FX13" i="272"/>
  <c r="Q92" i="272" s="1"/>
  <c r="R92" i="272" s="1"/>
  <c r="GB13" i="272"/>
  <c r="GJ13" i="272"/>
  <c r="GN13" i="272"/>
  <c r="GR13" i="272"/>
  <c r="GZ13" i="272"/>
  <c r="HD13" i="272"/>
  <c r="HH13" i="272"/>
  <c r="HP13" i="272"/>
  <c r="EM13" i="272"/>
  <c r="GI13" i="272"/>
  <c r="GY13" i="272"/>
  <c r="HK13" i="272"/>
  <c r="AY13" i="272"/>
  <c r="BG13" i="272"/>
  <c r="CE13" i="272"/>
  <c r="CM13" i="272"/>
  <c r="DK13" i="272"/>
  <c r="DS13" i="272"/>
  <c r="BW13" i="272"/>
  <c r="Y13" i="272"/>
  <c r="AI13" i="272"/>
  <c r="BK13" i="272"/>
  <c r="CA13" i="272"/>
  <c r="CI13" i="272"/>
  <c r="CQ13" i="272"/>
  <c r="CY13" i="272"/>
  <c r="DG13" i="272"/>
  <c r="DO13" i="272"/>
  <c r="AM13" i="272"/>
  <c r="AU13" i="272"/>
  <c r="BC13" i="272"/>
  <c r="BS13" i="272"/>
  <c r="EW13" i="272"/>
  <c r="GC13" i="272"/>
  <c r="AG13" i="272"/>
  <c r="AO13" i="272"/>
  <c r="AW13" i="272"/>
  <c r="BE13" i="272"/>
  <c r="BM13" i="272"/>
  <c r="BU13" i="272"/>
  <c r="CC13" i="272"/>
  <c r="CK13" i="272"/>
  <c r="CS13" i="272"/>
  <c r="DA13" i="272"/>
  <c r="DI13" i="272"/>
  <c r="DQ13" i="272"/>
  <c r="EI13" i="272"/>
  <c r="EQ13" i="272"/>
  <c r="EY13" i="272"/>
  <c r="FG13" i="272"/>
  <c r="FS13" i="272"/>
  <c r="GE13" i="272"/>
  <c r="GM13" i="272"/>
  <c r="GU13" i="272"/>
  <c r="HC13" i="272"/>
  <c r="HO13" i="272"/>
  <c r="EE13" i="272"/>
  <c r="Q69" i="272" s="1"/>
  <c r="R69" i="272" s="1"/>
  <c r="EU13" i="272"/>
  <c r="FK13" i="272"/>
  <c r="GA13" i="272"/>
  <c r="GQ13" i="272"/>
  <c r="HG13" i="272"/>
  <c r="AH13" i="272"/>
  <c r="AL13" i="272"/>
  <c r="AP13" i="272"/>
  <c r="AT13" i="272"/>
  <c r="AX13" i="272"/>
  <c r="BB13" i="272"/>
  <c r="BF13" i="272"/>
  <c r="BJ13" i="272"/>
  <c r="BN13" i="272"/>
  <c r="BR13" i="272"/>
  <c r="BV13" i="272"/>
  <c r="BZ13" i="272"/>
  <c r="CD13" i="272"/>
  <c r="CH13" i="272"/>
  <c r="CL13" i="272"/>
  <c r="CP13" i="272"/>
  <c r="CT13" i="272"/>
  <c r="CX13" i="272"/>
  <c r="DB13" i="272"/>
  <c r="DF13" i="272"/>
  <c r="DJ13" i="272"/>
  <c r="DN13" i="272"/>
  <c r="DR13" i="272"/>
  <c r="EJ13" i="272"/>
  <c r="EZ13" i="272"/>
  <c r="FP13" i="272"/>
  <c r="GF13" i="272"/>
  <c r="GV13" i="272"/>
  <c r="HL13" i="272"/>
  <c r="EO13" i="272"/>
  <c r="FE13" i="272"/>
  <c r="FU13" i="272"/>
  <c r="Q85" i="272" s="1"/>
  <c r="R84" i="272" s="1"/>
  <c r="GK13" i="272"/>
  <c r="HA13" i="272"/>
  <c r="HQ13" i="272"/>
  <c r="O21" i="272"/>
  <c r="O25" i="272"/>
  <c r="R30" i="272"/>
  <c r="R31" i="272"/>
  <c r="R48" i="272"/>
  <c r="R89" i="272"/>
  <c r="O90" i="272"/>
  <c r="FW90" i="272" s="1"/>
  <c r="FW13" i="272" s="1"/>
  <c r="Q91" i="272" s="1"/>
  <c r="R90" i="272" s="1"/>
  <c r="R34" i="272"/>
  <c r="R35" i="272"/>
  <c r="R32" i="272"/>
  <c r="R33" i="272"/>
  <c r="R42" i="272"/>
  <c r="M90" i="272"/>
  <c r="DZ56" i="272" l="1"/>
  <c r="FC63" i="272"/>
  <c r="FC13" i="272" s="1"/>
  <c r="EC63" i="272"/>
  <c r="EC13" i="272" s="1"/>
  <c r="Q48" i="272" s="1"/>
  <c r="AA13" i="272"/>
  <c r="DY63" i="272"/>
  <c r="DY13" i="272" s="1"/>
  <c r="EB13" i="272"/>
  <c r="Q60" i="272" s="1"/>
  <c r="R59" i="272" s="1"/>
  <c r="Q43" i="272"/>
  <c r="R43" i="272" s="1"/>
  <c r="AB13" i="272"/>
  <c r="AD13" i="272"/>
  <c r="EA13" i="272"/>
  <c r="AC13" i="272"/>
  <c r="DZ13" i="272"/>
  <c r="U45" i="272"/>
  <c r="Z45" i="272" s="1"/>
  <c r="DX27" i="272"/>
  <c r="U47" i="272"/>
  <c r="Z47" i="272" s="1"/>
  <c r="U33" i="272"/>
  <c r="Z33" i="272" s="1"/>
  <c r="U46" i="272"/>
  <c r="Z46" i="272" s="1"/>
  <c r="DX48" i="272"/>
  <c r="DX26" i="272"/>
  <c r="DX42" i="272"/>
  <c r="DX43" i="272"/>
  <c r="DX40" i="272"/>
  <c r="DX28" i="272"/>
  <c r="DW21" i="272"/>
  <c r="DX21" i="272"/>
  <c r="DW25" i="272"/>
  <c r="DX25" i="272"/>
  <c r="R17" i="272"/>
  <c r="R18" i="272"/>
  <c r="Q63" i="272" l="1"/>
  <c r="Q40" i="272"/>
  <c r="R40" i="272" s="1"/>
  <c r="Q54" i="272"/>
  <c r="Q41" i="272"/>
  <c r="R41" i="272" s="1"/>
  <c r="Q56" i="272"/>
  <c r="R55" i="272" s="1"/>
  <c r="Q42" i="272"/>
  <c r="Q58" i="272"/>
  <c r="R57" i="272" s="1"/>
  <c r="Z13" i="272"/>
  <c r="N51" i="272" s="1"/>
  <c r="O51" i="272" s="1"/>
  <c r="DX51" i="272" s="1"/>
  <c r="DX13" i="272" s="1"/>
  <c r="DW13" i="272"/>
  <c r="Q18" i="272" s="1"/>
  <c r="Q28" i="272"/>
  <c r="F110" i="272"/>
  <c r="M82" i="272"/>
  <c r="O82" i="272" s="1"/>
  <c r="FT82" i="272" s="1"/>
  <c r="FT13" i="272" s="1"/>
  <c r="Q82" i="272" s="1"/>
  <c r="M110" i="272"/>
  <c r="O110" i="272" s="1"/>
  <c r="GS110" i="272" s="1"/>
  <c r="GS13" i="272" s="1"/>
  <c r="Q110" i="272" s="1"/>
  <c r="Q123" i="272" s="1"/>
  <c r="R53" i="272" l="1"/>
  <c r="R63" i="272"/>
  <c r="Q38" i="272"/>
  <c r="Q51" i="272"/>
  <c r="R20" i="272" s="1"/>
  <c r="R16" i="272"/>
  <c r="R15" i="272"/>
  <c r="R81" i="272"/>
  <c r="R105" i="272" s="1"/>
  <c r="Q105" i="272"/>
  <c r="R23" i="272" l="1"/>
  <c r="R21" i="272"/>
  <c r="R22" i="272"/>
  <c r="Q76" i="272"/>
  <c r="Q125" i="272" s="1"/>
  <c r="R76" i="272" l="1"/>
</calcChain>
</file>

<file path=xl/sharedStrings.xml><?xml version="1.0" encoding="utf-8"?>
<sst xmlns="http://schemas.openxmlformats.org/spreadsheetml/2006/main" count="81" uniqueCount="56">
  <si>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</si>
  <si>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</si>
  <si>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</si>
  <si>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</si>
  <si>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</si>
  <si>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</si>
  <si>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</si>
  <si>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</si>
  <si>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</si>
  <si>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</si>
  <si>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</si>
  <si>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</si>
  <si>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</si>
  <si>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</si>
  <si>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</si>
  <si>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</si>
  <si>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</si>
  <si>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</si>
  <si>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</si>
  <si>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</si>
  <si>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</si>
  <si>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</si>
  <si>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36-15-36-94</t>
  </si>
  <si>
    <t>PERIODO 2023</t>
  </si>
  <si>
    <t>C:\Users\rvidal.GCPI.002\Documents\Programa gallo\Destajos\AcuGen GCPI 2023.xlsm</t>
  </si>
  <si>
    <t>C-435</t>
  </si>
  <si>
    <t>PLANTA SAN ISIDRO LABORATORIOS PISA, S.A. DE C.V.</t>
  </si>
  <si>
    <t>exc01</t>
  </si>
  <si>
    <t>exc04</t>
  </si>
  <si>
    <t>cor02</t>
  </si>
  <si>
    <t>Corte y habilitado pasajuntas</t>
  </si>
  <si>
    <t>com03</t>
  </si>
  <si>
    <t>lote</t>
  </si>
  <si>
    <t>SEMANA 003</t>
  </si>
  <si>
    <t>REGISTROS VIALIDAD ORIENTE - ALMACEN MATERIALES</t>
  </si>
  <si>
    <t>Cimbrar y colar registro con malla y molde</t>
  </si>
  <si>
    <t>TUBERIA ALMACEN MATERIALES</t>
  </si>
  <si>
    <t>exc03</t>
  </si>
  <si>
    <t>rell04</t>
  </si>
  <si>
    <t>Cimbrar y colar atraque</t>
  </si>
  <si>
    <t>dado</t>
  </si>
  <si>
    <t>rell03</t>
  </si>
  <si>
    <t>barreva</t>
  </si>
  <si>
    <t>cim01</t>
  </si>
  <si>
    <t>VIALIDAD ALMACEN DE MATERIALES</t>
  </si>
  <si>
    <t>los17</t>
  </si>
  <si>
    <t>rep02</t>
  </si>
  <si>
    <t>mach3</t>
  </si>
  <si>
    <t>Cimbrar y colar machuelo pecho paloma</t>
  </si>
  <si>
    <t>Afinado de terreno</t>
  </si>
  <si>
    <t>hec01</t>
  </si>
  <si>
    <t>m</t>
  </si>
  <si>
    <t>ofi01</t>
  </si>
  <si>
    <t>1/2 Domingo trabajado 02 de abril</t>
  </si>
  <si>
    <t>Excavaciones de tuberia contra incendio</t>
  </si>
  <si>
    <t>Bodeguero, recibir y entregar materiales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</si>
</sst>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"/>
    <numFmt numFmtId="165" formatCode="#,##0.0"/>
    <numFmt numFmtId="166" formatCode="#,##0;[Red]\-#,##0;;"/>
    <numFmt numFmtId="167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</borders>
  <cellStyleXfs count="6">
    <xf numFmtId="0" fontId="0" fillId="0" borderId="0"/>
    <xf numFmtId="0" fontId="6" fillId="0" borderId="0"/>
    <xf numFmtId="0" fontId="6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72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4" fontId="7" fillId="0" borderId="9" xfId="0" applyNumberFormat="1" applyFont="1" applyBorder="1" applyProtection="1">
      <protection hidden="1"/>
    </xf>
    <xf numFmtId="164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4" fontId="7" fillId="0" borderId="18" xfId="0" applyNumberFormat="1" applyFont="1" applyBorder="1" applyProtection="1">
      <protection hidden="1"/>
    </xf>
    <xf numFmtId="164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5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6" fontId="7" fillId="0" borderId="0" xfId="0" applyNumberFormat="1" applyFont="1" applyProtection="1">
      <protection hidden="1"/>
    </xf>
    <xf numFmtId="167" fontId="7" fillId="0" borderId="0" xfId="0" applyNumberFormat="1" applyFont="1" applyProtection="1">
      <protection hidden="1"/>
    </xf>
    <xf numFmtId="167" fontId="7" fillId="0" borderId="33" xfId="0" applyNumberFormat="1" applyFont="1" applyBorder="1" applyProtection="1">
      <protection hidden="1"/>
    </xf>
    <xf numFmtId="167" fontId="7" fillId="0" borderId="34" xfId="0" applyNumberFormat="1" applyFont="1" applyBorder="1" applyProtection="1">
      <protection hidden="1"/>
    </xf>
    <xf numFmtId="167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7" fontId="7" fillId="0" borderId="36" xfId="0" applyNumberFormat="1" applyFont="1" applyBorder="1" applyProtection="1">
      <protection hidden="1"/>
    </xf>
    <xf numFmtId="167" fontId="7" fillId="0" borderId="39" xfId="0" applyNumberFormat="1" applyFont="1" applyBorder="1" applyProtection="1">
      <protection hidden="1"/>
    </xf>
    <xf numFmtId="167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4" fontId="7" fillId="0" borderId="44" xfId="0" applyNumberFormat="1" applyFont="1" applyBorder="1" applyProtection="1">
      <protection hidden="1"/>
    </xf>
    <xf numFmtId="164" fontId="2" fillId="0" borderId="45" xfId="0" applyNumberFormat="1" applyFont="1" applyBorder="1" applyProtection="1">
      <protection hidden="1"/>
    </xf>
    <xf numFmtId="167" fontId="7" fillId="0" borderId="46" xfId="0" applyNumberFormat="1" applyFont="1" applyBorder="1" applyProtection="1">
      <protection hidden="1"/>
    </xf>
    <xf numFmtId="167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4" fontId="7" fillId="0" borderId="52" xfId="0" applyNumberFormat="1" applyFont="1" applyBorder="1" applyProtection="1">
      <protection hidden="1"/>
    </xf>
    <xf numFmtId="164" fontId="2" fillId="0" borderId="53" xfId="0" applyNumberFormat="1" applyFont="1" applyBorder="1" applyProtection="1">
      <protection hidden="1"/>
    </xf>
    <xf numFmtId="167" fontId="7" fillId="0" borderId="54" xfId="0" applyNumberFormat="1" applyFont="1" applyBorder="1" applyProtection="1">
      <protection hidden="1"/>
    </xf>
    <xf numFmtId="167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9" fontId="0" fillId="0" borderId="0" xfId="4" applyFont="1"/>
    <xf numFmtId="10" fontId="4" fillId="0" borderId="0" xfId="4" applyNumberFormat="1" applyFont="1"/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44" fontId="5" fillId="0" borderId="0" xfId="3" applyFont="1" applyProtection="1"/>
    <xf numFmtId="10" fontId="4" fillId="0" borderId="0" xfId="4" applyNumberFormat="1" applyFont="1" applyProtection="1"/>
    <xf numFmtId="167" fontId="7" fillId="0" borderId="56" xfId="0" applyNumberFormat="1" applyFont="1" applyBorder="1" applyProtection="1">
      <protection hidden="1"/>
    </xf>
    <xf numFmtId="167" fontId="7" fillId="0" borderId="57" xfId="0" applyNumberFormat="1" applyFont="1" applyBorder="1" applyProtection="1">
      <protection hidden="1"/>
    </xf>
    <xf numFmtId="167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7" fontId="7" fillId="0" borderId="59" xfId="0" applyNumberFormat="1" applyFont="1" applyBorder="1" applyProtection="1">
      <protection hidden="1"/>
    </xf>
    <xf numFmtId="167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0" fontId="0" fillId="4" borderId="19" xfId="0" applyFill="1" applyBorder="1" applyAlignment="1" applyProtection="1">
      <alignment vertical="center"/>
      <protection locked="0"/>
    </xf>
    <xf numFmtId="0" fontId="0" fillId="4" borderId="20" xfId="0" applyFill="1" applyBorder="1" applyProtection="1">
      <protection locked="0"/>
    </xf>
    <xf numFmtId="0" fontId="0" fillId="4" borderId="16" xfId="0" applyFill="1" applyBorder="1" applyProtection="1">
      <protection locked="0"/>
    </xf>
    <xf numFmtId="0" fontId="0" fillId="4" borderId="17" xfId="0" applyFill="1" applyBorder="1" applyProtection="1">
      <protection locked="0"/>
    </xf>
    <xf numFmtId="0" fontId="0" fillId="4" borderId="21" xfId="0" applyFill="1" applyBorder="1" applyProtection="1">
      <protection locked="0"/>
    </xf>
    <xf numFmtId="0" fontId="1" fillId="4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4" fillId="4" borderId="5" xfId="0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0" fontId="4" fillId="4" borderId="10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0" xfId="0" applyFont="1" applyFill="1" applyBorder="1" applyAlignment="1" applyProtection="1">
      <alignment horizontal="center" vertical="center"/>
      <protection locked="0"/>
    </xf>
    <xf numFmtId="0" fontId="4" fillId="4" borderId="16" xfId="0" applyFont="1" applyFill="1" applyBorder="1" applyAlignment="1" applyProtection="1">
      <alignment horizontal="center" vertical="center"/>
      <protection locked="0"/>
    </xf>
    <xf numFmtId="0" fontId="4" fillId="4" borderId="17" xfId="0" applyFont="1" applyFill="1" applyBorder="1" applyAlignment="1" applyProtection="1">
      <alignment horizontal="center" vertical="center"/>
      <protection locked="0"/>
    </xf>
    <xf numFmtId="0" fontId="4" fillId="4" borderId="21" xfId="0" applyFont="1" applyFill="1" applyBorder="1" applyAlignment="1" applyProtection="1">
      <alignment horizontal="center" vertical="center"/>
      <protection locked="0"/>
    </xf>
    <xf numFmtId="0" fontId="4" fillId="4" borderId="28" xfId="0" applyFont="1" applyFill="1" applyBorder="1" applyAlignment="1" applyProtection="1">
      <alignment horizontal="center" vertical="center"/>
      <protection locked="0"/>
    </xf>
    <xf numFmtId="0" fontId="1" fillId="4" borderId="5" xfId="0" applyFont="1" applyFill="1" applyBorder="1" applyAlignment="1" applyProtection="1">
      <alignment horizontal="center" vertical="center"/>
      <protection locked="0"/>
    </xf>
    <xf numFmtId="0" fontId="12" fillId="4" borderId="4" xfId="0" applyFont="1" applyFill="1" applyBorder="1" applyAlignment="1" applyProtection="1">
      <alignment horizontal="center" vertical="center"/>
      <protection locked="0"/>
    </xf>
    <xf numFmtId="0" fontId="12" fillId="4" borderId="5" xfId="0" applyFont="1" applyFill="1" applyBorder="1" applyAlignment="1" applyProtection="1">
      <alignment horizontal="center" vertical="center"/>
      <protection locked="0"/>
    </xf>
    <xf numFmtId="0" fontId="16" fillId="4" borderId="4" xfId="0" applyFont="1" applyFill="1" applyBorder="1" applyAlignment="1">
      <alignment horizontal="center"/>
    </xf>
    <xf numFmtId="0" fontId="16" fillId="4" borderId="5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2" fillId="4" borderId="10" xfId="0" applyFont="1" applyFill="1" applyBorder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  <protection locked="0"/>
    </xf>
  </cellXfs>
  <cellStyles count="6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90575" cy="84772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38100</xdr:rowOff>
        </xdr:from>
        <xdr:to>
          <xdr:col>17</xdr:col>
          <xdr:colOff>222250</xdr:colOff>
          <xdr:row>5</xdr:row>
          <xdr:rowOff>222250</xdr:rowOff>
        </xdr:to>
        <xdr:sp macro="" textlink="">
          <xdr:nvSpPr>
            <xdr:cNvPr id="278529" name="Button 1" hidden="1">
              <a:extLst>
                <a:ext uri="{63B3BB69-23CF-44E3-9099-C40C66FF867C}">
                  <a14:compatExt spid="_x0000_s278529"/>
                </a:ext>
                <a:ext uri="{FF2B5EF4-FFF2-40B4-BE49-F238E27FC236}">
                  <a16:creationId xmlns:a16="http://schemas.microsoft.com/office/drawing/2014/main" id="{00000000-0008-0000-0000-000001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19050</xdr:rowOff>
        </xdr:from>
        <xdr:to>
          <xdr:col>8</xdr:col>
          <xdr:colOff>355600</xdr:colOff>
          <xdr:row>9</xdr:row>
          <xdr:rowOff>247650</xdr:rowOff>
        </xdr:to>
        <xdr:sp macro="" textlink="">
          <xdr:nvSpPr>
            <xdr:cNvPr id="278530" name="Button 2" hidden="1">
              <a:extLst>
                <a:ext uri="{63B3BB69-23CF-44E3-9099-C40C66FF867C}">
                  <a14:compatExt spid="_x0000_s278530"/>
                </a:ext>
                <a:ext uri="{FF2B5EF4-FFF2-40B4-BE49-F238E27FC236}">
                  <a16:creationId xmlns:a16="http://schemas.microsoft.com/office/drawing/2014/main" id="{00000000-0008-0000-0000-000002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908050</xdr:colOff>
          <xdr:row>9</xdr:row>
          <xdr:rowOff>19050</xdr:rowOff>
        </xdr:from>
        <xdr:to>
          <xdr:col>17</xdr:col>
          <xdr:colOff>717550</xdr:colOff>
          <xdr:row>9</xdr:row>
          <xdr:rowOff>241300</xdr:rowOff>
        </xdr:to>
        <xdr:sp macro="" textlink="">
          <xdr:nvSpPr>
            <xdr:cNvPr id="278531" name="Button 3" hidden="1">
              <a:extLst>
                <a:ext uri="{63B3BB69-23CF-44E3-9099-C40C66FF867C}">
                  <a14:compatExt spid="_x0000_s278531"/>
                </a:ext>
                <a:ext uri="{FF2B5EF4-FFF2-40B4-BE49-F238E27FC236}">
                  <a16:creationId xmlns:a16="http://schemas.microsoft.com/office/drawing/2014/main" id="{00000000-0008-0000-0000-000003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228600</xdr:rowOff>
        </xdr:from>
        <xdr:to>
          <xdr:col>17</xdr:col>
          <xdr:colOff>698500</xdr:colOff>
          <xdr:row>7</xdr:row>
          <xdr:rowOff>190500</xdr:rowOff>
        </xdr:to>
        <xdr:sp macro="" textlink="">
          <xdr:nvSpPr>
            <xdr:cNvPr id="278532" name="Button 4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0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19050</xdr:rowOff>
        </xdr:from>
        <xdr:to>
          <xdr:col>16</xdr:col>
          <xdr:colOff>876300</xdr:colOff>
          <xdr:row>9</xdr:row>
          <xdr:rowOff>241300</xdr:rowOff>
        </xdr:to>
        <xdr:sp macro="" textlink="">
          <xdr:nvSpPr>
            <xdr:cNvPr id="278533" name="Button 5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0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450850</xdr:colOff>
          <xdr:row>9</xdr:row>
          <xdr:rowOff>247650</xdr:rowOff>
        </xdr:to>
        <xdr:sp macro="" textlink="">
          <xdr:nvSpPr>
            <xdr:cNvPr id="278534" name="Button 6" hidden="1">
              <a:extLst>
                <a:ext uri="{63B3BB69-23CF-44E3-9099-C40C66FF867C}">
                  <a14:compatExt spid="_x0000_s278534"/>
                </a:ext>
                <a:ext uri="{FF2B5EF4-FFF2-40B4-BE49-F238E27FC236}">
                  <a16:creationId xmlns:a16="http://schemas.microsoft.com/office/drawing/2014/main" id="{00000000-0008-0000-0000-000006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469900</xdr:colOff>
          <xdr:row>9</xdr:row>
          <xdr:rowOff>31750</xdr:rowOff>
        </xdr:from>
        <xdr:to>
          <xdr:col>14</xdr:col>
          <xdr:colOff>952500</xdr:colOff>
          <xdr:row>9</xdr:row>
          <xdr:rowOff>241300</xdr:rowOff>
        </xdr:to>
        <xdr:sp macro="" textlink="">
          <xdr:nvSpPr>
            <xdr:cNvPr id="278535" name="Button 7" hidden="1">
              <a:extLst>
                <a:ext uri="{63B3BB69-23CF-44E3-9099-C40C66FF867C}">
                  <a14:compatExt spid="_x0000_s278535"/>
                </a:ext>
                <a:ext uri="{FF2B5EF4-FFF2-40B4-BE49-F238E27FC236}">
                  <a16:creationId xmlns:a16="http://schemas.microsoft.com/office/drawing/2014/main" id="{00000000-0008-0000-0000-000007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rlo/Google%20Drive/GCPI%20-%20TRABAJO/Bases%20de%20Datos/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rlo/Google%20Drive/GCPI%20-%20TRABAJO/Bases%20de%20Datos/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rlo/Google%20Drive/GCPI%20-%20TRABAJO/Bases%20de%20Datos/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"/>
      <sheetName val="OB_TOTALE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  <cell r="E17"/>
          <cell r="F17" t="str">
            <v>R</v>
          </cell>
          <cell r="G17"/>
          <cell r="H17"/>
          <cell r="I17"/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  <cell r="E18"/>
          <cell r="F18" t="str">
            <v>JP</v>
          </cell>
          <cell r="G18"/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  <cell r="E19"/>
          <cell r="F19" t="str">
            <v>JP</v>
          </cell>
          <cell r="G19"/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  <cell r="E20"/>
          <cell r="F20" t="str">
            <v>JP</v>
          </cell>
          <cell r="G20"/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  <cell r="E21"/>
          <cell r="F21" t="str">
            <v>JP</v>
          </cell>
          <cell r="G21"/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  <cell r="E22"/>
          <cell r="F22" t="str">
            <v>JP</v>
          </cell>
          <cell r="G22"/>
          <cell r="H22" t="str">
            <v>LP</v>
          </cell>
          <cell r="I22"/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  <cell r="E23"/>
          <cell r="F23" t="str">
            <v>JP</v>
          </cell>
          <cell r="G23"/>
          <cell r="H23" t="str">
            <v>IP</v>
          </cell>
          <cell r="I23"/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  <cell r="E24"/>
          <cell r="F24" t="str">
            <v>ARQ</v>
          </cell>
          <cell r="G24"/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  <cell r="B25"/>
          <cell r="C25"/>
          <cell r="D25" t="str">
            <v>STELLA MARIS SJA</v>
          </cell>
          <cell r="E25"/>
          <cell r="F25"/>
          <cell r="G25"/>
          <cell r="H25"/>
          <cell r="I25"/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  <cell r="E26"/>
          <cell r="F26" t="str">
            <v>N/A</v>
          </cell>
          <cell r="G26"/>
          <cell r="H26"/>
          <cell r="I26"/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  <cell r="E27"/>
          <cell r="F27"/>
          <cell r="G27"/>
          <cell r="H27"/>
          <cell r="I27"/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  <cell r="E28"/>
          <cell r="F28" t="str">
            <v>N/A</v>
          </cell>
          <cell r="G28"/>
          <cell r="H28"/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  <cell r="E29"/>
          <cell r="F29" t="str">
            <v>N/A</v>
          </cell>
          <cell r="G29"/>
          <cell r="H29"/>
          <cell r="I29"/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  <cell r="E30"/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  <cell r="I30"/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  <cell r="E31"/>
          <cell r="F31" t="str">
            <v>JP</v>
          </cell>
          <cell r="G31" t="str">
            <v>SRA VIVIANA ALVAREZ</v>
          </cell>
          <cell r="H31" t="str">
            <v>ARQ</v>
          </cell>
          <cell r="I31"/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  <cell r="E32"/>
          <cell r="F32"/>
          <cell r="G32"/>
          <cell r="H32"/>
          <cell r="I32"/>
        </row>
        <row r="33">
          <cell r="A33" t="str">
            <v>B-080</v>
          </cell>
          <cell r="B33" t="str">
            <v>GP</v>
          </cell>
          <cell r="C33" t="str">
            <v>CAMINO AL RINCON S/N VILLA LUCERNA CASA 19 AJIJIC JALISCO</v>
          </cell>
          <cell r="D33" t="str">
            <v>VILLA LUCERNA</v>
          </cell>
          <cell r="E33"/>
          <cell r="F33"/>
          <cell r="G33"/>
          <cell r="H33"/>
          <cell r="I33"/>
        </row>
        <row r="34">
          <cell r="A34" t="str">
            <v>B-128</v>
          </cell>
          <cell r="B34" t="str">
            <v>GP</v>
          </cell>
          <cell r="C34" t="str">
            <v>AV. LAS PALMAS No300 LOTE 28 FRACCIONAMIENTO LOS JALES HASTA EL FONDO</v>
          </cell>
          <cell r="D34" t="str">
            <v>JAVIER ALVAREZ BERMEJILLO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B-199</v>
          </cell>
          <cell r="B35" t="str">
            <v>GP</v>
          </cell>
          <cell r="C35" t="str">
            <v>AV. LAS PALMAS No. 100 FRACC. VILLA MAGNA ZAPOPAN JAL.</v>
          </cell>
          <cell r="D35" t="str">
            <v>VILLA MAGNA LOTE 58 (ALFONSO ALVAREZ)</v>
          </cell>
          <cell r="E35"/>
          <cell r="F35" t="str">
            <v>N/A</v>
          </cell>
          <cell r="G35"/>
          <cell r="H35"/>
          <cell r="I35"/>
        </row>
        <row r="36">
          <cell r="A36" t="str">
            <v>B-351</v>
          </cell>
          <cell r="B36" t="str">
            <v>GP</v>
          </cell>
          <cell r="C36" t="str">
            <v>KM 7 CARRETERA A SAN ISIDRO MAZATEPEC EN TLAJOMULCO DE ZUÑIGA JAL.</v>
          </cell>
          <cell r="D36" t="str">
            <v>KIOSKO CDN</v>
          </cell>
          <cell r="E36"/>
          <cell r="F36" t="str">
            <v>N/A</v>
          </cell>
          <cell r="G36"/>
          <cell r="H36"/>
          <cell r="I36"/>
        </row>
        <row r="37">
          <cell r="A37" t="str">
            <v>B-382</v>
          </cell>
          <cell r="B37"/>
          <cell r="C37"/>
          <cell r="D37" t="str">
            <v>JUAN CARLOS ALVAREZ SJA</v>
          </cell>
          <cell r="E37"/>
          <cell r="F37"/>
          <cell r="G37"/>
          <cell r="H37"/>
          <cell r="I37"/>
        </row>
        <row r="38">
          <cell r="A38" t="str">
            <v>B-390</v>
          </cell>
          <cell r="B38" t="str">
            <v>GP</v>
          </cell>
          <cell r="C38" t="str">
            <v>S/D</v>
          </cell>
          <cell r="D38" t="str">
            <v xml:space="preserve">TRABAJOS DE MANTENIMIENTO  EN INSTALACIONES INDUSTRIALES </v>
          </cell>
          <cell r="E38"/>
          <cell r="F38" t="str">
            <v>N/A</v>
          </cell>
          <cell r="G38"/>
          <cell r="H38"/>
          <cell r="I38"/>
        </row>
        <row r="39">
          <cell r="A39" t="str">
            <v>B-409</v>
          </cell>
          <cell r="B39"/>
          <cell r="C39"/>
          <cell r="D39" t="str">
            <v>JCAV J2</v>
          </cell>
          <cell r="E39"/>
          <cell r="F39"/>
          <cell r="G39"/>
          <cell r="H39"/>
          <cell r="I39"/>
        </row>
        <row r="40">
          <cell r="A40" t="str">
            <v>B-445</v>
          </cell>
          <cell r="B40"/>
          <cell r="C40"/>
          <cell r="D40" t="str">
            <v>JALES3 SAV</v>
          </cell>
          <cell r="E40"/>
          <cell r="F40"/>
          <cell r="G40"/>
          <cell r="H40"/>
          <cell r="I40"/>
        </row>
        <row r="41">
          <cell r="A41" t="str">
            <v>B-452</v>
          </cell>
          <cell r="B41"/>
          <cell r="C41"/>
          <cell r="D41" t="str">
            <v>CASA PABLO</v>
          </cell>
          <cell r="E41"/>
          <cell r="F41"/>
          <cell r="G41"/>
          <cell r="H41"/>
          <cell r="I41"/>
        </row>
        <row r="42">
          <cell r="A42" t="str">
            <v>B-457</v>
          </cell>
          <cell r="B42"/>
          <cell r="C42"/>
          <cell r="D42" t="str">
            <v>BODYLOGIC TLAJOMULCO</v>
          </cell>
          <cell r="E42"/>
          <cell r="F42"/>
          <cell r="G42"/>
          <cell r="H42"/>
          <cell r="I42"/>
        </row>
        <row r="43">
          <cell r="A43" t="str">
            <v>B-468</v>
          </cell>
          <cell r="B43"/>
          <cell r="C43"/>
          <cell r="D43" t="str">
            <v>BODEGA GCPI</v>
          </cell>
          <cell r="E43"/>
          <cell r="F43"/>
          <cell r="G43"/>
          <cell r="H43"/>
          <cell r="I43"/>
        </row>
        <row r="44">
          <cell r="A44" t="str">
            <v>B-471</v>
          </cell>
          <cell r="B44"/>
          <cell r="C44"/>
          <cell r="D44" t="str">
            <v>LOS REFLEJOS LOTE R8</v>
          </cell>
          <cell r="E44"/>
          <cell r="F44"/>
          <cell r="G44"/>
          <cell r="H44"/>
          <cell r="I44"/>
        </row>
        <row r="45">
          <cell r="A45" t="str">
            <v>B-479</v>
          </cell>
          <cell r="B45"/>
          <cell r="C45"/>
          <cell r="D45" t="str">
            <v>CASA MARCO CORTÉS</v>
          </cell>
          <cell r="E45"/>
          <cell r="F45"/>
          <cell r="G45"/>
          <cell r="H45"/>
          <cell r="I45"/>
        </row>
        <row r="46">
          <cell r="A46" t="str">
            <v>B-531</v>
          </cell>
          <cell r="B46"/>
          <cell r="C46"/>
          <cell r="D46" t="str">
            <v>TRABAJOS DE MANTENIMIENTO Y REPARACION DE INSTALACIONES EDIFICIO F CDN</v>
          </cell>
          <cell r="E46"/>
          <cell r="F46"/>
          <cell r="G46"/>
          <cell r="H46"/>
          <cell r="I46"/>
        </row>
        <row r="47">
          <cell r="A47" t="str">
            <v>B-577</v>
          </cell>
          <cell r="B47"/>
          <cell r="C47" t="str">
            <v>SANTA ANITA</v>
          </cell>
          <cell r="D47" t="str">
            <v>CASA HERIBERTO CASTAÑEDA</v>
          </cell>
          <cell r="E47"/>
          <cell r="F47"/>
          <cell r="G47"/>
          <cell r="H47"/>
          <cell r="I47"/>
        </row>
        <row r="48">
          <cell r="A48" t="str">
            <v>B-592</v>
          </cell>
          <cell r="B48"/>
          <cell r="C48"/>
          <cell r="D48" t="str">
            <v>MANTENIMIENTO ALMACÉN COLÓN</v>
          </cell>
          <cell r="E48"/>
          <cell r="F48"/>
          <cell r="G48"/>
          <cell r="H48"/>
          <cell r="I48"/>
        </row>
        <row r="49">
          <cell r="A49" t="str">
            <v>B-616</v>
          </cell>
          <cell r="B49"/>
          <cell r="C49"/>
          <cell r="D49" t="str">
            <v>LOCAL PLAZA OTTAWA</v>
          </cell>
          <cell r="E49"/>
          <cell r="F49"/>
          <cell r="G49"/>
          <cell r="H49"/>
          <cell r="I49"/>
        </row>
        <row r="50">
          <cell r="A50" t="str">
            <v>B-619</v>
          </cell>
          <cell r="B50"/>
          <cell r="C50"/>
          <cell r="D50" t="str">
            <v>CASA OCHOA</v>
          </cell>
          <cell r="E50"/>
          <cell r="F50"/>
          <cell r="G50"/>
          <cell r="H50"/>
          <cell r="I50"/>
        </row>
        <row r="51">
          <cell r="A51" t="str">
            <v>B-656</v>
          </cell>
          <cell r="B51"/>
          <cell r="C51"/>
          <cell r="D51" t="str">
            <v>RTN BLOQUE 2 2DA ETAPA</v>
          </cell>
          <cell r="E51"/>
          <cell r="F51"/>
          <cell r="G51"/>
          <cell r="H51"/>
          <cell r="I51"/>
        </row>
        <row r="52">
          <cell r="A52" t="str">
            <v>B-664</v>
          </cell>
          <cell r="B52"/>
          <cell r="C52" t="str">
            <v>TERRENO LA MOJONERA FERNANDO ALVAREZ RAMON CORONA 4601</v>
          </cell>
          <cell r="D52" t="str">
            <v>MANTENIMIENTO GALBER</v>
          </cell>
          <cell r="E52"/>
          <cell r="F52"/>
          <cell r="G52"/>
          <cell r="H52"/>
          <cell r="I52"/>
        </row>
        <row r="53">
          <cell r="A53" t="str">
            <v>B-712</v>
          </cell>
          <cell r="B53"/>
          <cell r="C53" t="str">
            <v>TLAJOMULCO</v>
          </cell>
          <cell r="D53" t="str">
            <v>TRABAJOS DE MANTENIMIENTO TALLER VEHICULAR TRANSLIMA</v>
          </cell>
          <cell r="E53"/>
          <cell r="F53"/>
          <cell r="G53"/>
          <cell r="H53"/>
          <cell r="I53"/>
        </row>
        <row r="54">
          <cell r="A54" t="str">
            <v>B-715</v>
          </cell>
          <cell r="B54"/>
          <cell r="C54" t="str">
            <v>TLAJOMULCO</v>
          </cell>
          <cell r="D54" t="str">
            <v>PROYECTO DE AMPLIACION OFICINAS EDIFICIO E</v>
          </cell>
          <cell r="E54"/>
          <cell r="F54"/>
          <cell r="G54"/>
          <cell r="H54"/>
          <cell r="I54"/>
        </row>
        <row r="55">
          <cell r="A55" t="str">
            <v>B-745</v>
          </cell>
          <cell r="B55"/>
          <cell r="C55" t="str">
            <v>EL CIELO COUNTRY CLUB</v>
          </cell>
          <cell r="D55" t="str">
            <v>CASA HABITACION SR ALEJANDRO TROYA</v>
          </cell>
          <cell r="E55"/>
          <cell r="F55"/>
          <cell r="G55"/>
          <cell r="H55"/>
          <cell r="I55"/>
        </row>
        <row r="56">
          <cell r="A56" t="str">
            <v>B-769</v>
          </cell>
          <cell r="B56"/>
          <cell r="C56" t="str">
            <v>TLAJOMULCO</v>
          </cell>
          <cell r="D56" t="str">
            <v>FORMAS SOLIDAS 3</v>
          </cell>
          <cell r="E56"/>
          <cell r="F56"/>
          <cell r="G56"/>
          <cell r="H56"/>
          <cell r="I56"/>
        </row>
        <row r="57">
          <cell r="A57" t="str">
            <v>B-769A</v>
          </cell>
          <cell r="B57"/>
          <cell r="C57" t="str">
            <v>TLAJOMULCO</v>
          </cell>
          <cell r="D57" t="str">
            <v>NAVE DE SERVICIOS EN EDIFICIO B</v>
          </cell>
          <cell r="E57"/>
          <cell r="F57"/>
          <cell r="G57"/>
          <cell r="H57"/>
          <cell r="I57"/>
        </row>
        <row r="58">
          <cell r="A58" t="str">
            <v>B-790</v>
          </cell>
          <cell r="B58"/>
          <cell r="C58" t="str">
            <v>TEJABANES</v>
          </cell>
          <cell r="D58" t="str">
            <v>PARQUE CAB LAS JUNTAS</v>
          </cell>
          <cell r="E58"/>
          <cell r="F58"/>
          <cell r="G58"/>
          <cell r="H58"/>
          <cell r="I58"/>
        </row>
        <row r="59">
          <cell r="A59" t="str">
            <v>B-790A</v>
          </cell>
          <cell r="B59"/>
          <cell r="C59" t="str">
            <v>TEJABANES</v>
          </cell>
          <cell r="D59" t="str">
            <v>PARQUE CAB LAS JUNTAS MANZANA 1</v>
          </cell>
          <cell r="E59"/>
          <cell r="F59"/>
          <cell r="G59"/>
          <cell r="H59"/>
          <cell r="I59"/>
        </row>
        <row r="60">
          <cell r="A60" t="str">
            <v>B-790B</v>
          </cell>
          <cell r="B60"/>
          <cell r="C60" t="str">
            <v>TEJABANES</v>
          </cell>
          <cell r="D60" t="str">
            <v>PARQUE CAB LAS JUNTAS MANZANA 2</v>
          </cell>
          <cell r="E60"/>
          <cell r="F60"/>
          <cell r="G60"/>
          <cell r="H60"/>
          <cell r="I60"/>
        </row>
        <row r="61">
          <cell r="A61" t="str">
            <v>B-790C</v>
          </cell>
          <cell r="B61"/>
          <cell r="C61" t="str">
            <v>TEJABANES</v>
          </cell>
          <cell r="D61" t="str">
            <v>PARQUE CAB LAS JUNTAS MANZANA 3</v>
          </cell>
          <cell r="E61"/>
          <cell r="F61"/>
          <cell r="G61"/>
          <cell r="H61"/>
          <cell r="I61"/>
        </row>
        <row r="62">
          <cell r="A62" t="str">
            <v>B-790D</v>
          </cell>
          <cell r="B62"/>
          <cell r="C62" t="str">
            <v>TEJABANES</v>
          </cell>
          <cell r="D62" t="str">
            <v>PARQUE CAB LAS JUNTAS MANZANA 4</v>
          </cell>
          <cell r="E62"/>
          <cell r="F62"/>
          <cell r="G62"/>
          <cell r="H62"/>
          <cell r="I62"/>
        </row>
        <row r="63">
          <cell r="A63" t="str">
            <v>B-792</v>
          </cell>
          <cell r="B63"/>
          <cell r="C63" t="str">
            <v>SAN ISIDRO</v>
          </cell>
          <cell r="D63" t="str">
            <v>BODEGAS GCPI ING JPCA y ARQ JLJCA</v>
          </cell>
          <cell r="E63"/>
          <cell r="F63"/>
          <cell r="G63"/>
          <cell r="H63"/>
          <cell r="I63"/>
        </row>
        <row r="64">
          <cell r="A64" t="str">
            <v>B-795</v>
          </cell>
          <cell r="B64"/>
          <cell r="C64" t="str">
            <v>GUADALAJARA</v>
          </cell>
          <cell r="D64" t="str">
            <v>NERIUM</v>
          </cell>
          <cell r="E64"/>
          <cell r="F64"/>
          <cell r="G64"/>
          <cell r="H64"/>
          <cell r="I64"/>
        </row>
        <row r="65">
          <cell r="A65" t="str">
            <v>B-802</v>
          </cell>
          <cell r="B65"/>
          <cell r="C65" t="str">
            <v>TAPALPA</v>
          </cell>
          <cell r="D65" t="str">
            <v>CASA GODOY TAPALPA</v>
          </cell>
          <cell r="E65"/>
          <cell r="F65"/>
          <cell r="G65"/>
          <cell r="H65"/>
          <cell r="I65"/>
        </row>
        <row r="66">
          <cell r="A66" t="str">
            <v>B-861</v>
          </cell>
          <cell r="B66"/>
          <cell r="C66" t="str">
            <v>ZAPOPAN</v>
          </cell>
          <cell r="D66" t="str">
            <v>AMPLIACION DE OFICINAS PAT</v>
          </cell>
          <cell r="E66"/>
          <cell r="F66"/>
          <cell r="G66"/>
          <cell r="H66"/>
          <cell r="I66"/>
        </row>
        <row r="67">
          <cell r="A67" t="str">
            <v>B-878</v>
          </cell>
          <cell r="B67"/>
          <cell r="C67" t="str">
            <v>TLAJOMULCO</v>
          </cell>
          <cell r="D67" t="str">
            <v>MANTENIMIENTO EDIFICIO B FORMAS SÓLIDAS</v>
          </cell>
          <cell r="E67"/>
          <cell r="F67"/>
          <cell r="G67"/>
          <cell r="H67"/>
          <cell r="I67"/>
        </row>
        <row r="68">
          <cell r="A68" t="str">
            <v>B-898</v>
          </cell>
          <cell r="B68"/>
          <cell r="C68" t="str">
            <v>PRADERAS DEL NOGAL TAPALPA</v>
          </cell>
          <cell r="D68" t="str">
            <v>MANTENIMIENTO EN RANCHO PRADERAS DEL NOGAL</v>
          </cell>
          <cell r="E68"/>
          <cell r="F68"/>
          <cell r="G68"/>
          <cell r="H68"/>
          <cell r="I68"/>
        </row>
        <row r="69">
          <cell r="A69" t="str">
            <v>B-899</v>
          </cell>
          <cell r="B69"/>
          <cell r="C69" t="str">
            <v>MAR EGEO 1310-4 EL COUNTRY</v>
          </cell>
          <cell r="D69" t="str">
            <v>TERE ROBLES</v>
          </cell>
          <cell r="E69"/>
          <cell r="F69"/>
          <cell r="G69"/>
          <cell r="H69"/>
          <cell r="I69"/>
        </row>
        <row r="70">
          <cell r="A70" t="str">
            <v>B-905</v>
          </cell>
          <cell r="B70"/>
          <cell r="C70" t="str">
            <v>TEJABANES</v>
          </cell>
          <cell r="D70" t="str">
            <v>OFICINAS SUMITOMO</v>
          </cell>
          <cell r="E70"/>
          <cell r="F70"/>
          <cell r="G70"/>
          <cell r="H70"/>
          <cell r="I70"/>
        </row>
        <row r="71">
          <cell r="A71" t="str">
            <v>B-911</v>
          </cell>
          <cell r="B71"/>
          <cell r="C71" t="str">
            <v>ZAPOPAN</v>
          </cell>
          <cell r="D71" t="str">
            <v>CASA CHÁVEZ MARTÍNEZ</v>
          </cell>
          <cell r="E71"/>
          <cell r="F71"/>
          <cell r="G71"/>
          <cell r="H71"/>
          <cell r="I71"/>
        </row>
        <row r="72">
          <cell r="A72" t="str">
            <v>B-920</v>
          </cell>
          <cell r="B72"/>
          <cell r="C72" t="str">
            <v>ZAPOPAN</v>
          </cell>
          <cell r="D72" t="str">
            <v>SAN PASCUAL 1676 FRACCIONAMIENTO SANTA ISABEL</v>
          </cell>
          <cell r="E72"/>
          <cell r="F72"/>
          <cell r="G72"/>
          <cell r="H72"/>
          <cell r="I72"/>
        </row>
        <row r="73">
          <cell r="A73" t="str">
            <v>B-970</v>
          </cell>
          <cell r="B73"/>
          <cell r="C73" t="str">
            <v>COLINAS DE SAN JAVIER</v>
          </cell>
          <cell r="D73" t="str">
            <v>CASA DIEGO CHÁVEZ NAVARRO</v>
          </cell>
          <cell r="E73"/>
          <cell r="F73"/>
          <cell r="G73"/>
          <cell r="H73"/>
          <cell r="I73"/>
        </row>
        <row r="74">
          <cell r="A74" t="str">
            <v>B-982</v>
          </cell>
          <cell r="B74"/>
          <cell r="C74" t="str">
            <v>COLON</v>
          </cell>
          <cell r="D74" t="str">
            <v>REMODELACION ALMACEN COLÓN</v>
          </cell>
          <cell r="E74"/>
          <cell r="F74"/>
          <cell r="G74"/>
          <cell r="H74"/>
          <cell r="I74"/>
        </row>
        <row r="75">
          <cell r="A75" t="str">
            <v>B-984</v>
          </cell>
          <cell r="B75"/>
          <cell r="C75" t="str">
            <v>TLAJOMULCO</v>
          </cell>
          <cell r="D75" t="str">
            <v>MANTENIMIENTO PARA CDN</v>
          </cell>
          <cell r="E75"/>
          <cell r="F75"/>
          <cell r="G75"/>
          <cell r="H75"/>
          <cell r="I75"/>
        </row>
        <row r="76">
          <cell r="A76" t="str">
            <v>C-001</v>
          </cell>
          <cell r="B76"/>
          <cell r="C76" t="str">
            <v>CALZADA OLÍMPICA</v>
          </cell>
          <cell r="D76" t="str">
            <v>MANIJAUTO</v>
          </cell>
          <cell r="E76"/>
          <cell r="F76"/>
          <cell r="G76"/>
          <cell r="H76"/>
          <cell r="I76"/>
        </row>
        <row r="77">
          <cell r="A77" t="str">
            <v>C-038</v>
          </cell>
          <cell r="B77"/>
          <cell r="C77" t="str">
            <v>TLAJOMULCO</v>
          </cell>
          <cell r="D77" t="str">
            <v>LABORATORIO DE PENICILINICOS</v>
          </cell>
          <cell r="E77"/>
          <cell r="F77"/>
          <cell r="G77"/>
          <cell r="H77"/>
          <cell r="I77"/>
        </row>
        <row r="78">
          <cell r="A78" t="str">
            <v>C-039</v>
          </cell>
          <cell r="B78"/>
          <cell r="C78" t="str">
            <v>DESTINO VALLARTA</v>
          </cell>
          <cell r="D78" t="str">
            <v xml:space="preserve">PONTO QUITO </v>
          </cell>
          <cell r="E78"/>
          <cell r="F78"/>
          <cell r="G78"/>
          <cell r="H78"/>
          <cell r="I78"/>
        </row>
        <row r="79">
          <cell r="A79" t="str">
            <v>C-046</v>
          </cell>
          <cell r="B79"/>
          <cell r="C79" t="str">
            <v>AVANT</v>
          </cell>
          <cell r="D79" t="str">
            <v>NAVE 3 AVANT</v>
          </cell>
          <cell r="E79"/>
          <cell r="F79"/>
          <cell r="G79"/>
          <cell r="H79"/>
          <cell r="I79"/>
        </row>
        <row r="80">
          <cell r="A80" t="str">
            <v>C-085</v>
          </cell>
          <cell r="B80"/>
          <cell r="C80" t="str">
            <v>CONDOMINIO PLAZA COUNTRY</v>
          </cell>
          <cell r="D80" t="str">
            <v>CASA INT 30 SR ALEJANDRO GARCIARCE ALVAREZ</v>
          </cell>
          <cell r="E80"/>
          <cell r="F80"/>
          <cell r="G80"/>
          <cell r="H80"/>
          <cell r="I80"/>
        </row>
        <row r="81">
          <cell r="A81" t="str">
            <v>C-092</v>
          </cell>
          <cell r="B81"/>
          <cell r="C81" t="str">
            <v>TLAJOMULCO</v>
          </cell>
          <cell r="D81" t="str">
            <v>MANTENIMIENTO Y CONSERVACIÓN EDIFICIO E INSTALACIONES ELÉCTRICAS ALMACÉN AUTOMATIZADO</v>
          </cell>
          <cell r="E81"/>
          <cell r="F81"/>
          <cell r="G81"/>
          <cell r="H81"/>
          <cell r="I81"/>
        </row>
        <row r="82">
          <cell r="A82" t="str">
            <v>C-101</v>
          </cell>
          <cell r="B82"/>
          <cell r="C82" t="str">
            <v>TAPALPA</v>
          </cell>
          <cell r="D82" t="str">
            <v>MTTO. CASA Y PLANTA DE EMERGENCIA CABAÑA MÁGICA</v>
          </cell>
          <cell r="E82"/>
          <cell r="F82"/>
          <cell r="G82"/>
          <cell r="H82"/>
          <cell r="I82"/>
        </row>
        <row r="83">
          <cell r="A83" t="str">
            <v>C-105</v>
          </cell>
          <cell r="B83"/>
          <cell r="C83" t="str">
            <v>PYMPSA</v>
          </cell>
          <cell r="D83" t="str">
            <v xml:space="preserve">ADECUACIÓN RED CONTRA-INCENDIOS </v>
          </cell>
          <cell r="E83"/>
          <cell r="F83"/>
          <cell r="G83"/>
          <cell r="H83"/>
          <cell r="I83"/>
        </row>
        <row r="84">
          <cell r="A84" t="str">
            <v>C-106</v>
          </cell>
          <cell r="B84"/>
          <cell r="C84" t="str">
            <v>CONJUNTO RESIDENCIAL PATRIA</v>
          </cell>
          <cell r="D84" t="str">
            <v>TERRENO HIMNO PATRIO LORENA CHÁVEZ</v>
          </cell>
          <cell r="E84"/>
          <cell r="F84"/>
          <cell r="G84"/>
          <cell r="H84"/>
          <cell r="I84"/>
        </row>
        <row r="85">
          <cell r="A85" t="str">
            <v>C-112</v>
          </cell>
          <cell r="B85"/>
          <cell r="C85" t="str">
            <v>TLAJOMULCO</v>
          </cell>
          <cell r="D85" t="str">
            <v>MANTENIMIENTO A EDIFICIO ONCOLÓGICOS E INMUNOLÓGICOS</v>
          </cell>
          <cell r="E85"/>
          <cell r="F85"/>
          <cell r="G85"/>
          <cell r="H85"/>
          <cell r="I85"/>
        </row>
        <row r="86">
          <cell r="A86" t="str">
            <v>C-115</v>
          </cell>
          <cell r="B86"/>
          <cell r="C86" t="str">
            <v>VISTAS DE LA CAÑADA</v>
          </cell>
          <cell r="D86" t="str">
            <v>MANTENIMIENTO CASA ÁLVARO SOTO</v>
          </cell>
          <cell r="E86"/>
          <cell r="F86"/>
          <cell r="G86"/>
          <cell r="H86"/>
          <cell r="I86"/>
        </row>
        <row r="87">
          <cell r="A87" t="str">
            <v>C-121</v>
          </cell>
          <cell r="B87"/>
          <cell r="C87" t="str">
            <v>TAPALPA</v>
          </cell>
          <cell r="D87" t="str">
            <v>CABAÑA EL JAGUEY</v>
          </cell>
          <cell r="E87"/>
          <cell r="F87"/>
          <cell r="G87"/>
          <cell r="H87"/>
          <cell r="I87"/>
        </row>
        <row r="88">
          <cell r="A88" t="str">
            <v>C-127</v>
          </cell>
          <cell r="B88"/>
          <cell r="C88" t="str">
            <v>TLAJOMULCO</v>
          </cell>
          <cell r="D88" t="str">
            <v>PRODUCTOS CONTROLADOS EDIFICIO B</v>
          </cell>
          <cell r="E88"/>
          <cell r="F88"/>
          <cell r="G88"/>
          <cell r="H88"/>
          <cell r="I88"/>
        </row>
        <row r="89">
          <cell r="A89" t="str">
            <v>C-143</v>
          </cell>
          <cell r="B89"/>
          <cell r="C89" t="str">
            <v>TAPALPA</v>
          </cell>
          <cell r="D89" t="str">
            <v>CASA STELLA ÁLVAREZ</v>
          </cell>
          <cell r="E89"/>
          <cell r="F89"/>
          <cell r="G89"/>
          <cell r="H89"/>
          <cell r="I89"/>
        </row>
        <row r="90">
          <cell r="A90" t="str">
            <v>C-146</v>
          </cell>
          <cell r="B90"/>
          <cell r="C90" t="str">
            <v>TAPALPA</v>
          </cell>
          <cell r="D90" t="str">
            <v>MANTENIMIENTO CASA JCAV</v>
          </cell>
          <cell r="E90"/>
          <cell r="F90"/>
          <cell r="G90"/>
          <cell r="H90"/>
          <cell r="I90"/>
        </row>
        <row r="91">
          <cell r="A91" t="str">
            <v>C-147</v>
          </cell>
          <cell r="B91"/>
          <cell r="C91" t="str">
            <v>TAPALPA</v>
          </cell>
          <cell r="D91" t="str">
            <v>MANTENIMIENTO RANCHO JCAV</v>
          </cell>
          <cell r="E91"/>
          <cell r="F91"/>
          <cell r="G91"/>
          <cell r="H91"/>
          <cell r="I91"/>
        </row>
        <row r="92">
          <cell r="A92" t="str">
            <v>C-149</v>
          </cell>
          <cell r="B92"/>
          <cell r="C92" t="str">
            <v>TAPALPA</v>
          </cell>
          <cell r="D92" t="str">
            <v>TERRAZA MARIANO BERDEGUÉ SAINZ</v>
          </cell>
          <cell r="E92"/>
          <cell r="F92"/>
          <cell r="G92"/>
          <cell r="H92"/>
          <cell r="I92"/>
        </row>
        <row r="93">
          <cell r="A93" t="str">
            <v>C-154</v>
          </cell>
          <cell r="B93"/>
          <cell r="C93" t="str">
            <v>ZONA IND</v>
          </cell>
          <cell r="D93" t="str">
            <v>LABORATORIO FÍSICO-QUÍMICOS</v>
          </cell>
          <cell r="E93"/>
          <cell r="F93"/>
          <cell r="G93"/>
          <cell r="H93"/>
          <cell r="I93"/>
        </row>
        <row r="94">
          <cell r="A94" t="str">
            <v>C-155</v>
          </cell>
          <cell r="B94"/>
          <cell r="C94" t="str">
            <v>PUERTA PLATA</v>
          </cell>
          <cell r="D94" t="str">
            <v>VIVIANA MARTÍNEZ ÁLVAREZ</v>
          </cell>
          <cell r="E94"/>
          <cell r="F94"/>
          <cell r="G94"/>
          <cell r="H94"/>
          <cell r="I94"/>
        </row>
        <row r="95">
          <cell r="A95" t="str">
            <v>C-158</v>
          </cell>
          <cell r="B95"/>
          <cell r="C95" t="str">
            <v>ZONA IND</v>
          </cell>
          <cell r="D95" t="str">
            <v>LÍNEA VA3</v>
          </cell>
          <cell r="E95"/>
          <cell r="F95"/>
          <cell r="G95"/>
          <cell r="H95"/>
          <cell r="I95"/>
        </row>
        <row r="96">
          <cell r="A96" t="str">
            <v>C-160</v>
          </cell>
          <cell r="B96"/>
          <cell r="C96" t="str">
            <v>PASEO DE LOS VIRREYES LOTE 43 ,COL. SAN WENCESLAO</v>
          </cell>
          <cell r="D96" t="str">
            <v>CASA JORGE PABLO CHÁVEZ NAVARRO</v>
          </cell>
          <cell r="E96"/>
          <cell r="F96"/>
          <cell r="G96"/>
          <cell r="H96"/>
          <cell r="I96"/>
        </row>
        <row r="97">
          <cell r="A97" t="str">
            <v>C-162</v>
          </cell>
          <cell r="B97"/>
          <cell r="C97" t="str">
            <v>TAPALPA</v>
          </cell>
          <cell r="D97" t="str">
            <v>CASA OLMOS</v>
          </cell>
          <cell r="E97"/>
          <cell r="F97"/>
          <cell r="G97"/>
          <cell r="H97"/>
          <cell r="I97"/>
        </row>
        <row r="98">
          <cell r="A98" t="str">
            <v>C-165</v>
          </cell>
          <cell r="B98"/>
          <cell r="C98" t="str">
            <v>TLAJOMULCO</v>
          </cell>
          <cell r="D98" t="str">
            <v>BODYLOGIC II</v>
          </cell>
          <cell r="E98"/>
          <cell r="F98"/>
          <cell r="G98"/>
          <cell r="H98"/>
          <cell r="I98"/>
        </row>
        <row r="99">
          <cell r="A99" t="str">
            <v>C-170</v>
          </cell>
          <cell r="B99"/>
          <cell r="C99" t="str">
            <v>HIMNO PATRIO S/N</v>
          </cell>
          <cell r="D99" t="str">
            <v>TERRENO HIMNO PATRIO ANA PAULA CHÁVEZ</v>
          </cell>
          <cell r="E99"/>
          <cell r="F99"/>
          <cell r="G99"/>
          <cell r="H99"/>
          <cell r="I99"/>
        </row>
        <row r="100">
          <cell r="A100" t="str">
            <v>C-176</v>
          </cell>
          <cell r="B100"/>
          <cell r="C100" t="str">
            <v>CIRCUITO MADRIGAL</v>
          </cell>
          <cell r="D100" t="str">
            <v>COTO COLINAS</v>
          </cell>
          <cell r="E100"/>
          <cell r="F100"/>
          <cell r="G100"/>
          <cell r="H100"/>
          <cell r="I100"/>
        </row>
        <row r="101">
          <cell r="A101" t="str">
            <v>C-180</v>
          </cell>
          <cell r="B101"/>
          <cell r="C101" t="str">
            <v>ZONA IND</v>
          </cell>
          <cell r="D101" t="str">
            <v>REMEDIACIÓN SISTEMA DE AGUA ORALES</v>
          </cell>
          <cell r="E101"/>
          <cell r="F101"/>
          <cell r="G101"/>
          <cell r="H101"/>
          <cell r="I101"/>
        </row>
        <row r="102">
          <cell r="A102" t="str">
            <v>C-183</v>
          </cell>
          <cell r="B102"/>
          <cell r="C102" t="str">
            <v>TLAJOMULCO</v>
          </cell>
          <cell r="D102" t="str">
            <v>RELACIÓN DE GASTOS EFECTUADOS MANTENIMIENTO DIRECCIÓN ELECTROLIT</v>
          </cell>
          <cell r="E102"/>
          <cell r="F102"/>
          <cell r="G102"/>
          <cell r="H102"/>
          <cell r="I102"/>
        </row>
        <row r="103">
          <cell r="A103" t="str">
            <v>C-188</v>
          </cell>
          <cell r="B103"/>
          <cell r="C103" t="str">
            <v>PUERTA PLATA</v>
          </cell>
          <cell r="D103" t="str">
            <v>CRISTÓBAL GARCIARCE ÁLVAREZ</v>
          </cell>
          <cell r="E103"/>
          <cell r="F103"/>
          <cell r="G103"/>
          <cell r="H103"/>
          <cell r="I103"/>
        </row>
        <row r="104">
          <cell r="A104" t="str">
            <v>C-193</v>
          </cell>
          <cell r="B104"/>
          <cell r="C104" t="str">
            <v>TLAJOMULCO</v>
          </cell>
          <cell r="D104" t="str">
            <v>INSUMOS 3 EN MANZANA 3</v>
          </cell>
          <cell r="E104"/>
          <cell r="F104"/>
          <cell r="G104"/>
          <cell r="H104"/>
          <cell r="I104"/>
        </row>
        <row r="105">
          <cell r="A105" t="str">
            <v>C-193A</v>
          </cell>
          <cell r="B105"/>
          <cell r="C105" t="str">
            <v>TLAJOMULCO</v>
          </cell>
          <cell r="D105" t="str">
            <v>ALMACÉN DE INSUMOS 3 EN MANZANA 3 OBRA INTERNA</v>
          </cell>
          <cell r="E105"/>
          <cell r="F105"/>
          <cell r="G105"/>
          <cell r="H105"/>
          <cell r="I105"/>
        </row>
        <row r="106">
          <cell r="A106" t="str">
            <v>C-194</v>
          </cell>
          <cell r="B106"/>
          <cell r="C106" t="str">
            <v>TLAJOMULCO</v>
          </cell>
          <cell r="D106" t="str">
            <v>PRODUCCIÓN 3 EN MANZANA 3</v>
          </cell>
          <cell r="E106"/>
          <cell r="F106"/>
          <cell r="G106"/>
          <cell r="H106"/>
          <cell r="I106"/>
        </row>
        <row r="107">
          <cell r="A107" t="str">
            <v>C-194A</v>
          </cell>
          <cell r="B107"/>
          <cell r="C107" t="str">
            <v>TLAJOMULCO</v>
          </cell>
          <cell r="D107" t="str">
            <v>NAVE DE PRODUCCIÓN 3 EN MANZANA 3 OBRA INTERNA</v>
          </cell>
          <cell r="E107"/>
          <cell r="F107"/>
          <cell r="G107"/>
          <cell r="H107"/>
          <cell r="I107"/>
        </row>
        <row r="108">
          <cell r="A108" t="str">
            <v>C-195</v>
          </cell>
          <cell r="B108"/>
          <cell r="C108" t="str">
            <v>TLAJOMULCO</v>
          </cell>
          <cell r="D108" t="str">
            <v>ALMACÉN DE MATERIALES 3 EN MANZANA 3</v>
          </cell>
          <cell r="E108"/>
          <cell r="F108"/>
          <cell r="G108"/>
          <cell r="H108"/>
          <cell r="I108"/>
        </row>
        <row r="109">
          <cell r="A109" t="str">
            <v>C-195A</v>
          </cell>
          <cell r="B109"/>
          <cell r="C109" t="str">
            <v>TLAJOMULCO</v>
          </cell>
          <cell r="D109" t="str">
            <v>ALMACÉN DE MATERIALES 3 EN MANZANA 3 OBRA INTERNA</v>
          </cell>
          <cell r="E109"/>
          <cell r="F109"/>
          <cell r="G109"/>
          <cell r="H109"/>
          <cell r="I109"/>
        </row>
        <row r="110">
          <cell r="A110" t="str">
            <v>C-196</v>
          </cell>
          <cell r="B110"/>
          <cell r="C110" t="str">
            <v>TLAJOMULCO</v>
          </cell>
          <cell r="D110" t="str">
            <v>PATIOS DE MATERIALES EN MANZANA 3</v>
          </cell>
          <cell r="E110"/>
          <cell r="F110"/>
          <cell r="G110"/>
          <cell r="H110"/>
          <cell r="I110"/>
        </row>
        <row r="111">
          <cell r="A111" t="str">
            <v>C-199</v>
          </cell>
          <cell r="B111"/>
          <cell r="C111" t="str">
            <v>PARQUE CAB</v>
          </cell>
          <cell r="D111" t="str">
            <v>CUARTO DE BOMBAS PYMPSA/CAB</v>
          </cell>
          <cell r="E111"/>
          <cell r="F111"/>
          <cell r="G111"/>
          <cell r="H111"/>
          <cell r="I111"/>
        </row>
        <row r="112">
          <cell r="A112" t="str">
            <v>C-202</v>
          </cell>
          <cell r="B112"/>
          <cell r="C112" t="str">
            <v>TLAJOMULCO</v>
          </cell>
          <cell r="D112" t="str">
            <v>REMEDIACIÓN PASILLOS GENERALES ISO 9 EDIFICIO A</v>
          </cell>
          <cell r="E112"/>
          <cell r="F112"/>
          <cell r="G112"/>
          <cell r="H112"/>
          <cell r="I112"/>
        </row>
        <row r="113">
          <cell r="A113" t="str">
            <v>C-205</v>
          </cell>
          <cell r="B113"/>
          <cell r="C113" t="str">
            <v>TLAJOMULCO</v>
          </cell>
          <cell r="D113" t="str">
            <v>REMEDIACIÓN PASILLOS ISO 09 VIALES</v>
          </cell>
          <cell r="E113"/>
          <cell r="F113"/>
          <cell r="G113"/>
          <cell r="H113"/>
          <cell r="I113"/>
        </row>
        <row r="114">
          <cell r="A114" t="str">
            <v>C-206</v>
          </cell>
          <cell r="B114"/>
          <cell r="C114" t="str">
            <v>TLAJOMULCO</v>
          </cell>
          <cell r="D114" t="str">
            <v>BASE PUENTE Y SILO EDIFICIO A</v>
          </cell>
          <cell r="E114"/>
          <cell r="F114"/>
          <cell r="G114"/>
          <cell r="H114"/>
          <cell r="I114"/>
        </row>
        <row r="115">
          <cell r="A115" t="str">
            <v>C-207</v>
          </cell>
          <cell r="B115"/>
          <cell r="C115" t="str">
            <v>TLAJOMULCO</v>
          </cell>
          <cell r="D115" t="str">
            <v>ARCHIVOS REGULATORIOS EDIFICIO B</v>
          </cell>
          <cell r="E115"/>
          <cell r="F115"/>
          <cell r="G115"/>
          <cell r="H115"/>
          <cell r="I115"/>
        </row>
        <row r="116">
          <cell r="A116" t="str">
            <v>C-209</v>
          </cell>
          <cell r="B116"/>
          <cell r="C116" t="str">
            <v>TEJABANES</v>
          </cell>
          <cell r="D116" t="str">
            <v>ADECUACIONES DE NAVES 5 y 6</v>
          </cell>
          <cell r="E116"/>
          <cell r="F116"/>
          <cell r="G116"/>
          <cell r="H116"/>
          <cell r="I116"/>
        </row>
        <row r="117">
          <cell r="A117" t="str">
            <v>C-214</v>
          </cell>
          <cell r="B117"/>
          <cell r="C117" t="str">
            <v>TLAJOMULCO</v>
          </cell>
          <cell r="D117" t="str">
            <v>TRABAJOS DE MANTENIMIENTO EN EXTERIORES Y ÁREAS GENERALES</v>
          </cell>
          <cell r="E117"/>
          <cell r="F117"/>
          <cell r="G117"/>
          <cell r="H117"/>
          <cell r="I117"/>
        </row>
        <row r="118">
          <cell r="A118" t="str">
            <v>C-215</v>
          </cell>
          <cell r="B118"/>
          <cell r="C118" t="str">
            <v>ZONA IND</v>
          </cell>
          <cell r="D118" t="str">
            <v>OFICINAS DE MANTENIMIENTO</v>
          </cell>
          <cell r="E118"/>
          <cell r="F118"/>
          <cell r="G118"/>
          <cell r="H118"/>
          <cell r="I118"/>
        </row>
        <row r="119">
          <cell r="A119" t="str">
            <v>C-216</v>
          </cell>
          <cell r="B119"/>
          <cell r="C119" t="str">
            <v>ZONA IND</v>
          </cell>
          <cell r="D119" t="str">
            <v>MEZANINNE PARA ARCHIVOS DE DOCUMENTACIÓN</v>
          </cell>
          <cell r="E119"/>
          <cell r="F119"/>
          <cell r="G119"/>
          <cell r="H119"/>
          <cell r="I119"/>
        </row>
        <row r="120">
          <cell r="A120" t="str">
            <v>C-221</v>
          </cell>
          <cell r="B120"/>
          <cell r="C120" t="str">
            <v>TLAJOMULCO</v>
          </cell>
          <cell r="D120" t="str">
            <v>REMEDIACIÓN PLANTA PENICILÍNICOS</v>
          </cell>
          <cell r="E120"/>
          <cell r="F120"/>
          <cell r="G120"/>
          <cell r="H120"/>
          <cell r="I120"/>
        </row>
        <row r="121">
          <cell r="A121" t="str">
            <v>C-224</v>
          </cell>
          <cell r="B121"/>
          <cell r="C121" t="str">
            <v>ZONA IND</v>
          </cell>
          <cell r="D121" t="str">
            <v>CLASIFICACIÓN DE PASILLOS PLANTA</v>
          </cell>
          <cell r="E121"/>
          <cell r="F121"/>
          <cell r="G121"/>
          <cell r="H121"/>
          <cell r="I121"/>
        </row>
        <row r="122">
          <cell r="A122" t="str">
            <v>C-225</v>
          </cell>
          <cell r="B122"/>
          <cell r="C122" t="str">
            <v>TLAJOMULCO</v>
          </cell>
          <cell r="D122" t="str">
            <v>SALAS DE CAPACITACIÓN NAVE 3, EDIFICIO B</v>
          </cell>
          <cell r="E122"/>
          <cell r="F122"/>
          <cell r="G122"/>
          <cell r="H122"/>
          <cell r="I122"/>
        </row>
        <row r="123">
          <cell r="A123" t="str">
            <v>C-226</v>
          </cell>
          <cell r="B123"/>
          <cell r="C123" t="str">
            <v>16 DE SEPTIEMBRE 1066 COL. MODERNA, GUADALAJARA, JALISCO</v>
          </cell>
          <cell r="D123" t="str">
            <v>REMODELACIÓN AGENCIA AUTONOVA</v>
          </cell>
          <cell r="E123"/>
          <cell r="F123"/>
          <cell r="G123"/>
          <cell r="H123"/>
          <cell r="I123"/>
        </row>
        <row r="124">
          <cell r="A124" t="str">
            <v>C-228</v>
          </cell>
          <cell r="B124"/>
          <cell r="C124" t="str">
            <v>ZAPOPAN, JALISCO</v>
          </cell>
          <cell r="D124" t="str">
            <v>PARQUE INDUSTRIAL INDORAMA</v>
          </cell>
          <cell r="E124"/>
          <cell r="F124"/>
          <cell r="G124"/>
          <cell r="H124"/>
          <cell r="I124"/>
        </row>
        <row r="125">
          <cell r="A125" t="str">
            <v>C-231</v>
          </cell>
          <cell r="B125"/>
          <cell r="C125" t="str">
            <v>TLAJOMULCO</v>
          </cell>
          <cell r="D125" t="str">
            <v>RECUPERACIÓN DE AGUAS RESIDUALES DEL COMPLEJO TLAJOMULCO</v>
          </cell>
          <cell r="E125"/>
          <cell r="F125"/>
          <cell r="G125"/>
          <cell r="H125"/>
          <cell r="I125"/>
        </row>
        <row r="126">
          <cell r="A126" t="str">
            <v>C-232</v>
          </cell>
          <cell r="B126"/>
          <cell r="C126" t="str">
            <v>TLAJOMULCO</v>
          </cell>
          <cell r="D126" t="str">
            <v>MANTENIMIENTO A INGRESO DE OFICINAS DE MANTENIMIENTO</v>
          </cell>
          <cell r="E126"/>
          <cell r="F126"/>
          <cell r="G126"/>
          <cell r="H126"/>
          <cell r="I126"/>
        </row>
        <row r="127">
          <cell r="A127" t="str">
            <v>C-234</v>
          </cell>
          <cell r="B127"/>
          <cell r="C127" t="str">
            <v>TLAJOMULCO</v>
          </cell>
          <cell r="D127" t="str">
            <v>INCREMENTO DE CAPACIDAD POZO 7</v>
          </cell>
          <cell r="E127"/>
          <cell r="F127"/>
          <cell r="G127"/>
          <cell r="H127"/>
          <cell r="I127"/>
        </row>
        <row r="128">
          <cell r="A128" t="str">
            <v>C-244</v>
          </cell>
          <cell r="B128"/>
          <cell r="C128" t="str">
            <v>ZONA IND</v>
          </cell>
          <cell r="D128" t="str">
            <v>ALMACÉN MP CALLE 6</v>
          </cell>
          <cell r="E128"/>
          <cell r="F128"/>
          <cell r="G128"/>
          <cell r="H128"/>
          <cell r="I128"/>
        </row>
        <row r="129">
          <cell r="A129" t="str">
            <v>C-247</v>
          </cell>
          <cell r="B129"/>
          <cell r="C129" t="str">
            <v>EL COTO</v>
          </cell>
          <cell r="D129" t="str">
            <v>PÉRGOLA Y ASADORES EL COTO</v>
          </cell>
          <cell r="E129"/>
          <cell r="F129"/>
          <cell r="G129"/>
          <cell r="H129"/>
          <cell r="I129"/>
        </row>
        <row r="130">
          <cell r="A130" t="str">
            <v>C-249</v>
          </cell>
          <cell r="B130"/>
          <cell r="C130" t="str">
            <v>TLAJOMULCO</v>
          </cell>
          <cell r="D130" t="str">
            <v>MANTENIMIENTO EDIFICIO B VIALES</v>
          </cell>
          <cell r="E130"/>
          <cell r="F130"/>
          <cell r="G130"/>
          <cell r="H130"/>
          <cell r="I130"/>
        </row>
        <row r="131">
          <cell r="A131" t="str">
            <v>C-255</v>
          </cell>
          <cell r="B131"/>
          <cell r="C131" t="str">
            <v>ZONA INDUSTRIAL</v>
          </cell>
          <cell r="D131" t="str">
            <v>MUESTREO DE ESTÉRIL MATERIAS PRIMAS</v>
          </cell>
          <cell r="E131"/>
          <cell r="F131"/>
          <cell r="G131"/>
          <cell r="H131"/>
          <cell r="I131"/>
        </row>
        <row r="132">
          <cell r="A132" t="str">
            <v>C-256</v>
          </cell>
          <cell r="B132"/>
          <cell r="C132" t="str">
            <v>AV ESPAÑA</v>
          </cell>
          <cell r="D132" t="str">
            <v>CONEXIÓN DE TRANSFORMADOR BODYLOGIC AV. ESPAÑA</v>
          </cell>
          <cell r="E132"/>
          <cell r="F132"/>
          <cell r="G132"/>
          <cell r="H132"/>
          <cell r="I132"/>
        </row>
        <row r="133">
          <cell r="A133" t="str">
            <v>C-258</v>
          </cell>
          <cell r="B133"/>
          <cell r="C133" t="str">
            <v>TLAJOMULCO</v>
          </cell>
          <cell r="D133" t="str">
            <v>MANTENIMIENTO DE TUBERÍA DE AFORO PARA AGUA DE LAVANDERÍA</v>
          </cell>
          <cell r="E133"/>
          <cell r="F133"/>
          <cell r="G133"/>
          <cell r="H133"/>
          <cell r="I133"/>
        </row>
        <row r="134">
          <cell r="A134" t="str">
            <v>C-259</v>
          </cell>
          <cell r="B134"/>
          <cell r="C134" t="str">
            <v>TLAJOMULCO</v>
          </cell>
          <cell r="D134" t="str">
            <v>OBRA CIVIL MEJORA INCUBACIÓN LABORATORIO EDIFICIO E</v>
          </cell>
          <cell r="E134"/>
          <cell r="F134"/>
          <cell r="G134"/>
          <cell r="H134"/>
          <cell r="I134"/>
        </row>
        <row r="135">
          <cell r="A135" t="str">
            <v>C-260</v>
          </cell>
          <cell r="B135"/>
          <cell r="C135" t="str">
            <v>TLAJOMULCO</v>
          </cell>
          <cell r="D135" t="str">
            <v>OBRA CIVIL MEJORA LABORATORIO DE METROLOGÍA NAVE 5 EDIFICIO E</v>
          </cell>
          <cell r="E135"/>
          <cell r="F135"/>
          <cell r="G135"/>
          <cell r="H135"/>
          <cell r="I135"/>
        </row>
        <row r="136">
          <cell r="A136" t="str">
            <v>C-261</v>
          </cell>
          <cell r="B136"/>
          <cell r="C136" t="str">
            <v>TLAJOMULCO</v>
          </cell>
          <cell r="D136" t="str">
            <v>OBRA CIVIL MEJORA ESTABILIDADES LABORATORIO EDIFICIO E</v>
          </cell>
          <cell r="E136"/>
          <cell r="F136"/>
          <cell r="G136"/>
          <cell r="H136"/>
          <cell r="I136"/>
        </row>
        <row r="137">
          <cell r="A137" t="str">
            <v>C-262</v>
          </cell>
          <cell r="B137"/>
          <cell r="C137" t="str">
            <v>TLAJOMULCO</v>
          </cell>
          <cell r="D137" t="str">
            <v>MANTENIMIENTO DE FOSA PARA BÁSCULA EREMA</v>
          </cell>
          <cell r="E137"/>
          <cell r="F137"/>
          <cell r="G137"/>
          <cell r="H137"/>
          <cell r="I137"/>
        </row>
        <row r="138">
          <cell r="A138" t="str">
            <v>C-263</v>
          </cell>
          <cell r="B138"/>
          <cell r="C138" t="str">
            <v>TLAJOMULCO</v>
          </cell>
          <cell r="D138" t="str">
            <v>MANTENIMIENTO EREMA PP</v>
          </cell>
          <cell r="E138"/>
          <cell r="F138"/>
          <cell r="G138"/>
          <cell r="H138"/>
          <cell r="I138"/>
        </row>
        <row r="139">
          <cell r="A139" t="str">
            <v>C-264</v>
          </cell>
          <cell r="B139"/>
          <cell r="C139" t="str">
            <v>TLAJOMULCO</v>
          </cell>
          <cell r="D139" t="str">
            <v>INSTALACIÓN DE SISTEMA DE INSPECCIÓN DE FUGAS L2 EDIF A ELECTROLIT</v>
          </cell>
          <cell r="E139"/>
          <cell r="F139"/>
          <cell r="G139"/>
          <cell r="H139"/>
          <cell r="I139"/>
        </row>
        <row r="140">
          <cell r="A140" t="str">
            <v>C-265</v>
          </cell>
          <cell r="B140"/>
          <cell r="C140" t="str">
            <v>TLAJOMULCO</v>
          </cell>
          <cell r="D140" t="str">
            <v>MEJORA RECUPERACIÓN DE BOLSA OVER LÍNEA 5</v>
          </cell>
          <cell r="E140"/>
          <cell r="F140"/>
          <cell r="G140"/>
          <cell r="H140"/>
          <cell r="I140"/>
        </row>
        <row r="141">
          <cell r="A141" t="str">
            <v>C-266</v>
          </cell>
          <cell r="B141"/>
          <cell r="C141" t="str">
            <v>TLAJOMULCO</v>
          </cell>
          <cell r="D141" t="str">
            <v>MANTENIMIENTO DE LABORATORIO PRUEBAS DE ESTERILIDAD EDIFICIO E</v>
          </cell>
          <cell r="E141"/>
          <cell r="F141"/>
          <cell r="G141"/>
          <cell r="H141"/>
          <cell r="I141"/>
        </row>
        <row r="142">
          <cell r="A142" t="str">
            <v>C-267</v>
          </cell>
          <cell r="B142"/>
          <cell r="C142" t="str">
            <v>ZONA INDUSTRIAL</v>
          </cell>
          <cell r="D142" t="str">
            <v>PASO DE GATO LABORATORIO</v>
          </cell>
          <cell r="E142"/>
          <cell r="F142"/>
          <cell r="G142"/>
          <cell r="H142"/>
          <cell r="I142"/>
        </row>
        <row r="143">
          <cell r="A143" t="str">
            <v>C-268</v>
          </cell>
          <cell r="B143"/>
          <cell r="C143" t="str">
            <v>TLAJOMULCO</v>
          </cell>
          <cell r="D143" t="str">
            <v>SALA DE JUNTAS EN TALLERES DE MANTENIMIENTO EDIFICIO A</v>
          </cell>
          <cell r="E143"/>
          <cell r="F143"/>
          <cell r="G143"/>
          <cell r="H143"/>
          <cell r="I143"/>
        </row>
        <row r="144">
          <cell r="A144" t="str">
            <v>C-269</v>
          </cell>
          <cell r="B144"/>
          <cell r="C144" t="str">
            <v>ZONA INDUSTRIAL</v>
          </cell>
          <cell r="D144" t="str">
            <v>REFORZAMIENTO DE LOSA ALMACÉN CALLE 6</v>
          </cell>
          <cell r="E144"/>
          <cell r="F144"/>
          <cell r="G144"/>
          <cell r="H144"/>
          <cell r="I144"/>
        </row>
        <row r="145">
          <cell r="A145" t="str">
            <v>C-270</v>
          </cell>
          <cell r="B145"/>
          <cell r="C145" t="str">
            <v>TLAJOMULCO</v>
          </cell>
          <cell r="D145" t="str">
            <v>REJA TERRENO TECNAAL</v>
          </cell>
          <cell r="E145"/>
          <cell r="F145"/>
          <cell r="G145"/>
          <cell r="H145"/>
          <cell r="I145"/>
        </row>
        <row r="146">
          <cell r="A146" t="str">
            <v>C-271</v>
          </cell>
          <cell r="B146"/>
          <cell r="C146" t="str">
            <v>TLAJOMULCO</v>
          </cell>
          <cell r="D146" t="str">
            <v>INSUMOS 4 EN MANZANA 3</v>
          </cell>
          <cell r="E146"/>
          <cell r="F146"/>
          <cell r="G146"/>
          <cell r="H146"/>
          <cell r="I146"/>
        </row>
        <row r="147">
          <cell r="A147" t="str">
            <v>C-272</v>
          </cell>
          <cell r="B147"/>
          <cell r="C147"/>
          <cell r="D147" t="str">
            <v>JUAN FRANCISCO LÓPEZ GALINDO</v>
          </cell>
          <cell r="E147"/>
          <cell r="F147"/>
          <cell r="G147"/>
          <cell r="H147"/>
          <cell r="I147"/>
        </row>
        <row r="148">
          <cell r="A148" t="str">
            <v>C-273</v>
          </cell>
          <cell r="B148"/>
          <cell r="C148" t="str">
            <v>TLAJOMULCO</v>
          </cell>
          <cell r="D148" t="str">
            <v>MANTENIMIENTO A PISO TÉCNICO DE RTN EDIFICIO E</v>
          </cell>
          <cell r="E148"/>
          <cell r="F148"/>
          <cell r="G148"/>
          <cell r="H148"/>
          <cell r="I148"/>
        </row>
        <row r="149">
          <cell r="A149" t="str">
            <v>C-274</v>
          </cell>
          <cell r="B149"/>
          <cell r="C149" t="str">
            <v>PYMPSA</v>
          </cell>
          <cell r="D149" t="str">
            <v>CLORHEXIDINA TEJABANES</v>
          </cell>
          <cell r="E149"/>
          <cell r="F149"/>
          <cell r="G149"/>
          <cell r="H149"/>
          <cell r="I149"/>
        </row>
        <row r="150">
          <cell r="A150" t="str">
            <v>C-275</v>
          </cell>
          <cell r="B150"/>
          <cell r="C150" t="str">
            <v>COAHUILA</v>
          </cell>
          <cell r="D150" t="str">
            <v>2 CABAÑAS</v>
          </cell>
          <cell r="E150"/>
          <cell r="F150"/>
          <cell r="G150"/>
          <cell r="H150"/>
          <cell r="I150"/>
        </row>
        <row r="151">
          <cell r="A151" t="str">
            <v>C-277</v>
          </cell>
          <cell r="B151"/>
          <cell r="C151" t="str">
            <v>TLAJOMULCO</v>
          </cell>
          <cell r="D151" t="str">
            <v>NAVE DE PRODUCCIÓN 4 LÍNEA 10</v>
          </cell>
          <cell r="E151"/>
          <cell r="F151"/>
          <cell r="G151"/>
          <cell r="H151"/>
          <cell r="I151"/>
        </row>
        <row r="152">
          <cell r="A152" t="str">
            <v>C-278</v>
          </cell>
          <cell r="B152"/>
          <cell r="C152" t="str">
            <v>PYMPSA</v>
          </cell>
          <cell r="D152" t="str">
            <v>CUARTO DE HORNOS PYMPSA</v>
          </cell>
          <cell r="E152"/>
          <cell r="F152"/>
          <cell r="G152"/>
          <cell r="H152"/>
          <cell r="I152"/>
        </row>
        <row r="153">
          <cell r="A153" t="str">
            <v>C-279</v>
          </cell>
          <cell r="B153"/>
          <cell r="C153" t="str">
            <v>ZONA INDUSTRIAL</v>
          </cell>
          <cell r="D153" t="str">
            <v>SALIDA DE DESECHOS ALMACÉN PT</v>
          </cell>
          <cell r="E153"/>
          <cell r="F153"/>
          <cell r="G153"/>
          <cell r="H153"/>
          <cell r="I153"/>
        </row>
        <row r="154">
          <cell r="A154" t="str">
            <v>C-281</v>
          </cell>
          <cell r="B154"/>
          <cell r="C154" t="str">
            <v>TAPALPA</v>
          </cell>
          <cell r="D154" t="str">
            <v>HUGO CUESTA</v>
          </cell>
          <cell r="E154"/>
          <cell r="F154"/>
          <cell r="G154"/>
          <cell r="H154"/>
          <cell r="I154"/>
        </row>
        <row r="155">
          <cell r="A155" t="str">
            <v>C-282</v>
          </cell>
          <cell r="B155"/>
          <cell r="C155" t="str">
            <v>TEJABANES</v>
          </cell>
          <cell r="D155" t="str">
            <v>TRABAJOS DE DUROCK PARA PUENTE ESTRUCTURAL DE CASETA PPAL CDN</v>
          </cell>
          <cell r="E155"/>
          <cell r="F155"/>
          <cell r="G155"/>
          <cell r="H155"/>
          <cell r="I155"/>
        </row>
        <row r="156">
          <cell r="A156" t="str">
            <v>C-283</v>
          </cell>
          <cell r="B156"/>
          <cell r="C156" t="str">
            <v>ZONA INDUSTRIAL</v>
          </cell>
          <cell r="D156" t="str">
            <v>SISTEMA DE GENERACIÓN DE AGUA PURIFICADA</v>
          </cell>
          <cell r="E156"/>
          <cell r="F156"/>
          <cell r="G156"/>
          <cell r="H156"/>
          <cell r="I156"/>
        </row>
        <row r="157">
          <cell r="A157" t="str">
            <v>C-284</v>
          </cell>
          <cell r="B157"/>
          <cell r="C157" t="str">
            <v>TLAJOMULCO</v>
          </cell>
          <cell r="D157" t="str">
            <v>ADECUACIÓN DE OBRA CIVIL EN NAVE DE SERVICIOS EDIFICIO C</v>
          </cell>
          <cell r="E157"/>
          <cell r="F157"/>
          <cell r="G157"/>
          <cell r="H157"/>
          <cell r="I157"/>
        </row>
        <row r="158">
          <cell r="A158" t="str">
            <v>C-285</v>
          </cell>
          <cell r="B158"/>
          <cell r="C158" t="str">
            <v>ZONA INDUSTRIAL</v>
          </cell>
          <cell r="D158" t="str">
            <v>LÍNEA 3 Y 4 AMPOLLETAS VIDRIO CALLE 6</v>
          </cell>
          <cell r="E158"/>
          <cell r="F158"/>
          <cell r="G158"/>
          <cell r="H158"/>
          <cell r="I158"/>
        </row>
        <row r="159">
          <cell r="A159" t="str">
            <v>C-290</v>
          </cell>
          <cell r="B159"/>
          <cell r="C159" t="str">
            <v>TLAJOMULCO</v>
          </cell>
          <cell r="D159" t="str">
            <v>PROYECTO REMEDIACIÓN HVAC LÍNEAS BOLSAS EDIFICIO A</v>
          </cell>
          <cell r="E159"/>
          <cell r="F159"/>
          <cell r="G159"/>
          <cell r="H159"/>
          <cell r="I159"/>
        </row>
        <row r="160">
          <cell r="A160" t="str">
            <v>C-292</v>
          </cell>
          <cell r="B160"/>
          <cell r="C160" t="str">
            <v>ZONA INDUSTRIAL</v>
          </cell>
          <cell r="D160" t="str">
            <v>BASE REACTOR GALBER</v>
          </cell>
          <cell r="E160"/>
          <cell r="F160"/>
          <cell r="G160"/>
          <cell r="H160"/>
          <cell r="I160"/>
        </row>
        <row r="161">
          <cell r="A161" t="str">
            <v>C-294</v>
          </cell>
          <cell r="B161"/>
          <cell r="C161" t="str">
            <v>TLAJOMULCO</v>
          </cell>
          <cell r="D161" t="str">
            <v>AMPLIACIÓN LABORATORIO CONTROL ANALÍTICO</v>
          </cell>
          <cell r="E161"/>
          <cell r="F161"/>
          <cell r="G161"/>
          <cell r="H161"/>
          <cell r="I161"/>
        </row>
        <row r="162">
          <cell r="A162" t="str">
            <v>C-295</v>
          </cell>
          <cell r="B162"/>
          <cell r="C162" t="str">
            <v>TLAJOMULCO</v>
          </cell>
          <cell r="D162" t="str">
            <v>CDN 2 PISA TLAJOMULCO</v>
          </cell>
          <cell r="E162"/>
          <cell r="F162"/>
          <cell r="G162"/>
          <cell r="H162"/>
          <cell r="I162"/>
        </row>
        <row r="163">
          <cell r="A163" t="str">
            <v>C-296</v>
          </cell>
          <cell r="B163"/>
          <cell r="C163" t="str">
            <v>ZONA INDUSTRIAL</v>
          </cell>
          <cell r="D163" t="str">
            <v>BAÑOS DE PASILLO INGENIERÍA</v>
          </cell>
          <cell r="E163"/>
          <cell r="F163"/>
          <cell r="G163"/>
          <cell r="H163"/>
          <cell r="I163"/>
        </row>
        <row r="164">
          <cell r="A164" t="str">
            <v>C-297</v>
          </cell>
          <cell r="B164"/>
          <cell r="C164" t="str">
            <v>TLAJOMULCO</v>
          </cell>
          <cell r="D164" t="str">
            <v>PLANTA DE TAPAS</v>
          </cell>
          <cell r="E164"/>
          <cell r="F164"/>
          <cell r="G164"/>
          <cell r="H164"/>
          <cell r="I164"/>
        </row>
        <row r="165">
          <cell r="A165" t="str">
            <v>C-298</v>
          </cell>
          <cell r="B165"/>
          <cell r="C165" t="str">
            <v>ZONA INDUSTRIAL</v>
          </cell>
          <cell r="D165" t="str">
            <v>REGISTROS PARA CONTADORES DE PARTÍCULAS</v>
          </cell>
          <cell r="E165"/>
          <cell r="F165"/>
          <cell r="G165"/>
          <cell r="H165"/>
          <cell r="I165"/>
        </row>
        <row r="166">
          <cell r="A166" t="str">
            <v>C-299</v>
          </cell>
          <cell r="B166"/>
          <cell r="C166" t="str">
            <v>TEJABANES</v>
          </cell>
          <cell r="D166" t="str">
            <v>OFICINAS NAVE 14 PARQUE CAB</v>
          </cell>
          <cell r="E166"/>
          <cell r="F166"/>
          <cell r="G166"/>
          <cell r="H166"/>
          <cell r="I166"/>
        </row>
        <row r="167">
          <cell r="A167" t="str">
            <v>C-300</v>
          </cell>
          <cell r="B167"/>
          <cell r="C167" t="str">
            <v>TAPALPA ( FERNANDO SOLÍS )</v>
          </cell>
          <cell r="D167" t="str">
            <v>LOTE D y E OLMOS</v>
          </cell>
          <cell r="E167"/>
          <cell r="F167"/>
          <cell r="G167"/>
          <cell r="H167"/>
          <cell r="I167"/>
        </row>
        <row r="168">
          <cell r="A168" t="str">
            <v>C-301</v>
          </cell>
          <cell r="B168"/>
          <cell r="C168" t="str">
            <v>TLAJOMULCO</v>
          </cell>
          <cell r="D168" t="str">
            <v>PLANTA DE TRATAMIENTO DE AGUAS RESIDUALES 24 LTS</v>
          </cell>
          <cell r="E168"/>
          <cell r="F168"/>
          <cell r="G168"/>
          <cell r="H168"/>
          <cell r="I168"/>
        </row>
        <row r="169">
          <cell r="A169" t="str">
            <v>C-302</v>
          </cell>
          <cell r="B169"/>
          <cell r="C169" t="str">
            <v>ZONA INDUSTRIAL</v>
          </cell>
          <cell r="D169" t="str">
            <v>OFICINA DE INGENIERÍA DE PROYECTOS</v>
          </cell>
          <cell r="E169"/>
          <cell r="F169"/>
          <cell r="G169"/>
          <cell r="H169"/>
          <cell r="I169"/>
        </row>
        <row r="170">
          <cell r="A170" t="str">
            <v>C-303</v>
          </cell>
          <cell r="B170"/>
          <cell r="C170" t="str">
            <v>TLAJOMULCO</v>
          </cell>
          <cell r="D170" t="str">
            <v>NAVE 5 DE PRODUCCIÓN M3 LÍNEA 11 ELECTROLIT</v>
          </cell>
          <cell r="E170"/>
          <cell r="F170"/>
          <cell r="G170"/>
          <cell r="H170"/>
          <cell r="I170"/>
        </row>
        <row r="171">
          <cell r="A171" t="str">
            <v>C-304</v>
          </cell>
          <cell r="B171"/>
          <cell r="C171" t="str">
            <v>TLAJOMULCO</v>
          </cell>
          <cell r="D171" t="str">
            <v>OI PARA OBRA CIVIL ESTABILIDADES</v>
          </cell>
          <cell r="E171"/>
          <cell r="F171"/>
          <cell r="G171"/>
          <cell r="H171"/>
          <cell r="I171"/>
        </row>
        <row r="172">
          <cell r="A172" t="str">
            <v>C-305</v>
          </cell>
          <cell r="B172"/>
          <cell r="C172" t="str">
            <v>TAPALPA</v>
          </cell>
          <cell r="D172" t="str">
            <v>ANTIGUO CAMINO A FERRERÍA</v>
          </cell>
          <cell r="E172"/>
          <cell r="F172"/>
          <cell r="G172"/>
          <cell r="H172"/>
          <cell r="I172"/>
        </row>
        <row r="173">
          <cell r="A173" t="str">
            <v>C-307</v>
          </cell>
          <cell r="B173"/>
          <cell r="C173" t="str">
            <v>TLAJOMULCO</v>
          </cell>
          <cell r="D173" t="str">
            <v>CONSTRUCCIÓN DE ANDÉN ASRS</v>
          </cell>
          <cell r="E173"/>
          <cell r="F173"/>
          <cell r="G173"/>
          <cell r="H173"/>
          <cell r="I173"/>
        </row>
        <row r="174">
          <cell r="A174" t="str">
            <v>C-308</v>
          </cell>
          <cell r="B174"/>
          <cell r="C174" t="str">
            <v>TLAJOMULCO</v>
          </cell>
          <cell r="D174" t="str">
            <v>PROYECTO PUNTOS DE REUNIÓN</v>
          </cell>
          <cell r="E174"/>
          <cell r="F174"/>
          <cell r="G174"/>
          <cell r="H174"/>
          <cell r="I174"/>
        </row>
        <row r="175">
          <cell r="A175" t="str">
            <v>C-309</v>
          </cell>
          <cell r="B175"/>
          <cell r="C175" t="str">
            <v>TLAJOMULCO</v>
          </cell>
          <cell r="D175" t="str">
            <v>ALMACÉN PT5 ONCOLÓGICOS</v>
          </cell>
          <cell r="E175"/>
          <cell r="F175"/>
          <cell r="G175"/>
          <cell r="H175"/>
          <cell r="I175"/>
        </row>
        <row r="176">
          <cell r="A176" t="str">
            <v>C-310</v>
          </cell>
          <cell r="B176"/>
          <cell r="C176" t="str">
            <v>ZONA INDUSTRIAL</v>
          </cell>
          <cell r="D176" t="str">
            <v>ADECUACIÓN CUARTO DE SUB-ESTACIÓN</v>
          </cell>
          <cell r="E176"/>
          <cell r="F176"/>
          <cell r="G176"/>
          <cell r="H176"/>
          <cell r="I176"/>
        </row>
        <row r="177">
          <cell r="A177" t="str">
            <v>C-311</v>
          </cell>
          <cell r="B177"/>
          <cell r="C177" t="str">
            <v>ZONA INDUSTRIAL</v>
          </cell>
          <cell r="D177" t="str">
            <v>PLATAFORMA PARA CUARTO ELÉCTRICO</v>
          </cell>
          <cell r="E177"/>
          <cell r="F177"/>
          <cell r="G177"/>
          <cell r="H177"/>
          <cell r="I177"/>
        </row>
        <row r="178">
          <cell r="A178" t="str">
            <v>C-312</v>
          </cell>
          <cell r="B178"/>
          <cell r="C178" t="str">
            <v>ZONA INDUSTRIAL</v>
          </cell>
          <cell r="D178" t="str">
            <v>ARREGLO DE BANQUETAS Y VÍAS DEL TREN CALLE 7</v>
          </cell>
          <cell r="E178"/>
          <cell r="F178"/>
          <cell r="G178"/>
          <cell r="H178"/>
          <cell r="I178"/>
        </row>
        <row r="179">
          <cell r="A179" t="str">
            <v>C-313</v>
          </cell>
          <cell r="B179"/>
          <cell r="C179" t="str">
            <v>ZONA INDUSTRIAL</v>
          </cell>
          <cell r="D179" t="str">
            <v>REMEDIACIÓN DE SOLUCIONES ORALES</v>
          </cell>
          <cell r="E179"/>
          <cell r="F179"/>
          <cell r="G179"/>
          <cell r="H179"/>
          <cell r="I179"/>
        </row>
        <row r="180">
          <cell r="A180" t="str">
            <v>C-314</v>
          </cell>
          <cell r="B180"/>
          <cell r="C180" t="str">
            <v>LA ALAMEDA</v>
          </cell>
          <cell r="D180" t="str">
            <v>PARQUE INDUSTRIAL LA ALAMEDA</v>
          </cell>
          <cell r="E180"/>
          <cell r="F180"/>
          <cell r="G180"/>
          <cell r="H180"/>
          <cell r="I180"/>
        </row>
        <row r="181">
          <cell r="A181" t="str">
            <v>C-315</v>
          </cell>
          <cell r="B181"/>
          <cell r="C181" t="str">
            <v>TLAJOMULCO</v>
          </cell>
          <cell r="D181" t="str">
            <v>REMODELACIÓN OFICINAS BODYLOGIC</v>
          </cell>
          <cell r="E181"/>
          <cell r="F181"/>
          <cell r="G181"/>
          <cell r="H181"/>
          <cell r="I181"/>
        </row>
        <row r="182">
          <cell r="A182" t="str">
            <v>C-316</v>
          </cell>
          <cell r="B182"/>
          <cell r="C182" t="str">
            <v>JALES ESTEBAN ÁLVAREZ VEGA</v>
          </cell>
          <cell r="D182" t="str">
            <v>TERRAZA Y ALBERCA</v>
          </cell>
          <cell r="E182"/>
          <cell r="F182"/>
          <cell r="G182"/>
          <cell r="H182"/>
          <cell r="I182"/>
        </row>
        <row r="183">
          <cell r="A183" t="str">
            <v>C-317</v>
          </cell>
          <cell r="B183"/>
          <cell r="C183" t="str">
            <v>CLUB ATLAS COLOMOS</v>
          </cell>
          <cell r="D183" t="str">
            <v>CASA HABITACIÓN DIEGO VILLASEÑOR</v>
          </cell>
          <cell r="E183"/>
          <cell r="F183"/>
          <cell r="G183"/>
          <cell r="H183"/>
          <cell r="I183"/>
        </row>
        <row r="184">
          <cell r="A184" t="str">
            <v>C-318</v>
          </cell>
          <cell r="B184"/>
          <cell r="C184" t="str">
            <v>TAPALPA</v>
          </cell>
          <cell r="D184" t="str">
            <v>JUAN CARLOS ÁLVAREZ LA ESTRELLA</v>
          </cell>
          <cell r="E184"/>
          <cell r="F184"/>
          <cell r="G184"/>
          <cell r="H184"/>
          <cell r="I184"/>
        </row>
        <row r="185">
          <cell r="A185" t="str">
            <v>C-320</v>
          </cell>
          <cell r="B185"/>
          <cell r="C185" t="str">
            <v>TLAJOMULCO</v>
          </cell>
          <cell r="D185" t="str">
            <v>RETIRO DE EQUIPO COMPACTADOR DE RODILLO NAVE 1 FORMAS SÓLIDAS</v>
          </cell>
          <cell r="E185"/>
          <cell r="F185"/>
          <cell r="G185"/>
          <cell r="H185"/>
          <cell r="I185"/>
        </row>
        <row r="186">
          <cell r="A186" t="str">
            <v>C-321</v>
          </cell>
          <cell r="B186"/>
          <cell r="C186" t="str">
            <v>TLAJOMULCO</v>
          </cell>
          <cell r="D186" t="str">
            <v>AMPLIACIÓN DE OFICINAS DE CALIDAD EN NAVE 4 EDIFICIO A</v>
          </cell>
          <cell r="E186"/>
          <cell r="F186"/>
          <cell r="G186"/>
          <cell r="H186"/>
          <cell r="I186"/>
        </row>
        <row r="187">
          <cell r="A187" t="str">
            <v>C-322</v>
          </cell>
          <cell r="B187"/>
          <cell r="C187" t="str">
            <v>TLAJOMULCO</v>
          </cell>
          <cell r="D187" t="str">
            <v>TALLER DE MOLDES PARA HUSKY EDIFICIO A, E y C</v>
          </cell>
          <cell r="E187"/>
          <cell r="F187"/>
          <cell r="G187"/>
          <cell r="H187"/>
          <cell r="I187"/>
        </row>
        <row r="188">
          <cell r="A188" t="str">
            <v>C-325</v>
          </cell>
          <cell r="B188"/>
          <cell r="C188" t="str">
            <v>TLAJOMULCO</v>
          </cell>
          <cell r="D188" t="str">
            <v>ALMACÉN DE EQUIPOS EDF</v>
          </cell>
          <cell r="E188"/>
          <cell r="F188"/>
          <cell r="G188"/>
          <cell r="H188"/>
          <cell r="I188"/>
        </row>
        <row r="189">
          <cell r="A189" t="str">
            <v>C-326</v>
          </cell>
          <cell r="B189"/>
          <cell r="C189" t="str">
            <v>TLAJOMULCO</v>
          </cell>
          <cell r="D189" t="str">
            <v>ARCHIVO REGULATORIO EDIFICIO E</v>
          </cell>
          <cell r="E189"/>
          <cell r="F189"/>
          <cell r="G189"/>
          <cell r="H189"/>
          <cell r="I189"/>
        </row>
        <row r="190">
          <cell r="A190" t="str">
            <v>C-327</v>
          </cell>
          <cell r="B190"/>
          <cell r="C190" t="str">
            <v>TLAJOMULCO</v>
          </cell>
          <cell r="D190" t="str">
            <v>ALMACÉN DE PT4 y PT5 Y SALAS DE PESADOS</v>
          </cell>
          <cell r="E190"/>
          <cell r="F190"/>
          <cell r="G190"/>
          <cell r="H190"/>
          <cell r="I190"/>
        </row>
        <row r="191">
          <cell r="A191" t="str">
            <v>C-329</v>
          </cell>
          <cell r="B191"/>
          <cell r="C191" t="str">
            <v>TLAJOMULCO</v>
          </cell>
          <cell r="D191" t="str">
            <v>PLANTA PILOTO</v>
          </cell>
          <cell r="E191"/>
          <cell r="F191"/>
          <cell r="G191"/>
          <cell r="H191"/>
          <cell r="I191"/>
        </row>
        <row r="192">
          <cell r="A192" t="str">
            <v>C-330</v>
          </cell>
          <cell r="B192"/>
          <cell r="C192" t="str">
            <v>TLAJOMULCO</v>
          </cell>
          <cell r="D192" t="str">
            <v>ADECUACIONES OBRA CIVIL PASILLOS ISO 9 AGROPECUARIA</v>
          </cell>
          <cell r="E192"/>
          <cell r="F192"/>
          <cell r="G192"/>
          <cell r="H192"/>
          <cell r="I192"/>
        </row>
        <row r="193">
          <cell r="A193" t="str">
            <v>C-331</v>
          </cell>
          <cell r="B193"/>
          <cell r="C193" t="str">
            <v>ZONA INDUSTRIAL</v>
          </cell>
          <cell r="D193" t="str">
            <v>ACONDICIONADO AV L-2</v>
          </cell>
          <cell r="E193"/>
          <cell r="F193"/>
          <cell r="G193"/>
          <cell r="H193"/>
          <cell r="I193"/>
        </row>
        <row r="194">
          <cell r="A194" t="str">
            <v>C-332</v>
          </cell>
          <cell r="B194"/>
          <cell r="C194" t="str">
            <v>TLAJOMULCO</v>
          </cell>
          <cell r="D194" t="str">
            <v>REDUCCIÓN RIESGOS NORMATIVOS LIOFILIZADOS NO ONCOLÓGICOS</v>
          </cell>
          <cell r="E194"/>
          <cell r="F194"/>
          <cell r="G194"/>
          <cell r="H194"/>
          <cell r="I194"/>
        </row>
        <row r="195">
          <cell r="A195" t="str">
            <v>C-333</v>
          </cell>
          <cell r="B195"/>
          <cell r="C195" t="str">
            <v>ALCOLAHUAS 3467 FRACCIONAMIENTO MONRAZ, GUADALAJARA, JALISCO CP 44670</v>
          </cell>
          <cell r="D195" t="str">
            <v>CASA MONRAZ</v>
          </cell>
          <cell r="E195"/>
          <cell r="F195"/>
          <cell r="G195"/>
          <cell r="H195"/>
          <cell r="I195"/>
        </row>
        <row r="196">
          <cell r="A196" t="str">
            <v>C-334</v>
          </cell>
          <cell r="B196"/>
          <cell r="C196" t="str">
            <v>TLAJOMULCO</v>
          </cell>
          <cell r="D196" t="str">
            <v>CANCHA DE PADEL ENRIQUE PARTIDA</v>
          </cell>
          <cell r="E196"/>
          <cell r="F196"/>
          <cell r="G196"/>
          <cell r="H196"/>
          <cell r="I196"/>
        </row>
        <row r="197">
          <cell r="A197" t="str">
            <v>C-335</v>
          </cell>
          <cell r="B197"/>
          <cell r="C197" t="str">
            <v>TEJABANES</v>
          </cell>
          <cell r="D197" t="str">
            <v>OFICINAS ( NAVE A ) ÁLAMO PARK</v>
          </cell>
          <cell r="E197"/>
          <cell r="F197"/>
          <cell r="G197"/>
          <cell r="H197"/>
          <cell r="I197"/>
        </row>
        <row r="198">
          <cell r="A198" t="str">
            <v>C-336</v>
          </cell>
          <cell r="B198"/>
          <cell r="C198" t="str">
            <v>ZONA INDUSTRIAL</v>
          </cell>
          <cell r="D198" t="str">
            <v>ALMACÉN DE CALLE 6</v>
          </cell>
          <cell r="E198"/>
          <cell r="F198"/>
          <cell r="G198"/>
          <cell r="H198"/>
          <cell r="I198"/>
        </row>
        <row r="199">
          <cell r="A199" t="str">
            <v>C-339</v>
          </cell>
          <cell r="B199"/>
          <cell r="C199" t="str">
            <v>LA LLAVE L-38</v>
          </cell>
          <cell r="D199" t="str">
            <v>LA LLAVE L-38</v>
          </cell>
          <cell r="E199"/>
          <cell r="F199"/>
          <cell r="G199"/>
          <cell r="H199"/>
          <cell r="I199"/>
        </row>
        <row r="200">
          <cell r="A200" t="str">
            <v>C-340</v>
          </cell>
          <cell r="B200"/>
          <cell r="C200" t="str">
            <v>LA LLAVE L-40</v>
          </cell>
          <cell r="D200" t="str">
            <v>LA LLAVE L-40</v>
          </cell>
          <cell r="E200"/>
          <cell r="F200"/>
          <cell r="G200"/>
          <cell r="H200"/>
          <cell r="I200"/>
        </row>
        <row r="201">
          <cell r="A201" t="str">
            <v>C-341</v>
          </cell>
          <cell r="B201"/>
          <cell r="C201" t="str">
            <v>ZONA INDUSTRIAL</v>
          </cell>
          <cell r="D201" t="str">
            <v>DRENAJES TANQUES 100,000 CALLE 6</v>
          </cell>
          <cell r="E201"/>
          <cell r="F201"/>
          <cell r="G201"/>
          <cell r="H201"/>
          <cell r="I201"/>
        </row>
        <row r="202">
          <cell r="A202" t="str">
            <v>C-342</v>
          </cell>
          <cell r="B202"/>
          <cell r="C202" t="str">
            <v>TLAJOMULCO</v>
          </cell>
          <cell r="D202" t="str">
            <v>LÍNEA DE VIALES 3 EN EDIFICIO B</v>
          </cell>
          <cell r="E202"/>
          <cell r="F202"/>
          <cell r="G202"/>
          <cell r="H202"/>
          <cell r="I202"/>
        </row>
        <row r="203">
          <cell r="A203" t="str">
            <v>C-343</v>
          </cell>
          <cell r="B203"/>
          <cell r="C203" t="str">
            <v>ZONA INDUSTRIAL</v>
          </cell>
          <cell r="D203" t="str">
            <v>DEMOLICIONES AMPOLLETAS PLÁSTICO</v>
          </cell>
          <cell r="E203"/>
          <cell r="F203"/>
          <cell r="G203"/>
          <cell r="H203"/>
          <cell r="I203"/>
        </row>
        <row r="204">
          <cell r="A204" t="str">
            <v>C-344</v>
          </cell>
          <cell r="B204"/>
          <cell r="C204" t="str">
            <v>TLAJOMULCO</v>
          </cell>
          <cell r="D204" t="str">
            <v>INSUMOS 5 EN MANZANA 3</v>
          </cell>
          <cell r="E204"/>
          <cell r="F204"/>
          <cell r="G204"/>
          <cell r="H204"/>
          <cell r="I204"/>
        </row>
        <row r="205">
          <cell r="A205" t="str">
            <v>C-345</v>
          </cell>
          <cell r="B205"/>
          <cell r="C205" t="str">
            <v>TEJABANES</v>
          </cell>
          <cell r="D205" t="str">
            <v>DIVISIÓN IARE/TECNOMED CDN ÁLAMO</v>
          </cell>
          <cell r="E205"/>
          <cell r="F205"/>
          <cell r="G205"/>
          <cell r="H205"/>
          <cell r="I205"/>
        </row>
        <row r="206">
          <cell r="A206" t="str">
            <v>C-347</v>
          </cell>
          <cell r="B206"/>
          <cell r="C206" t="str">
            <v>ZONA INDUSTRIAL</v>
          </cell>
          <cell r="D206" t="str">
            <v>MEZANINNE 2DO NIVEL</v>
          </cell>
          <cell r="E206"/>
          <cell r="F206"/>
          <cell r="G206"/>
          <cell r="H206"/>
          <cell r="I206"/>
        </row>
        <row r="207">
          <cell r="A207" t="str">
            <v>C-348</v>
          </cell>
          <cell r="B207"/>
          <cell r="C207" t="str">
            <v>ZONA INDUSTRIAL</v>
          </cell>
          <cell r="D207" t="str">
            <v>PERFORACIÓN DE POZO 10 JARDÍN CENTRAL</v>
          </cell>
          <cell r="E207"/>
          <cell r="F207"/>
          <cell r="G207"/>
          <cell r="H207"/>
          <cell r="I207"/>
        </row>
        <row r="208">
          <cell r="A208" t="str">
            <v>C-349</v>
          </cell>
          <cell r="B208"/>
          <cell r="C208" t="str">
            <v>PYMPSA</v>
          </cell>
          <cell r="D208" t="str">
            <v>ACCESO TALLER DE TORNO PYMPSA</v>
          </cell>
          <cell r="E208"/>
          <cell r="F208"/>
          <cell r="G208"/>
          <cell r="H208"/>
          <cell r="I208"/>
        </row>
        <row r="209">
          <cell r="A209" t="str">
            <v>C-350</v>
          </cell>
          <cell r="B209"/>
          <cell r="C209" t="str">
            <v>TLAJOMULCO</v>
          </cell>
          <cell r="D209" t="str">
            <v>ALMACÉN DE MATERIALES 04</v>
          </cell>
          <cell r="E209"/>
          <cell r="F209"/>
          <cell r="G209"/>
          <cell r="H209"/>
          <cell r="I209"/>
        </row>
        <row r="210">
          <cell r="A210" t="str">
            <v>C-352</v>
          </cell>
          <cell r="B210"/>
          <cell r="C210" t="str">
            <v>TLAJOMULCO</v>
          </cell>
          <cell r="D210" t="str">
            <v>NAVE DE SERVICIOS 2 MZ3</v>
          </cell>
          <cell r="E210"/>
          <cell r="F210"/>
          <cell r="G210"/>
          <cell r="H210"/>
          <cell r="I210"/>
        </row>
        <row r="211">
          <cell r="A211" t="str">
            <v>C-354</v>
          </cell>
          <cell r="B211"/>
          <cell r="C211" t="str">
            <v>TLAJOMULCO</v>
          </cell>
          <cell r="D211" t="str">
            <v>AUTOCLAVES DE DESECHO DE LABORATORIOS DE MICROBIOLOGÍA EDIF A y E</v>
          </cell>
          <cell r="E211"/>
          <cell r="F211"/>
          <cell r="G211"/>
          <cell r="H211"/>
          <cell r="I211"/>
        </row>
        <row r="212">
          <cell r="A212" t="str">
            <v>C-355</v>
          </cell>
          <cell r="B212"/>
          <cell r="C212" t="str">
            <v>TLAJOMULCO</v>
          </cell>
          <cell r="D212" t="str">
            <v>PROYECTO BARDA PERIMETRAL</v>
          </cell>
          <cell r="E212"/>
          <cell r="F212"/>
          <cell r="G212"/>
          <cell r="H212"/>
          <cell r="I212"/>
        </row>
        <row r="213">
          <cell r="A213" t="str">
            <v>C-356</v>
          </cell>
          <cell r="B213"/>
          <cell r="C213" t="str">
            <v>TLAJOMULCO</v>
          </cell>
          <cell r="D213" t="str">
            <v>REVISIÓN AV3</v>
          </cell>
          <cell r="E213"/>
          <cell r="F213"/>
          <cell r="G213"/>
          <cell r="H213"/>
          <cell r="I213"/>
        </row>
        <row r="214">
          <cell r="A214" t="str">
            <v>C-357</v>
          </cell>
          <cell r="B214"/>
          <cell r="C214" t="str">
            <v>ZONA INDUSTRIAL</v>
          </cell>
          <cell r="D214" t="str">
            <v>CONTENEDORES DE SUB-ESTACIONES</v>
          </cell>
          <cell r="E214"/>
          <cell r="F214"/>
          <cell r="G214"/>
          <cell r="H214"/>
          <cell r="I214"/>
        </row>
        <row r="215">
          <cell r="A215" t="str">
            <v>C-363</v>
          </cell>
          <cell r="B215"/>
          <cell r="C215" t="str">
            <v>CORPORATIVO BELENES</v>
          </cell>
          <cell r="D215" t="str">
            <v>NAVES FLOR DE CÓRDOBA</v>
          </cell>
          <cell r="E215"/>
          <cell r="F215"/>
          <cell r="G215"/>
          <cell r="H215"/>
          <cell r="I215"/>
        </row>
        <row r="216">
          <cell r="A216" t="str">
            <v>C-364</v>
          </cell>
          <cell r="B216"/>
          <cell r="C216" t="str">
            <v>ACAPULCO</v>
          </cell>
          <cell r="D216" t="str">
            <v>RADEC ACAPULCO</v>
          </cell>
          <cell r="E216"/>
          <cell r="F216"/>
          <cell r="G216"/>
          <cell r="H216"/>
          <cell r="I216"/>
        </row>
        <row r="217">
          <cell r="A217" t="str">
            <v>C-365</v>
          </cell>
          <cell r="B217"/>
          <cell r="C217" t="str">
            <v>TLAJOMULCO</v>
          </cell>
          <cell r="D217" t="str">
            <v>PLANTA DE ACONDICIONADO FORMAS SÓLIDAS ( BAJO VOLUMEN )</v>
          </cell>
          <cell r="E217"/>
          <cell r="F217"/>
          <cell r="G217"/>
          <cell r="H217"/>
          <cell r="I217"/>
        </row>
        <row r="218">
          <cell r="A218" t="str">
            <v>C-366</v>
          </cell>
          <cell r="B218"/>
          <cell r="C218" t="str">
            <v>TLAJOMULCO</v>
          </cell>
          <cell r="D218" t="str">
            <v>NAVE DE PRODUCCIÓN 6 LÍNEA 12</v>
          </cell>
          <cell r="E218"/>
          <cell r="F218"/>
          <cell r="G218"/>
          <cell r="H218"/>
          <cell r="I218"/>
        </row>
        <row r="219">
          <cell r="A219" t="str">
            <v>C-367</v>
          </cell>
          <cell r="B219"/>
          <cell r="C219" t="str">
            <v>TESISTÁN</v>
          </cell>
          <cell r="D219" t="str">
            <v>FRACCIONAMIENTO TESISTÁN</v>
          </cell>
          <cell r="E219"/>
          <cell r="F219"/>
          <cell r="G219"/>
          <cell r="H219"/>
          <cell r="I219"/>
        </row>
        <row r="220">
          <cell r="A220" t="str">
            <v>C-368</v>
          </cell>
          <cell r="B220"/>
          <cell r="C220" t="str">
            <v>TLAJOMULCO</v>
          </cell>
          <cell r="D220" t="str">
            <v>TRABAJOS ESCLUSA MICROBIOLOGÍA EDIF A</v>
          </cell>
          <cell r="E220"/>
          <cell r="F220"/>
          <cell r="G220"/>
          <cell r="H220"/>
          <cell r="I220"/>
        </row>
        <row r="221">
          <cell r="A221" t="str">
            <v>C-370</v>
          </cell>
          <cell r="B221"/>
          <cell r="C221" t="str">
            <v>TAPALPA LOTE 30 y 31 LA QUINTA, CP 44340</v>
          </cell>
          <cell r="D221" t="str">
            <v>CASA CARRAL OCHOA</v>
          </cell>
          <cell r="E221"/>
          <cell r="F221"/>
          <cell r="G221"/>
          <cell r="H221"/>
          <cell r="I221"/>
        </row>
        <row r="222">
          <cell r="A222" t="str">
            <v>C-371</v>
          </cell>
          <cell r="B222"/>
          <cell r="C222" t="str">
            <v>TEJABANES</v>
          </cell>
          <cell r="D222" t="str">
            <v>EQUIPOS BIOMÉDICOS</v>
          </cell>
          <cell r="E222"/>
          <cell r="F222"/>
          <cell r="G222"/>
          <cell r="H222"/>
          <cell r="I222"/>
        </row>
        <row r="223">
          <cell r="A223" t="str">
            <v>C-372</v>
          </cell>
          <cell r="B223"/>
          <cell r="C223" t="str">
            <v>ZONA INDUSTRIAL</v>
          </cell>
          <cell r="D223" t="str">
            <v>RAMPA SALIDA DE DESECHOS BIOTECNOLÓGICOS</v>
          </cell>
          <cell r="E223"/>
          <cell r="F223"/>
          <cell r="G223"/>
          <cell r="H223"/>
          <cell r="I223"/>
        </row>
        <row r="224">
          <cell r="A224" t="str">
            <v>C-374</v>
          </cell>
          <cell r="B224"/>
          <cell r="C224" t="str">
            <v>AVANT</v>
          </cell>
          <cell r="D224" t="str">
            <v>NAVE 4 PARQUE AVANT</v>
          </cell>
          <cell r="E224"/>
          <cell r="F224"/>
          <cell r="G224"/>
          <cell r="H224"/>
          <cell r="I224"/>
        </row>
        <row r="225">
          <cell r="A225" t="str">
            <v>C-375</v>
          </cell>
          <cell r="B225"/>
          <cell r="C225" t="str">
            <v>RADEC ACATLÁN</v>
          </cell>
          <cell r="D225" t="str">
            <v>CEDIS RADEC 2</v>
          </cell>
          <cell r="E225"/>
          <cell r="F225"/>
          <cell r="G225"/>
          <cell r="H225"/>
          <cell r="I225"/>
        </row>
        <row r="226">
          <cell r="A226" t="str">
            <v>C-377</v>
          </cell>
          <cell r="B226"/>
          <cell r="C226" t="str">
            <v>ZONA INDUSTRIAL</v>
          </cell>
          <cell r="D226" t="str">
            <v>TRABAJOS MANTENIMIENTO PLATAFORMA TORRES DE ENFRIAMIENTO</v>
          </cell>
          <cell r="E226"/>
          <cell r="F226"/>
          <cell r="G226"/>
          <cell r="H226"/>
          <cell r="I226"/>
        </row>
        <row r="227">
          <cell r="A227" t="str">
            <v>C-378</v>
          </cell>
          <cell r="B227"/>
          <cell r="C227" t="str">
            <v>SAN JUAN DE ALIMA</v>
          </cell>
          <cell r="D227" t="str">
            <v>REPARACIÓN TEMBLOR STELLA MARIS</v>
          </cell>
          <cell r="E227"/>
          <cell r="F227"/>
          <cell r="G227"/>
          <cell r="H227"/>
          <cell r="I227"/>
        </row>
        <row r="228">
          <cell r="A228" t="str">
            <v>C-379</v>
          </cell>
          <cell r="B228"/>
          <cell r="C228" t="str">
            <v>SAN JUAN DE ALIMA</v>
          </cell>
          <cell r="D228" t="str">
            <v>REPARACIÓN TEMBLOR VILLA</v>
          </cell>
          <cell r="E228"/>
          <cell r="F228"/>
          <cell r="G228"/>
          <cell r="H228"/>
          <cell r="I228"/>
        </row>
        <row r="229">
          <cell r="A229" t="str">
            <v>C-380</v>
          </cell>
          <cell r="B229"/>
          <cell r="C229" t="str">
            <v>SAN JUAN DE ALIMA</v>
          </cell>
          <cell r="D229" t="str">
            <v>REPARACIÓN TEMBLOR JUAN CARLOS</v>
          </cell>
          <cell r="E229"/>
          <cell r="F229"/>
          <cell r="G229"/>
          <cell r="H229"/>
          <cell r="I229"/>
        </row>
        <row r="230">
          <cell r="A230" t="str">
            <v>C-381</v>
          </cell>
          <cell r="B230"/>
          <cell r="C230" t="str">
            <v>SAN JUAN DE ALIMA</v>
          </cell>
          <cell r="D230" t="str">
            <v>REPARACIÓN TEMBLOR ESTEBAN ÁLVAREZ</v>
          </cell>
          <cell r="E230"/>
          <cell r="F230"/>
          <cell r="G230"/>
          <cell r="H230"/>
          <cell r="I230"/>
        </row>
        <row r="231">
          <cell r="A231" t="str">
            <v>C-382</v>
          </cell>
          <cell r="B231"/>
          <cell r="C231" t="str">
            <v>TLAJOMULCO</v>
          </cell>
          <cell r="D231" t="str">
            <v>CDN 3 PISA TLAJOMULCO</v>
          </cell>
          <cell r="E231"/>
          <cell r="F231"/>
          <cell r="G231"/>
          <cell r="H231"/>
          <cell r="I231"/>
        </row>
        <row r="232">
          <cell r="A232" t="str">
            <v>C-383</v>
          </cell>
          <cell r="B232"/>
          <cell r="C232" t="str">
            <v>TLAJOMULCO</v>
          </cell>
          <cell r="D232" t="str">
            <v>SEGREGACIÓN PISA GLOBAL</v>
          </cell>
          <cell r="E232"/>
          <cell r="F232"/>
          <cell r="G232"/>
          <cell r="H232"/>
          <cell r="I232"/>
        </row>
        <row r="233">
          <cell r="A233" t="str">
            <v>C-384</v>
          </cell>
          <cell r="B233"/>
          <cell r="C233" t="str">
            <v>ZAPOPAN</v>
          </cell>
          <cell r="D233" t="str">
            <v>MIXTÓN 18</v>
          </cell>
          <cell r="E233"/>
          <cell r="F233"/>
          <cell r="G233"/>
          <cell r="H233"/>
          <cell r="I233"/>
        </row>
        <row r="234">
          <cell r="A234" t="str">
            <v>C-385</v>
          </cell>
          <cell r="B234"/>
          <cell r="C234" t="str">
            <v>SAN JUAN DE ALIMA</v>
          </cell>
          <cell r="D234" t="str">
            <v>BUNGALOWS STELLA MARIS TEMBLOR</v>
          </cell>
          <cell r="E234"/>
          <cell r="F234"/>
          <cell r="G234"/>
          <cell r="H234"/>
          <cell r="I234"/>
        </row>
        <row r="235">
          <cell r="A235" t="str">
            <v>C-386</v>
          </cell>
          <cell r="B235"/>
          <cell r="C235" t="str">
            <v>TLAJOMULCO</v>
          </cell>
          <cell r="D235" t="str">
            <v>ALMACÉN DE MATERIALES 5 EN MANZANA 3</v>
          </cell>
          <cell r="E235"/>
          <cell r="F235"/>
          <cell r="G235"/>
          <cell r="H235"/>
          <cell r="I235"/>
        </row>
        <row r="236">
          <cell r="A236" t="str">
            <v>C-387</v>
          </cell>
          <cell r="B236"/>
          <cell r="C236" t="str">
            <v>COLIMA</v>
          </cell>
          <cell r="D236" t="str">
            <v>AMPLIACIÓN SANEFRO COLIMA</v>
          </cell>
          <cell r="E236"/>
          <cell r="F236"/>
          <cell r="G236"/>
          <cell r="H236"/>
          <cell r="I236"/>
        </row>
        <row r="237">
          <cell r="A237" t="str">
            <v>C-388</v>
          </cell>
          <cell r="B237"/>
          <cell r="C237" t="str">
            <v>ÁLAMO INDUSTRIAL</v>
          </cell>
          <cell r="D237" t="str">
            <v xml:space="preserve">CAMBIO DE RAMPAS NIVELADORAS AMSA </v>
          </cell>
          <cell r="E237"/>
          <cell r="F237"/>
          <cell r="G237"/>
          <cell r="H237"/>
          <cell r="I237"/>
        </row>
        <row r="238">
          <cell r="A238" t="str">
            <v>C-389</v>
          </cell>
          <cell r="B238"/>
          <cell r="C238" t="str">
            <v>COLINAS DE SAN JAVIER</v>
          </cell>
          <cell r="D238" t="str">
            <v>PASEO DEL TORREÓN</v>
          </cell>
          <cell r="E238"/>
          <cell r="F238"/>
          <cell r="G238"/>
          <cell r="H238"/>
          <cell r="I238"/>
        </row>
        <row r="239">
          <cell r="A239" t="str">
            <v>C-390</v>
          </cell>
          <cell r="B239"/>
          <cell r="C239" t="str">
            <v>COUNTRY</v>
          </cell>
          <cell r="D239" t="str">
            <v>DEPARTAMENTO OTTAWA</v>
          </cell>
          <cell r="E239"/>
          <cell r="F239"/>
          <cell r="G239"/>
          <cell r="H239"/>
          <cell r="I239"/>
        </row>
        <row r="240">
          <cell r="A240" t="str">
            <v>C-391</v>
          </cell>
          <cell r="B240"/>
          <cell r="C240" t="str">
            <v>ZONA INDUSTRIAL</v>
          </cell>
          <cell r="D240" t="str">
            <v>TRABAJO DE REMODELACIÓN EN OFICINAS DE ABASTECIMIENTO</v>
          </cell>
          <cell r="E240"/>
          <cell r="F240"/>
          <cell r="G240"/>
          <cell r="H240"/>
          <cell r="I240"/>
        </row>
        <row r="241">
          <cell r="A241" t="str">
            <v>C-392</v>
          </cell>
          <cell r="B241"/>
          <cell r="C241" t="str">
            <v>TIJUANA</v>
          </cell>
          <cell r="D241" t="str">
            <v>AMPLIACIÓN SANEFRO TIJUANA 2022</v>
          </cell>
          <cell r="E241"/>
          <cell r="F241"/>
          <cell r="G241"/>
          <cell r="H241"/>
          <cell r="I241"/>
        </row>
        <row r="242">
          <cell r="A242" t="str">
            <v>C-393</v>
          </cell>
          <cell r="B242"/>
          <cell r="C242" t="str">
            <v>MANZANILLO</v>
          </cell>
          <cell r="D242" t="str">
            <v>MANTENIMIENTO SANEFRO MANZANILLO</v>
          </cell>
          <cell r="E242"/>
          <cell r="F242"/>
          <cell r="G242"/>
          <cell r="H242"/>
          <cell r="I242"/>
        </row>
        <row r="243">
          <cell r="A243" t="str">
            <v>C-395</v>
          </cell>
          <cell r="B243"/>
          <cell r="C243" t="str">
            <v>SANEFRO VENEZUELA</v>
          </cell>
          <cell r="D243" t="str">
            <v>TARJAS INOXIDABLE SANEFRO</v>
          </cell>
          <cell r="E243"/>
          <cell r="F243"/>
          <cell r="G243"/>
          <cell r="H243"/>
          <cell r="I243"/>
        </row>
        <row r="244">
          <cell r="A244" t="str">
            <v>C-396</v>
          </cell>
          <cell r="B244"/>
          <cell r="C244" t="str">
            <v>TLAJOMULCO</v>
          </cell>
          <cell r="D244" t="str">
            <v>REMEDIACIÓN DE SALAS DE PESADO EDIFICIO E</v>
          </cell>
          <cell r="E244"/>
          <cell r="F244"/>
          <cell r="G244"/>
          <cell r="H244"/>
          <cell r="I244"/>
        </row>
        <row r="245">
          <cell r="A245" t="str">
            <v>C-397</v>
          </cell>
          <cell r="B245"/>
          <cell r="C245" t="str">
            <v>ZONA INDUSTRIAL</v>
          </cell>
          <cell r="D245" t="str">
            <v>EVENTO PISA</v>
          </cell>
          <cell r="E245"/>
          <cell r="F245"/>
          <cell r="G245"/>
          <cell r="H245"/>
          <cell r="I245"/>
        </row>
        <row r="246">
          <cell r="A246" t="str">
            <v>C-398</v>
          </cell>
          <cell r="B246"/>
          <cell r="C246" t="str">
            <v>AV FRANCIA</v>
          </cell>
          <cell r="D246" t="str">
            <v>PUERTA DE EMERGENCIA PISA AGROPECUARIA</v>
          </cell>
          <cell r="E246"/>
          <cell r="F246"/>
          <cell r="G246"/>
          <cell r="H246"/>
          <cell r="I246"/>
        </row>
        <row r="247">
          <cell r="A247" t="str">
            <v>C-399</v>
          </cell>
          <cell r="B247"/>
          <cell r="C247" t="str">
            <v>ZONA INDUSTRIAL</v>
          </cell>
          <cell r="D247" t="str">
            <v>LÍNEA AV7 AMPOLLETAS</v>
          </cell>
          <cell r="E247"/>
          <cell r="F247"/>
          <cell r="G247"/>
          <cell r="H247"/>
          <cell r="I247"/>
        </row>
        <row r="248">
          <cell r="A248" t="str">
            <v>C-400</v>
          </cell>
          <cell r="B248"/>
          <cell r="C248" t="str">
            <v>TLAJOMULCO</v>
          </cell>
          <cell r="D248" t="str">
            <v>REUBICACIÓN DE RANCHO LA STELLA</v>
          </cell>
          <cell r="E248"/>
          <cell r="F248"/>
          <cell r="G248"/>
          <cell r="H248"/>
          <cell r="I248"/>
        </row>
        <row r="249">
          <cell r="A249" t="str">
            <v>C-401</v>
          </cell>
          <cell r="B249"/>
          <cell r="C249" t="str">
            <v>TLAJOMULCO</v>
          </cell>
          <cell r="D249" t="str">
            <v>PROYECTO URBANIZACIÓN</v>
          </cell>
          <cell r="E249"/>
          <cell r="F249"/>
          <cell r="G249"/>
          <cell r="H249"/>
          <cell r="I249"/>
        </row>
        <row r="250">
          <cell r="A250" t="str">
            <v>C-402</v>
          </cell>
          <cell r="B250"/>
          <cell r="C250" t="str">
            <v>PYMPSA</v>
          </cell>
          <cell r="D250" t="str">
            <v>REMEDIACIÓN ÁREAS PYMPSA</v>
          </cell>
          <cell r="E250"/>
          <cell r="F250"/>
          <cell r="G250"/>
          <cell r="H250"/>
          <cell r="I250"/>
        </row>
        <row r="251">
          <cell r="A251" t="str">
            <v>C-403</v>
          </cell>
          <cell r="B251"/>
          <cell r="C251" t="str">
            <v>PYMPSA</v>
          </cell>
          <cell r="D251" t="str">
            <v>ADECUACIONES AZOTEA SUB-ESTACIÓN PYMPSA</v>
          </cell>
          <cell r="E251"/>
          <cell r="F251"/>
          <cell r="G251"/>
          <cell r="H251"/>
          <cell r="I251"/>
        </row>
        <row r="252">
          <cell r="A252" t="str">
            <v>C-404</v>
          </cell>
          <cell r="B252"/>
          <cell r="C252" t="str">
            <v>ATOTONILCO</v>
          </cell>
          <cell r="D252" t="str">
            <v>CASA HÉCTOR GALINDO</v>
          </cell>
          <cell r="E252"/>
          <cell r="F252"/>
          <cell r="G252"/>
          <cell r="H252"/>
          <cell r="I252"/>
        </row>
        <row r="253">
          <cell r="A253" t="str">
            <v>C-405</v>
          </cell>
          <cell r="B253"/>
          <cell r="C253" t="str">
            <v>PARQUE CAB</v>
          </cell>
          <cell r="D253" t="str">
            <v>OFICINAS NAVE 5</v>
          </cell>
          <cell r="E253"/>
          <cell r="F253"/>
          <cell r="G253"/>
          <cell r="H253"/>
          <cell r="I253"/>
        </row>
        <row r="254">
          <cell r="A254" t="str">
            <v>C-406</v>
          </cell>
          <cell r="B254"/>
          <cell r="C254" t="str">
            <v>ZONA INDUSTRIAL</v>
          </cell>
          <cell r="D254" t="str">
            <v>LOSA ENTREPISO ANDÉN PENICILÍNICOS</v>
          </cell>
          <cell r="E254"/>
          <cell r="F254"/>
          <cell r="G254"/>
          <cell r="H254"/>
          <cell r="I254"/>
        </row>
        <row r="255">
          <cell r="A255" t="str">
            <v>C-407</v>
          </cell>
          <cell r="B255"/>
          <cell r="C255" t="str">
            <v>ZONA INDUSTRIAL</v>
          </cell>
          <cell r="D255" t="str">
            <v>LAVANDERÍA PENICILÍNICOS</v>
          </cell>
          <cell r="E255"/>
          <cell r="F255"/>
          <cell r="G255"/>
          <cell r="H255"/>
          <cell r="I255"/>
        </row>
        <row r="256">
          <cell r="A256" t="str">
            <v>C-408</v>
          </cell>
          <cell r="B256"/>
          <cell r="C256" t="str">
            <v>ZONA INDUSTRIAL</v>
          </cell>
          <cell r="D256" t="str">
            <v>CUARTO DE MUESTREO PLANTA BAJA PENICILÍNICOS</v>
          </cell>
          <cell r="E256"/>
          <cell r="F256"/>
          <cell r="G256"/>
          <cell r="H256"/>
          <cell r="I256"/>
        </row>
        <row r="257">
          <cell r="A257" t="str">
            <v>C-409</v>
          </cell>
          <cell r="B257"/>
          <cell r="C257" t="str">
            <v>INDUSTRIAL</v>
          </cell>
          <cell r="D257" t="str">
            <v>SALA DE PESADOS PENICILÍNICOS 1ER NIVEL</v>
          </cell>
          <cell r="E257"/>
          <cell r="F257"/>
          <cell r="G257"/>
          <cell r="H257"/>
          <cell r="I257"/>
        </row>
        <row r="258">
          <cell r="A258" t="str">
            <v>C-412</v>
          </cell>
          <cell r="B258"/>
          <cell r="C258" t="str">
            <v>TLAJOMULCO</v>
          </cell>
          <cell r="D258" t="str">
            <v>PATIO DE MANIOBRAS DE ANDÉN # 9 ASRS</v>
          </cell>
          <cell r="E258"/>
          <cell r="F258"/>
          <cell r="G258"/>
          <cell r="H258"/>
          <cell r="I258"/>
        </row>
        <row r="259">
          <cell r="A259" t="str">
            <v>C-413</v>
          </cell>
          <cell r="B259"/>
          <cell r="C259" t="str">
            <v>COAHUILA</v>
          </cell>
          <cell r="D259" t="str">
            <v>MANTENIMIENTO 2023 RANCHO EL BONITO</v>
          </cell>
          <cell r="E259"/>
          <cell r="F259"/>
          <cell r="G259"/>
          <cell r="H259"/>
          <cell r="I259"/>
        </row>
        <row r="260">
          <cell r="A260" t="str">
            <v>C-414</v>
          </cell>
          <cell r="B260"/>
          <cell r="C260" t="str">
            <v>TLAJOMULCO</v>
          </cell>
          <cell r="D260" t="str">
            <v>INCREMENTO DE CAPACIDAD NAVE 3</v>
          </cell>
          <cell r="E260"/>
          <cell r="F260"/>
          <cell r="G260"/>
          <cell r="H260"/>
          <cell r="I260"/>
        </row>
        <row r="261">
          <cell r="A261" t="str">
            <v>C-415</v>
          </cell>
          <cell r="B261"/>
          <cell r="C261" t="str">
            <v>TLAJOMULCO</v>
          </cell>
          <cell r="D261" t="str">
            <v>MEJORA DE MEZANINNE LÍNEA 9 Y LÍNEA 10</v>
          </cell>
          <cell r="E261"/>
          <cell r="F261"/>
          <cell r="G261"/>
          <cell r="H261"/>
          <cell r="I261"/>
        </row>
        <row r="262">
          <cell r="A262" t="str">
            <v>C-416</v>
          </cell>
          <cell r="B262"/>
          <cell r="C262" t="str">
            <v>ZONA INDUSTRIAL</v>
          </cell>
          <cell r="D262" t="str">
            <v>PASILLO DE SUPERVISIÓN PENICILÍNICOS</v>
          </cell>
          <cell r="E262"/>
          <cell r="F262"/>
          <cell r="G262"/>
          <cell r="H262"/>
          <cell r="I262"/>
        </row>
        <row r="263">
          <cell r="A263" t="str">
            <v>C-417</v>
          </cell>
          <cell r="B263"/>
          <cell r="C263" t="str">
            <v>AV VALLARTA ESQUINA ATENAS 1246 CP 44160 ( ANTES FUNERARIA )</v>
          </cell>
          <cell r="D263" t="str">
            <v>GALERÍA DE ARTE</v>
          </cell>
          <cell r="E263"/>
          <cell r="F263"/>
          <cell r="G263"/>
          <cell r="H263"/>
          <cell r="I263"/>
        </row>
        <row r="264">
          <cell r="A264" t="str">
            <v>C-418</v>
          </cell>
          <cell r="B264"/>
          <cell r="C264" t="str">
            <v>ZONA INDUSTRIAL</v>
          </cell>
          <cell r="D264" t="str">
            <v>LAVADORA VA4</v>
          </cell>
          <cell r="E264"/>
          <cell r="F264"/>
          <cell r="G264"/>
          <cell r="H264"/>
          <cell r="I264"/>
        </row>
        <row r="265">
          <cell r="A265" t="str">
            <v>C-422</v>
          </cell>
          <cell r="B265"/>
          <cell r="C265" t="str">
            <v>TLAJOMULCO</v>
          </cell>
          <cell r="D265" t="str">
            <v>OI LÍNEA DE PRODUCCIÓN GOMITA EDIFICIO G</v>
          </cell>
          <cell r="E265"/>
          <cell r="F265"/>
          <cell r="G265"/>
          <cell r="H265"/>
          <cell r="I265"/>
        </row>
        <row r="266">
          <cell r="A266" t="str">
            <v>C-423</v>
          </cell>
          <cell r="B266"/>
          <cell r="C266" t="str">
            <v>TAPALPA PRADERAS DEL NOGAL</v>
          </cell>
          <cell r="D266" t="str">
            <v>CABAÑA NICOLÁS PLASENCIA</v>
          </cell>
          <cell r="E266"/>
          <cell r="F266"/>
          <cell r="G266"/>
          <cell r="H266"/>
          <cell r="I266"/>
        </row>
        <row r="267">
          <cell r="A267" t="str">
            <v>C-424</v>
          </cell>
          <cell r="B267"/>
          <cell r="C267" t="str">
            <v>TLAJOMULCO</v>
          </cell>
          <cell r="D267" t="str">
            <v>URBANIZACIÓN MASTER</v>
          </cell>
          <cell r="E267"/>
          <cell r="F267"/>
          <cell r="G267"/>
          <cell r="H267"/>
          <cell r="I267"/>
        </row>
        <row r="268">
          <cell r="A268" t="str">
            <v>C-425</v>
          </cell>
          <cell r="B268"/>
          <cell r="C268" t="str">
            <v>TLAJOMULCO</v>
          </cell>
          <cell r="D268" t="str">
            <v>MANTENIMIENTO PARA EDIFICIO J</v>
          </cell>
          <cell r="E268"/>
          <cell r="F268"/>
          <cell r="G268"/>
          <cell r="H268"/>
          <cell r="I268"/>
        </row>
        <row r="269">
          <cell r="A269" t="str">
            <v>C-426</v>
          </cell>
          <cell r="B269"/>
          <cell r="C269" t="str">
            <v>ZONA INDUSTRIAL</v>
          </cell>
          <cell r="D269" t="str">
            <v>OFICINAS 2DO NIVEL CALLE 6</v>
          </cell>
          <cell r="E269"/>
          <cell r="F269"/>
          <cell r="G269"/>
          <cell r="H269"/>
          <cell r="I269"/>
        </row>
        <row r="270">
          <cell r="A270" t="str">
            <v>C-427</v>
          </cell>
          <cell r="B270"/>
          <cell r="C270" t="str">
            <v>CARRETERA EL SALTO 273 COL, LA ALAMEDA</v>
          </cell>
          <cell r="D270" t="str">
            <v>NAVE G FLEX PARK</v>
          </cell>
          <cell r="E270"/>
          <cell r="F270"/>
          <cell r="G270"/>
          <cell r="H270"/>
          <cell r="I270"/>
        </row>
        <row r="271">
          <cell r="A271" t="str">
            <v>C-428</v>
          </cell>
          <cell r="B271"/>
          <cell r="C271" t="str">
            <v>TLAJOMULCO</v>
          </cell>
          <cell r="D271" t="str">
            <v>BODEGA GCPI ARQUITECTO B</v>
          </cell>
          <cell r="E271"/>
          <cell r="F271"/>
          <cell r="G271"/>
          <cell r="H271"/>
          <cell r="I271"/>
        </row>
        <row r="272">
          <cell r="A272" t="str">
            <v>C-429</v>
          </cell>
          <cell r="B272"/>
          <cell r="C272" t="str">
            <v>TLAJOMULCO</v>
          </cell>
          <cell r="D272" t="str">
            <v>CDN 4</v>
          </cell>
          <cell r="E272"/>
          <cell r="F272"/>
          <cell r="G272"/>
          <cell r="H272"/>
          <cell r="I272"/>
        </row>
        <row r="273">
          <cell r="A273" t="str">
            <v>C-430</v>
          </cell>
          <cell r="B273"/>
          <cell r="C273" t="str">
            <v>ZONA INDUSTRIAL</v>
          </cell>
          <cell r="D273" t="str">
            <v>MANIOBRAS DE EQUIPOS CÉFALOS-BIOTEC</v>
          </cell>
          <cell r="E273"/>
          <cell r="F273"/>
          <cell r="G273"/>
          <cell r="H273"/>
          <cell r="I273"/>
        </row>
        <row r="274">
          <cell r="A274" t="str">
            <v>C-431</v>
          </cell>
          <cell r="B274"/>
          <cell r="C274" t="str">
            <v>TLAJOMULCO</v>
          </cell>
          <cell r="D274" t="str">
            <v>CIVIL PROYECTO NITROSAMINA</v>
          </cell>
          <cell r="E274"/>
          <cell r="F274"/>
          <cell r="G274"/>
          <cell r="H274"/>
          <cell r="I274"/>
        </row>
        <row r="275">
          <cell r="A275" t="str">
            <v>C-432</v>
          </cell>
          <cell r="B275"/>
          <cell r="C275" t="str">
            <v>TLAJOMULCO</v>
          </cell>
          <cell r="D275" t="str">
            <v>TRABAJOS DE REMEDIACIÓN PTAR 42 LPS</v>
          </cell>
          <cell r="E275"/>
          <cell r="F275"/>
          <cell r="G275"/>
          <cell r="H275"/>
          <cell r="I275"/>
        </row>
        <row r="276">
          <cell r="A276" t="str">
            <v>C-433</v>
          </cell>
          <cell r="B276"/>
          <cell r="C276" t="str">
            <v>TLAJOMULCO</v>
          </cell>
          <cell r="D276" t="str">
            <v>REUBICACIÓN TRASLIMA</v>
          </cell>
          <cell r="E276"/>
          <cell r="F276"/>
          <cell r="G276"/>
          <cell r="H276"/>
          <cell r="I276"/>
        </row>
        <row r="277">
          <cell r="A277" t="str">
            <v>C-434</v>
          </cell>
          <cell r="B277"/>
          <cell r="C277" t="str">
            <v>TLAJOMULCO</v>
          </cell>
          <cell r="D277" t="str">
            <v>CONSULTORIO ÁREA MÉDICA</v>
          </cell>
          <cell r="E277"/>
          <cell r="F277"/>
          <cell r="G277"/>
          <cell r="H277"/>
          <cell r="I277"/>
        </row>
        <row r="278">
          <cell r="A278" t="str">
            <v>C-435</v>
          </cell>
          <cell r="B278"/>
          <cell r="C278" t="str">
            <v>TLAJOMULCO</v>
          </cell>
          <cell r="D278" t="str">
            <v>URBANIZACIÓN ELECTROLIT EDIFICIO C</v>
          </cell>
          <cell r="E278"/>
          <cell r="F278"/>
          <cell r="G278"/>
          <cell r="H278"/>
          <cell r="I278"/>
        </row>
        <row r="279">
          <cell r="A279" t="str">
            <v>C-436</v>
          </cell>
          <cell r="B279"/>
          <cell r="C279" t="str">
            <v>PASEO DEL BOSQUE 3763 COLINAS DE SAN JAVIER</v>
          </cell>
          <cell r="D279" t="str">
            <v>REMODELACIÓN DE CASA HUGO CUESTA</v>
          </cell>
          <cell r="E279"/>
          <cell r="F279"/>
          <cell r="G279"/>
          <cell r="H279"/>
          <cell r="I279"/>
        </row>
        <row r="280">
          <cell r="A280" t="str">
            <v>C-437</v>
          </cell>
          <cell r="B280"/>
          <cell r="C280" t="str">
            <v>MIXTÓN 18 INTERIOR 2 COL JACARANDAS</v>
          </cell>
          <cell r="D280" t="str">
            <v>CASA MIXTÓN ( JONATHAN SHERIDAN )</v>
          </cell>
          <cell r="E280"/>
          <cell r="F280"/>
          <cell r="G280"/>
          <cell r="H280"/>
          <cell r="I280"/>
        </row>
        <row r="281">
          <cell r="A281" t="str">
            <v>C-438</v>
          </cell>
          <cell r="B281"/>
          <cell r="C281" t="str">
            <v>PYMPSA</v>
          </cell>
          <cell r="D281" t="str">
            <v>REMEDIACIÓN DE ÁREAS PYMPSA</v>
          </cell>
          <cell r="E281"/>
          <cell r="F281"/>
          <cell r="G281"/>
          <cell r="H281"/>
          <cell r="I281"/>
        </row>
        <row r="282">
          <cell r="A282" t="str">
            <v>C-439</v>
          </cell>
          <cell r="B282"/>
          <cell r="C282" t="str">
            <v>TLAJOMULCO</v>
          </cell>
          <cell r="D282" t="str">
            <v>MANTENIMIENTO DEL EDIFICIO H ( PENICILÍNICOS )</v>
          </cell>
          <cell r="E282"/>
          <cell r="F282"/>
          <cell r="G282"/>
          <cell r="H282"/>
          <cell r="I282"/>
        </row>
        <row r="283">
          <cell r="A283" t="str">
            <v>C-440</v>
          </cell>
          <cell r="B283"/>
          <cell r="C283" t="str">
            <v>TLAJOMULCO</v>
          </cell>
          <cell r="D283" t="str">
            <v>OFICINAS ELECTROLIT EDIFICIO C</v>
          </cell>
          <cell r="E283"/>
          <cell r="F283"/>
          <cell r="G283"/>
          <cell r="H283"/>
          <cell r="I283"/>
        </row>
        <row r="284">
          <cell r="A284" t="str">
            <v>C-442</v>
          </cell>
          <cell r="B284"/>
          <cell r="C284" t="str">
            <v>ZONA INDUSTRIAL</v>
          </cell>
          <cell r="D284" t="str">
            <v>SALA DE MUESTREO BIOTECNOLÓGICOS</v>
          </cell>
          <cell r="E284"/>
          <cell r="F284"/>
          <cell r="G284"/>
          <cell r="H284"/>
          <cell r="I284"/>
        </row>
        <row r="285">
          <cell r="A285" t="str">
            <v>O-001</v>
          </cell>
          <cell r="B285" t="str">
            <v>GP</v>
          </cell>
          <cell r="C285" t="str">
            <v>HIDALGO 1892 ENTRE PEREZ VERDIA Y FCO ROJAS</v>
          </cell>
          <cell r="D285" t="str">
            <v>MANTENIMIENTOS GENERALES</v>
          </cell>
          <cell r="E285"/>
          <cell r="F285" t="str">
            <v>N/A</v>
          </cell>
          <cell r="G285"/>
          <cell r="H285"/>
          <cell r="I285"/>
        </row>
        <row r="286">
          <cell r="A286" t="str">
            <v>O-002</v>
          </cell>
          <cell r="B286" t="str">
            <v>GP</v>
          </cell>
          <cell r="C286" t="str">
            <v>S/D</v>
          </cell>
          <cell r="D286" t="str">
            <v>CASA MAR AMARILLO No 1525</v>
          </cell>
          <cell r="E286"/>
          <cell r="F286" t="str">
            <v>JP</v>
          </cell>
          <cell r="G286"/>
          <cell r="H286" t="str">
            <v>ARQ</v>
          </cell>
          <cell r="I286"/>
        </row>
        <row r="287">
          <cell r="A287" t="str">
            <v>O-011</v>
          </cell>
          <cell r="B287" t="str">
            <v>GP</v>
          </cell>
          <cell r="C287" t="str">
            <v>S/D</v>
          </cell>
          <cell r="D287" t="str">
            <v>GASTOS ING. JUAN PABLO CHAVEZ</v>
          </cell>
          <cell r="E287"/>
          <cell r="F287"/>
          <cell r="G287"/>
          <cell r="H287"/>
          <cell r="I287"/>
        </row>
        <row r="288">
          <cell r="A288" t="str">
            <v>O-012</v>
          </cell>
          <cell r="B288" t="str">
            <v>GP</v>
          </cell>
          <cell r="C288" t="str">
            <v>S/D</v>
          </cell>
          <cell r="D288" t="str">
            <v>VILLA C</v>
          </cell>
          <cell r="E288"/>
          <cell r="F288" t="str">
            <v>N/A</v>
          </cell>
          <cell r="G288"/>
          <cell r="H288"/>
          <cell r="I288"/>
        </row>
        <row r="291">
          <cell r="C291"/>
        </row>
        <row r="292">
          <cell r="C292"/>
        </row>
        <row r="324">
          <cell r="D324" t="str">
            <v>}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"/>
      <sheetName val="PU"/>
      <sheetName val="BASEDATOS_TOTAL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1100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860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583.33330000000001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433.33330000000001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233</v>
          </cell>
          <cell r="B59" t="str">
            <v>GUTIÉRREZ PÉREZ CONCEPCIÓN ISIDRA</v>
          </cell>
          <cell r="C59" t="str">
            <v>ASEO</v>
          </cell>
          <cell r="D59">
            <v>391.33</v>
          </cell>
          <cell r="F59"/>
        </row>
        <row r="60">
          <cell r="A60">
            <v>234</v>
          </cell>
          <cell r="B60" t="str">
            <v>MEDINA JIMÉNEZ SHALMA MONSERRAT</v>
          </cell>
          <cell r="C60" t="str">
            <v>AUXILIAR CONTABLE</v>
          </cell>
          <cell r="D60">
            <v>456.51</v>
          </cell>
          <cell r="F60"/>
        </row>
        <row r="61">
          <cell r="A61">
            <v>235</v>
          </cell>
          <cell r="B61" t="str">
            <v>PÉREZ REYES ERIKA PAOLA</v>
          </cell>
          <cell r="C61" t="str">
            <v>RECEPCIONISTA</v>
          </cell>
          <cell r="D61">
            <v>350</v>
          </cell>
          <cell r="F61"/>
        </row>
        <row r="62">
          <cell r="A62">
            <v>236</v>
          </cell>
          <cell r="B62" t="str">
            <v>ARROYO NUÑO DIEGO</v>
          </cell>
          <cell r="C62" t="str">
            <v>AUXILIAR CONTABLE</v>
          </cell>
          <cell r="D62">
            <v>456.51</v>
          </cell>
          <cell r="F62"/>
        </row>
        <row r="63">
          <cell r="A63">
            <v>501</v>
          </cell>
          <cell r="B63" t="str">
            <v>VAZQUEZ FLORES EVERARDO</v>
          </cell>
          <cell r="C63" t="str">
            <v>MAESTRO</v>
          </cell>
          <cell r="D63"/>
          <cell r="F63"/>
        </row>
        <row r="64">
          <cell r="A64">
            <v>674</v>
          </cell>
          <cell r="B64" t="str">
            <v>CHAVEZ ALVAREZ JUAN PABLO</v>
          </cell>
          <cell r="C64" t="str">
            <v>S.INTTE.</v>
          </cell>
          <cell r="D64">
            <v>0</v>
          </cell>
          <cell r="F64">
            <v>0</v>
          </cell>
        </row>
        <row r="65">
          <cell r="A65">
            <v>706</v>
          </cell>
          <cell r="B65" t="str">
            <v>NAVARRO VEGA RICARDO</v>
          </cell>
          <cell r="C65" t="str">
            <v>PEON</v>
          </cell>
          <cell r="D65">
            <v>507.6</v>
          </cell>
          <cell r="F65"/>
        </row>
        <row r="66">
          <cell r="A66">
            <v>712</v>
          </cell>
          <cell r="B66" t="str">
            <v>PACHECO GRACIANO JOSE LUIS</v>
          </cell>
          <cell r="C66" t="str">
            <v>OF</v>
          </cell>
          <cell r="D66">
            <v>608.38</v>
          </cell>
          <cell r="F66"/>
        </row>
        <row r="67">
          <cell r="A67">
            <v>964</v>
          </cell>
          <cell r="B67" t="str">
            <v>GARCIA SANDOVAL ALBERTO</v>
          </cell>
          <cell r="C67" t="str">
            <v>OF</v>
          </cell>
          <cell r="D67">
            <v>730.06</v>
          </cell>
          <cell r="F67"/>
        </row>
        <row r="68">
          <cell r="A68">
            <v>998</v>
          </cell>
          <cell r="B68" t="str">
            <v>GARCIA RENTERIA RAUL</v>
          </cell>
          <cell r="C68" t="str">
            <v>OF</v>
          </cell>
          <cell r="D68">
            <v>608.38</v>
          </cell>
          <cell r="F68"/>
        </row>
        <row r="69">
          <cell r="A69">
            <v>999</v>
          </cell>
          <cell r="B69" t="str">
            <v>GARCIA RENTERIA ROBERTO</v>
          </cell>
          <cell r="C69" t="str">
            <v>OF</v>
          </cell>
          <cell r="D69">
            <v>608.38</v>
          </cell>
          <cell r="F69"/>
        </row>
        <row r="70">
          <cell r="A70">
            <v>1009</v>
          </cell>
          <cell r="B70" t="str">
            <v>LOPEZ GONZALEZ JOSE MANUEL</v>
          </cell>
          <cell r="C70" t="str">
            <v>VELADOR</v>
          </cell>
          <cell r="D70">
            <v>307.25</v>
          </cell>
          <cell r="E70"/>
          <cell r="F70"/>
        </row>
        <row r="71">
          <cell r="A71">
            <v>1119</v>
          </cell>
          <cell r="B71" t="str">
            <v>VÁZQUEZ FLORES MAURO</v>
          </cell>
          <cell r="C71" t="str">
            <v>OF</v>
          </cell>
          <cell r="D71">
            <v>608.38</v>
          </cell>
          <cell r="F71"/>
        </row>
        <row r="72">
          <cell r="A72">
            <v>1201</v>
          </cell>
          <cell r="B72" t="str">
            <v>FLORES OROPEZA ENRIQUE</v>
          </cell>
          <cell r="C72" t="str">
            <v>OF</v>
          </cell>
          <cell r="D72">
            <v>608.38</v>
          </cell>
          <cell r="F72"/>
        </row>
        <row r="73">
          <cell r="A73">
            <v>1345</v>
          </cell>
          <cell r="B73" t="str">
            <v>RIVERA CAMBEROS JOSE ISABEL</v>
          </cell>
          <cell r="C73" t="str">
            <v>OF</v>
          </cell>
          <cell r="D73">
            <v>608.38</v>
          </cell>
          <cell r="F73"/>
        </row>
        <row r="74">
          <cell r="A74">
            <v>1361</v>
          </cell>
          <cell r="B74" t="str">
            <v>FLORES OROPEZA JUAN</v>
          </cell>
          <cell r="C74" t="str">
            <v>OF</v>
          </cell>
          <cell r="D74">
            <v>608.38</v>
          </cell>
          <cell r="F74"/>
        </row>
        <row r="75">
          <cell r="A75">
            <v>1415</v>
          </cell>
          <cell r="B75" t="str">
            <v>FLORES OROPEZA ADÁN</v>
          </cell>
          <cell r="C75" t="str">
            <v>OF</v>
          </cell>
          <cell r="D75">
            <v>608.38</v>
          </cell>
          <cell r="F75"/>
        </row>
        <row r="76">
          <cell r="A76">
            <v>1417</v>
          </cell>
          <cell r="B76" t="str">
            <v>SEGURA MANRIQUE JUAN</v>
          </cell>
          <cell r="C76" t="str">
            <v>OF</v>
          </cell>
          <cell r="D76">
            <v>608.38</v>
          </cell>
          <cell r="F76"/>
        </row>
        <row r="77">
          <cell r="A77">
            <v>1448</v>
          </cell>
          <cell r="B77" t="str">
            <v>RUIZ CEJA LUIS ALBERTO</v>
          </cell>
          <cell r="C77" t="str">
            <v>OF</v>
          </cell>
          <cell r="D77">
            <v>608.38</v>
          </cell>
          <cell r="F77"/>
        </row>
        <row r="78">
          <cell r="A78">
            <v>1499</v>
          </cell>
          <cell r="B78" t="str">
            <v>RODRÍGUEZ SÁNCHEZ FERNANDO</v>
          </cell>
          <cell r="C78" t="str">
            <v>OF</v>
          </cell>
          <cell r="D78">
            <v>608.38</v>
          </cell>
          <cell r="F78"/>
        </row>
        <row r="79">
          <cell r="A79">
            <v>1560</v>
          </cell>
          <cell r="B79" t="str">
            <v>RANGEL SEGURA JUAN RAMON</v>
          </cell>
          <cell r="C79" t="str">
            <v>OF</v>
          </cell>
          <cell r="D79">
            <v>730.06</v>
          </cell>
          <cell r="F79"/>
        </row>
        <row r="80">
          <cell r="A80">
            <v>1576</v>
          </cell>
          <cell r="B80" t="str">
            <v>ORTEGA PLATA JOSE JUVENAL</v>
          </cell>
          <cell r="C80" t="str">
            <v>PEON</v>
          </cell>
          <cell r="D80">
            <v>337.98</v>
          </cell>
          <cell r="F80"/>
        </row>
        <row r="81">
          <cell r="A81">
            <v>1587</v>
          </cell>
          <cell r="B81" t="str">
            <v>DE LOS SANTOS RENTERIA SERVANDO</v>
          </cell>
          <cell r="C81" t="str">
            <v>OF</v>
          </cell>
          <cell r="D81">
            <v>608.38</v>
          </cell>
          <cell r="F81"/>
        </row>
        <row r="82">
          <cell r="A82">
            <v>1626</v>
          </cell>
          <cell r="B82" t="str">
            <v>FLORES RENTERIA JORGE GERMAN</v>
          </cell>
          <cell r="C82" t="str">
            <v>OF</v>
          </cell>
          <cell r="D82">
            <v>608.38</v>
          </cell>
          <cell r="F82"/>
        </row>
        <row r="83">
          <cell r="A83">
            <v>1631</v>
          </cell>
          <cell r="B83" t="str">
            <v>NUÑEZ PALACIOS ARMANDO</v>
          </cell>
          <cell r="C83" t="str">
            <v>OF</v>
          </cell>
          <cell r="D83">
            <v>608.38</v>
          </cell>
          <cell r="F83"/>
        </row>
        <row r="84">
          <cell r="A84">
            <v>1632</v>
          </cell>
          <cell r="B84" t="str">
            <v>AVALOS PICAZO EMILIO</v>
          </cell>
          <cell r="C84" t="str">
            <v>MAESTRO</v>
          </cell>
          <cell r="D84">
            <v>904.24</v>
          </cell>
          <cell r="F84"/>
        </row>
        <row r="85">
          <cell r="A85">
            <v>1688</v>
          </cell>
          <cell r="B85" t="str">
            <v>AGUILAR HERRERA OSCAR</v>
          </cell>
          <cell r="C85" t="str">
            <v>OF</v>
          </cell>
          <cell r="D85">
            <v>608.38</v>
          </cell>
          <cell r="F85"/>
        </row>
        <row r="86">
          <cell r="A86">
            <v>1689</v>
          </cell>
          <cell r="B86" t="str">
            <v>MARTÍNEZ LÓPEZ ANTONIO</v>
          </cell>
          <cell r="C86" t="str">
            <v>OF</v>
          </cell>
          <cell r="D86">
            <v>608.38</v>
          </cell>
          <cell r="F86"/>
        </row>
        <row r="87">
          <cell r="A87">
            <v>1847</v>
          </cell>
          <cell r="B87" t="str">
            <v>TORO RENTERIA ALEJANDRO</v>
          </cell>
          <cell r="C87" t="str">
            <v>OF</v>
          </cell>
          <cell r="D87">
            <v>608.38</v>
          </cell>
          <cell r="F87"/>
        </row>
        <row r="88">
          <cell r="A88">
            <v>1869</v>
          </cell>
          <cell r="B88" t="str">
            <v>VAZQUEZ IBARRA GERARDO</v>
          </cell>
          <cell r="C88" t="str">
            <v>OF</v>
          </cell>
          <cell r="D88">
            <v>608.38</v>
          </cell>
          <cell r="F88"/>
        </row>
        <row r="89">
          <cell r="A89">
            <v>1897</v>
          </cell>
          <cell r="B89" t="str">
            <v>REYES PEREZ OSCAR</v>
          </cell>
          <cell r="C89" t="str">
            <v>OF</v>
          </cell>
          <cell r="D89">
            <v>608.38</v>
          </cell>
          <cell r="F89"/>
        </row>
        <row r="90">
          <cell r="A90">
            <v>1951</v>
          </cell>
          <cell r="B90" t="str">
            <v>AVALOS GIL IGNACIO</v>
          </cell>
          <cell r="C90" t="str">
            <v>OF</v>
          </cell>
          <cell r="D90">
            <v>608.38</v>
          </cell>
          <cell r="F90"/>
        </row>
        <row r="91">
          <cell r="A91">
            <v>1964</v>
          </cell>
          <cell r="B91" t="str">
            <v>LOPEZ PACHECO JOSE MARTIN</v>
          </cell>
          <cell r="C91" t="str">
            <v>PEON</v>
          </cell>
          <cell r="D91">
            <v>337.98</v>
          </cell>
          <cell r="F91"/>
        </row>
        <row r="92">
          <cell r="A92">
            <v>1990</v>
          </cell>
          <cell r="B92" t="str">
            <v>GUARDADO SÁNCHEZ MARTÍN</v>
          </cell>
          <cell r="C92" t="str">
            <v>PEON</v>
          </cell>
          <cell r="D92">
            <v>337.98</v>
          </cell>
          <cell r="F92"/>
        </row>
        <row r="93">
          <cell r="A93">
            <v>2001</v>
          </cell>
          <cell r="B93" t="str">
            <v>AGUILAR HERRERA LUIS FERNANDO</v>
          </cell>
          <cell r="C93" t="str">
            <v>OF</v>
          </cell>
          <cell r="D93">
            <v>608.38</v>
          </cell>
          <cell r="F93"/>
        </row>
        <row r="94">
          <cell r="A94">
            <v>2022</v>
          </cell>
          <cell r="B94" t="str">
            <v>PEREZ CONTRERAS JESUS</v>
          </cell>
          <cell r="C94" t="str">
            <v>OF</v>
          </cell>
          <cell r="D94">
            <v>608.38</v>
          </cell>
          <cell r="F94"/>
        </row>
        <row r="95">
          <cell r="A95">
            <v>2045</v>
          </cell>
          <cell r="B95" t="str">
            <v>LOPEZ GALINDO JUAN FRANCISCO</v>
          </cell>
          <cell r="C95" t="str">
            <v>CHOFER</v>
          </cell>
          <cell r="D95">
            <v>695.95</v>
          </cell>
          <cell r="F95"/>
        </row>
        <row r="96">
          <cell r="A96">
            <v>2078</v>
          </cell>
          <cell r="B96" t="str">
            <v>CHAVEZ ZAPATA CARLOS</v>
          </cell>
          <cell r="C96" t="str">
            <v>PEON</v>
          </cell>
          <cell r="D96">
            <v>337.98</v>
          </cell>
          <cell r="F96"/>
        </row>
        <row r="97">
          <cell r="A97">
            <v>2109</v>
          </cell>
          <cell r="B97" t="str">
            <v>OROPEZA RODRIGUEZ SANTIAGO EFREN</v>
          </cell>
          <cell r="C97" t="str">
            <v>OF</v>
          </cell>
          <cell r="D97">
            <v>608.38</v>
          </cell>
          <cell r="F97"/>
        </row>
        <row r="98">
          <cell r="A98">
            <v>2143</v>
          </cell>
          <cell r="B98" t="str">
            <v>MARTÍNEZ DUEÑAS JOSÉ ARMANDO</v>
          </cell>
          <cell r="C98" t="str">
            <v>OF</v>
          </cell>
          <cell r="D98">
            <v>608.38</v>
          </cell>
          <cell r="F98"/>
        </row>
        <row r="99">
          <cell r="A99">
            <v>2229</v>
          </cell>
          <cell r="B99" t="str">
            <v>ZAVALA MEDINA BENITO</v>
          </cell>
          <cell r="C99" t="str">
            <v>OF</v>
          </cell>
          <cell r="D99">
            <v>608.38</v>
          </cell>
          <cell r="F99"/>
        </row>
        <row r="100">
          <cell r="A100">
            <v>2245</v>
          </cell>
          <cell r="B100" t="str">
            <v>VEGA ESPARZA SALVADOR</v>
          </cell>
          <cell r="C100" t="str">
            <v>OF</v>
          </cell>
          <cell r="D100">
            <v>608.38</v>
          </cell>
          <cell r="F100"/>
        </row>
        <row r="101">
          <cell r="A101">
            <v>2258</v>
          </cell>
          <cell r="B101" t="str">
            <v>FLORES RENTERIA JULIAN ALEJANDRO</v>
          </cell>
          <cell r="C101" t="str">
            <v>OF</v>
          </cell>
          <cell r="D101">
            <v>608.38</v>
          </cell>
          <cell r="F101"/>
        </row>
        <row r="102">
          <cell r="A102">
            <v>2276</v>
          </cell>
          <cell r="B102" t="str">
            <v>MARTINEZ DUEÑAS ARNULFO FRANCISCO</v>
          </cell>
          <cell r="C102" t="str">
            <v>OF</v>
          </cell>
          <cell r="D102">
            <v>608.38</v>
          </cell>
          <cell r="F102"/>
        </row>
        <row r="103">
          <cell r="A103">
            <v>2281</v>
          </cell>
          <cell r="B103" t="str">
            <v>DE LOS SANTOS MANJARRES RODRIGO</v>
          </cell>
          <cell r="C103" t="str">
            <v>OF</v>
          </cell>
          <cell r="D103">
            <v>608.38</v>
          </cell>
          <cell r="F103"/>
        </row>
        <row r="104">
          <cell r="A104">
            <v>2282</v>
          </cell>
          <cell r="B104" t="str">
            <v>CANTOR GARCIA ALVARO</v>
          </cell>
          <cell r="C104" t="str">
            <v>OF</v>
          </cell>
          <cell r="D104">
            <v>608.38</v>
          </cell>
          <cell r="F104"/>
        </row>
        <row r="105">
          <cell r="A105">
            <v>2299</v>
          </cell>
          <cell r="B105" t="str">
            <v>ENRIQUEZ AGUILAR SEBASTIAN</v>
          </cell>
          <cell r="C105" t="str">
            <v>OF</v>
          </cell>
          <cell r="D105">
            <v>608.38</v>
          </cell>
          <cell r="F105"/>
        </row>
        <row r="106">
          <cell r="A106">
            <v>2316</v>
          </cell>
          <cell r="B106" t="str">
            <v>ENRIQUEZ FLORES JUAN</v>
          </cell>
          <cell r="C106" t="str">
            <v>OF</v>
          </cell>
          <cell r="D106">
            <v>608.38</v>
          </cell>
          <cell r="F106"/>
        </row>
        <row r="107">
          <cell r="A107">
            <v>2346</v>
          </cell>
          <cell r="B107" t="str">
            <v>PINTOR CALVARIO JUAN</v>
          </cell>
          <cell r="C107" t="str">
            <v>OF</v>
          </cell>
          <cell r="D107">
            <v>608.38</v>
          </cell>
          <cell r="F107"/>
        </row>
        <row r="108">
          <cell r="A108">
            <v>2407</v>
          </cell>
          <cell r="B108" t="str">
            <v>DE LOS SANTOS RENTERIA ISIDRO</v>
          </cell>
          <cell r="C108" t="str">
            <v>OF</v>
          </cell>
          <cell r="D108">
            <v>608.38</v>
          </cell>
          <cell r="F108"/>
        </row>
        <row r="109">
          <cell r="A109">
            <v>2410</v>
          </cell>
          <cell r="B109" t="str">
            <v>BARRAGAN LAZCANO JOSE ANTONIO</v>
          </cell>
          <cell r="C109" t="str">
            <v>OF</v>
          </cell>
          <cell r="D109">
            <v>608.38</v>
          </cell>
          <cell r="F109"/>
        </row>
        <row r="110">
          <cell r="A110">
            <v>2441</v>
          </cell>
          <cell r="B110" t="str">
            <v>GARCIA VIDALES JOSE DE JESUS</v>
          </cell>
          <cell r="C110" t="str">
            <v>OF</v>
          </cell>
          <cell r="D110">
            <v>608.38</v>
          </cell>
          <cell r="F110"/>
        </row>
        <row r="111">
          <cell r="A111">
            <v>2443</v>
          </cell>
          <cell r="B111" t="str">
            <v>VIDALES ROSALES JOSÉ GUADALUPE</v>
          </cell>
          <cell r="C111" t="str">
            <v>PINTOR</v>
          </cell>
          <cell r="D111">
            <v>608.38</v>
          </cell>
          <cell r="F111"/>
        </row>
        <row r="112">
          <cell r="A112">
            <v>2446</v>
          </cell>
          <cell r="B112" t="str">
            <v>ENRIQUEZ XILONZOCHITL MIGUEL ANGEL</v>
          </cell>
          <cell r="C112" t="str">
            <v>OF</v>
          </cell>
          <cell r="D112">
            <v>608.38</v>
          </cell>
          <cell r="F112"/>
        </row>
        <row r="113">
          <cell r="A113">
            <v>2466</v>
          </cell>
          <cell r="B113" t="str">
            <v>HERRERA GARCIA JUAN FRANCISCO</v>
          </cell>
          <cell r="C113" t="str">
            <v>SOLD</v>
          </cell>
          <cell r="D113">
            <v>699.64</v>
          </cell>
          <cell r="F113"/>
        </row>
        <row r="114">
          <cell r="A114">
            <v>2473</v>
          </cell>
          <cell r="B114" t="str">
            <v>CERVANTES MONJARAS JOSE LUIS</v>
          </cell>
          <cell r="C114" t="str">
            <v>OF</v>
          </cell>
          <cell r="D114">
            <v>608.38</v>
          </cell>
          <cell r="F114"/>
        </row>
        <row r="115">
          <cell r="A115">
            <v>2506</v>
          </cell>
          <cell r="B115" t="str">
            <v>HERNANDEZ VILLANUEVA DARIO</v>
          </cell>
          <cell r="C115" t="str">
            <v>PEON</v>
          </cell>
          <cell r="D115">
            <v>588.5</v>
          </cell>
          <cell r="F115"/>
        </row>
        <row r="116">
          <cell r="A116">
            <v>2515</v>
          </cell>
          <cell r="B116" t="str">
            <v>RODRIGUEZ SANCHEZ JUAN ANTONIO</v>
          </cell>
          <cell r="C116" t="str">
            <v>OF</v>
          </cell>
          <cell r="D116">
            <v>608.38</v>
          </cell>
          <cell r="F116"/>
        </row>
        <row r="117">
          <cell r="A117">
            <v>2555</v>
          </cell>
          <cell r="B117" t="str">
            <v>GUERRERO CHÁVEZ JUAN DANIEL</v>
          </cell>
          <cell r="C117" t="str">
            <v>OF</v>
          </cell>
          <cell r="D117">
            <v>608.38</v>
          </cell>
          <cell r="F117"/>
        </row>
        <row r="118">
          <cell r="A118">
            <v>2634</v>
          </cell>
          <cell r="B118" t="str">
            <v>OROPEZA RODRIGUEZ LUIS EDUARDO</v>
          </cell>
          <cell r="C118" t="str">
            <v>OF</v>
          </cell>
          <cell r="D118">
            <v>608.38</v>
          </cell>
          <cell r="F118"/>
        </row>
        <row r="119">
          <cell r="A119">
            <v>2696</v>
          </cell>
          <cell r="B119" t="str">
            <v>RODRIGUEZ SANCHEZ CHRISTIAN</v>
          </cell>
          <cell r="C119" t="str">
            <v>OF</v>
          </cell>
          <cell r="D119">
            <v>608.38</v>
          </cell>
          <cell r="F119"/>
        </row>
        <row r="120">
          <cell r="A120">
            <v>2703</v>
          </cell>
          <cell r="B120" t="str">
            <v>MARTÍNEZ DUEÑAS FRANCISCO</v>
          </cell>
          <cell r="C120" t="str">
            <v>OF</v>
          </cell>
          <cell r="D120">
            <v>608.38</v>
          </cell>
          <cell r="F120"/>
        </row>
        <row r="121">
          <cell r="A121">
            <v>2733</v>
          </cell>
          <cell r="B121" t="str">
            <v>ZAVALA RUIZ BENITO</v>
          </cell>
          <cell r="C121" t="str">
            <v>OF</v>
          </cell>
          <cell r="D121">
            <v>608.38</v>
          </cell>
          <cell r="F121"/>
        </row>
        <row r="122">
          <cell r="A122">
            <v>2774</v>
          </cell>
          <cell r="B122" t="str">
            <v>MACIAS TOVAR NOE</v>
          </cell>
          <cell r="C122" t="str">
            <v>OF</v>
          </cell>
          <cell r="D122">
            <v>608.38</v>
          </cell>
          <cell r="F122"/>
        </row>
        <row r="123">
          <cell r="A123">
            <v>2779</v>
          </cell>
          <cell r="B123" t="str">
            <v>MARES DE JESUS ISMAEL</v>
          </cell>
          <cell r="C123" t="str">
            <v>OF</v>
          </cell>
          <cell r="D123">
            <v>608.38</v>
          </cell>
          <cell r="F123"/>
        </row>
        <row r="124">
          <cell r="A124">
            <v>2798</v>
          </cell>
          <cell r="B124" t="str">
            <v>MARTINEZ DUEÑAS JUAN EDUARDO</v>
          </cell>
          <cell r="C124" t="str">
            <v>OF</v>
          </cell>
          <cell r="D124">
            <v>608.38</v>
          </cell>
          <cell r="F124"/>
        </row>
        <row r="125">
          <cell r="A125">
            <v>2807</v>
          </cell>
          <cell r="B125" t="str">
            <v>INFANTE RAMÍREZ PABLO GABRIEL</v>
          </cell>
          <cell r="C125" t="str">
            <v>PINTOR</v>
          </cell>
          <cell r="D125">
            <v>608.38</v>
          </cell>
          <cell r="F125"/>
        </row>
        <row r="126">
          <cell r="A126">
            <v>2835</v>
          </cell>
          <cell r="B126" t="str">
            <v>ENRIQUEZ XILONZOCHILT JUAN</v>
          </cell>
          <cell r="C126" t="str">
            <v>OF</v>
          </cell>
          <cell r="D126">
            <v>608.38</v>
          </cell>
          <cell r="F126"/>
        </row>
        <row r="127">
          <cell r="A127">
            <v>2862</v>
          </cell>
          <cell r="B127" t="str">
            <v>RODRIGUEZ CASTREJON FELIPE</v>
          </cell>
          <cell r="C127" t="str">
            <v>PEON</v>
          </cell>
          <cell r="D127">
            <v>386.07</v>
          </cell>
          <cell r="F127"/>
        </row>
        <row r="128">
          <cell r="A128">
            <v>2874</v>
          </cell>
          <cell r="B128" t="str">
            <v>JUAREZ RODRIGUEZ RAMIRO</v>
          </cell>
          <cell r="C128" t="str">
            <v>PEON</v>
          </cell>
          <cell r="D128">
            <v>337.98</v>
          </cell>
          <cell r="F128"/>
        </row>
        <row r="129">
          <cell r="A129">
            <v>2925</v>
          </cell>
          <cell r="B129" t="str">
            <v>CHAVEZ ALMADA DANIEL</v>
          </cell>
          <cell r="C129" t="str">
            <v>RESID</v>
          </cell>
          <cell r="D129">
            <v>751.49</v>
          </cell>
          <cell r="F129"/>
        </row>
        <row r="130">
          <cell r="A130">
            <v>2970</v>
          </cell>
          <cell r="B130" t="str">
            <v>CABRERA LEON EFRAIN</v>
          </cell>
          <cell r="C130" t="str">
            <v>OF</v>
          </cell>
          <cell r="D130">
            <v>608.38</v>
          </cell>
          <cell r="F130"/>
        </row>
        <row r="131">
          <cell r="A131">
            <v>3013</v>
          </cell>
          <cell r="B131" t="str">
            <v>SEGURA DIAZ OSCAR</v>
          </cell>
          <cell r="C131" t="str">
            <v>OF</v>
          </cell>
          <cell r="D131">
            <v>608.38</v>
          </cell>
          <cell r="F131"/>
        </row>
        <row r="132">
          <cell r="A132">
            <v>3034</v>
          </cell>
          <cell r="B132" t="str">
            <v>MENDOZA MURILLO IVAN</v>
          </cell>
          <cell r="C132" t="str">
            <v>OF</v>
          </cell>
          <cell r="D132">
            <v>608.38</v>
          </cell>
          <cell r="F132"/>
        </row>
        <row r="133">
          <cell r="A133">
            <v>3066</v>
          </cell>
          <cell r="B133" t="str">
            <v>GARCIA REYES ANDRES</v>
          </cell>
          <cell r="C133" t="str">
            <v>OF</v>
          </cell>
          <cell r="D133">
            <v>608.38</v>
          </cell>
          <cell r="F133"/>
        </row>
        <row r="134">
          <cell r="A134">
            <v>3091</v>
          </cell>
          <cell r="B134" t="str">
            <v>SÁNCHEZ LEÓN JOSÉ ANTONIO</v>
          </cell>
          <cell r="C134" t="str">
            <v>MAESTRO</v>
          </cell>
          <cell r="D134">
            <v>1000</v>
          </cell>
          <cell r="F134"/>
        </row>
        <row r="135">
          <cell r="A135">
            <v>3397</v>
          </cell>
          <cell r="B135" t="str">
            <v>RODRIGUEZ RODRIGUEZ ANTONIO</v>
          </cell>
          <cell r="C135" t="str">
            <v>VELADOR</v>
          </cell>
          <cell r="D135">
            <v>337.98</v>
          </cell>
          <cell r="F135"/>
        </row>
        <row r="136">
          <cell r="A136">
            <v>3405</v>
          </cell>
          <cell r="B136" t="str">
            <v>BIZARRO GARCIA MARCO ANTONIO</v>
          </cell>
          <cell r="C136" t="str">
            <v>OF</v>
          </cell>
          <cell r="D136">
            <v>608.38</v>
          </cell>
          <cell r="F136"/>
        </row>
        <row r="137">
          <cell r="A137">
            <v>3407</v>
          </cell>
          <cell r="B137" t="str">
            <v>GARCÍA LÓPEZ JORGE OMAR</v>
          </cell>
          <cell r="C137" t="str">
            <v>PEON</v>
          </cell>
          <cell r="D137">
            <v>337.98</v>
          </cell>
          <cell r="F137"/>
        </row>
        <row r="138">
          <cell r="A138">
            <v>3410</v>
          </cell>
          <cell r="B138" t="str">
            <v>HERRERA MENDOZA JOSE CRUZ</v>
          </cell>
          <cell r="C138" t="str">
            <v>OF</v>
          </cell>
          <cell r="D138">
            <v>608.38</v>
          </cell>
          <cell r="F138"/>
        </row>
        <row r="139">
          <cell r="A139">
            <v>3411</v>
          </cell>
          <cell r="B139" t="str">
            <v>GARCIA BRAVO EDUARDO</v>
          </cell>
          <cell r="C139" t="str">
            <v>OF</v>
          </cell>
          <cell r="D139">
            <v>608.38</v>
          </cell>
          <cell r="F139"/>
        </row>
        <row r="140">
          <cell r="A140">
            <v>3412</v>
          </cell>
          <cell r="B140" t="str">
            <v>PLASCENCIA HARO JOSE LUIS</v>
          </cell>
          <cell r="C140" t="str">
            <v>OF</v>
          </cell>
          <cell r="D140">
            <v>608.38</v>
          </cell>
          <cell r="F140"/>
        </row>
        <row r="141">
          <cell r="A141">
            <v>3454</v>
          </cell>
          <cell r="B141" t="str">
            <v>GUERRERO CHÁVEZ JUAN JOSÉ</v>
          </cell>
          <cell r="C141" t="str">
            <v>PEON</v>
          </cell>
          <cell r="D141">
            <v>337.98</v>
          </cell>
          <cell r="F141"/>
        </row>
        <row r="142">
          <cell r="A142">
            <v>3470</v>
          </cell>
          <cell r="B142" t="str">
            <v>ZAMORA CALDERON ALEJANDRO</v>
          </cell>
          <cell r="C142" t="str">
            <v>OF</v>
          </cell>
          <cell r="D142">
            <v>608.38</v>
          </cell>
          <cell r="F142"/>
        </row>
        <row r="143">
          <cell r="A143">
            <v>3482</v>
          </cell>
          <cell r="B143" t="str">
            <v>HERNANDEZ CASTELLON BERNARDO</v>
          </cell>
          <cell r="C143" t="str">
            <v>OF</v>
          </cell>
          <cell r="D143">
            <v>608.38</v>
          </cell>
          <cell r="F143"/>
        </row>
        <row r="144">
          <cell r="A144">
            <v>3512</v>
          </cell>
          <cell r="B144" t="str">
            <v>GARCIA BRAVO JESUS</v>
          </cell>
          <cell r="C144" t="str">
            <v>PEON</v>
          </cell>
          <cell r="D144">
            <v>337.98</v>
          </cell>
          <cell r="F144"/>
        </row>
        <row r="145">
          <cell r="A145">
            <v>3554</v>
          </cell>
          <cell r="B145" t="str">
            <v>MEJIA NAVARRO RICARDO REFUGIO</v>
          </cell>
          <cell r="C145" t="str">
            <v>OF</v>
          </cell>
          <cell r="D145">
            <v>608.38</v>
          </cell>
          <cell r="F145"/>
        </row>
        <row r="146">
          <cell r="A146">
            <v>3569</v>
          </cell>
          <cell r="B146" t="str">
            <v>ENRIQUEZ DOMINGUEZ MOISES</v>
          </cell>
          <cell r="C146" t="str">
            <v>OF</v>
          </cell>
          <cell r="D146">
            <v>608.38</v>
          </cell>
          <cell r="F146"/>
        </row>
        <row r="147">
          <cell r="A147">
            <v>3596</v>
          </cell>
          <cell r="B147" t="str">
            <v>LÓPEZ MARTÍNEZ FRANCISCO JAVIER</v>
          </cell>
          <cell r="C147" t="str">
            <v>OF</v>
          </cell>
          <cell r="D147">
            <v>608.38</v>
          </cell>
          <cell r="F147"/>
        </row>
        <row r="148">
          <cell r="A148">
            <v>3608</v>
          </cell>
          <cell r="B148" t="str">
            <v>LOZANO URISTA BRUNO</v>
          </cell>
          <cell r="C148" t="str">
            <v>PEON</v>
          </cell>
          <cell r="D148">
            <v>440</v>
          </cell>
          <cell r="F148"/>
        </row>
        <row r="149">
          <cell r="A149">
            <v>3610</v>
          </cell>
          <cell r="B149" t="str">
            <v>HERNANDEZ LAUREANO MIGUEL ARMANDO</v>
          </cell>
          <cell r="C149" t="str">
            <v>VELADOR</v>
          </cell>
          <cell r="D149">
            <v>756.65</v>
          </cell>
          <cell r="F149"/>
        </row>
        <row r="150">
          <cell r="A150">
            <v>3612</v>
          </cell>
          <cell r="B150" t="str">
            <v>ORTEGA HERNÁNDEZ JOSÉ ALBERTO</v>
          </cell>
          <cell r="C150" t="str">
            <v>OF</v>
          </cell>
          <cell r="D150">
            <v>608.38</v>
          </cell>
          <cell r="F150"/>
        </row>
        <row r="151">
          <cell r="A151">
            <v>3627</v>
          </cell>
          <cell r="B151" t="str">
            <v>LUEVANO ORTIZ JESUS EDUARDO</v>
          </cell>
          <cell r="C151" t="str">
            <v>PEON</v>
          </cell>
          <cell r="D151">
            <v>337.98</v>
          </cell>
          <cell r="F151"/>
        </row>
        <row r="152">
          <cell r="A152">
            <v>3630</v>
          </cell>
          <cell r="B152" t="str">
            <v>LUEVANOS ORTIZ JOSE JAVIER</v>
          </cell>
          <cell r="C152" t="str">
            <v>PEON</v>
          </cell>
          <cell r="D152">
            <v>337.98</v>
          </cell>
          <cell r="F152"/>
        </row>
        <row r="153">
          <cell r="A153">
            <v>3655</v>
          </cell>
          <cell r="B153" t="str">
            <v>GUERRERO CHAVEZ JOSE LEONARDO</v>
          </cell>
          <cell r="C153" t="str">
            <v>PEON</v>
          </cell>
          <cell r="D153">
            <v>337.98</v>
          </cell>
          <cell r="F153"/>
        </row>
        <row r="154">
          <cell r="A154">
            <v>3682</v>
          </cell>
          <cell r="B154" t="str">
            <v>BARRÓN GARCÍA JOSÉ DAMACIO</v>
          </cell>
          <cell r="C154" t="str">
            <v>OF</v>
          </cell>
          <cell r="D154">
            <v>660</v>
          </cell>
          <cell r="F154"/>
        </row>
        <row r="155">
          <cell r="A155">
            <v>3725</v>
          </cell>
          <cell r="B155" t="str">
            <v>ARROYO SANCHEZ JOSE CARLOS</v>
          </cell>
          <cell r="C155" t="str">
            <v>PEON</v>
          </cell>
          <cell r="D155">
            <v>337.98</v>
          </cell>
          <cell r="F155"/>
        </row>
        <row r="156">
          <cell r="A156">
            <v>3753</v>
          </cell>
          <cell r="B156" t="str">
            <v>TOSCANO LOPEZ SERGIO</v>
          </cell>
          <cell r="C156" t="str">
            <v>PEON</v>
          </cell>
          <cell r="D156">
            <v>383.4</v>
          </cell>
          <cell r="E156"/>
          <cell r="F156"/>
        </row>
        <row r="157">
          <cell r="A157">
            <v>3759</v>
          </cell>
          <cell r="B157" t="str">
            <v>RUVALCABA VERGARA JOSE LUIS</v>
          </cell>
          <cell r="C157" t="str">
            <v>OF</v>
          </cell>
          <cell r="D157">
            <v>516.89</v>
          </cell>
          <cell r="E157"/>
          <cell r="F157"/>
        </row>
        <row r="158">
          <cell r="A158">
            <v>3792</v>
          </cell>
          <cell r="B158" t="str">
            <v>RAMOS ALVARADO JOSE DE JESUS</v>
          </cell>
          <cell r="C158" t="str">
            <v>PEON</v>
          </cell>
          <cell r="D158">
            <v>383.4</v>
          </cell>
          <cell r="E158"/>
          <cell r="F158"/>
        </row>
        <row r="159">
          <cell r="A159">
            <v>3799</v>
          </cell>
          <cell r="B159" t="str">
            <v>VAZQUEZ HERNANDEZ JORGE</v>
          </cell>
          <cell r="C159" t="str">
            <v>OF</v>
          </cell>
          <cell r="D159">
            <v>608.38</v>
          </cell>
          <cell r="E159"/>
          <cell r="F159"/>
        </row>
        <row r="160">
          <cell r="A160">
            <v>3850</v>
          </cell>
          <cell r="B160" t="str">
            <v>SILONXOCHILT HERRERA HERIBERTO</v>
          </cell>
          <cell r="C160" t="str">
            <v>OF</v>
          </cell>
          <cell r="D160">
            <v>608.38</v>
          </cell>
          <cell r="E160"/>
          <cell r="F160"/>
        </row>
        <row r="161">
          <cell r="A161">
            <v>3859</v>
          </cell>
          <cell r="B161" t="str">
            <v>SALAZAR DE LOS SANTOS JORGE ADRIAN</v>
          </cell>
          <cell r="C161" t="str">
            <v>OF</v>
          </cell>
          <cell r="D161">
            <v>608.38</v>
          </cell>
          <cell r="E161"/>
          <cell r="F161"/>
        </row>
        <row r="162">
          <cell r="A162">
            <v>3870</v>
          </cell>
          <cell r="B162" t="str">
            <v>NAJAR TORRES JUAN MANUEL</v>
          </cell>
          <cell r="C162" t="str">
            <v>PEON</v>
          </cell>
          <cell r="D162">
            <v>383.4</v>
          </cell>
          <cell r="E162"/>
          <cell r="F162"/>
        </row>
        <row r="163">
          <cell r="A163">
            <v>3872</v>
          </cell>
          <cell r="B163" t="str">
            <v>HERNANDEZ ESTRADA JOSE LUIS</v>
          </cell>
          <cell r="C163" t="str">
            <v>PEON</v>
          </cell>
          <cell r="D163">
            <v>337.98</v>
          </cell>
          <cell r="E163"/>
          <cell r="F163"/>
        </row>
        <row r="164">
          <cell r="A164">
            <v>3879</v>
          </cell>
          <cell r="B164" t="str">
            <v>SOTO SOTO ROGELIO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3883</v>
          </cell>
          <cell r="B165" t="str">
            <v>RAMIREZ RUBIO CARLOS</v>
          </cell>
          <cell r="C165" t="str">
            <v>PEON</v>
          </cell>
          <cell r="D165">
            <v>383.4</v>
          </cell>
          <cell r="F165"/>
        </row>
        <row r="166">
          <cell r="A166">
            <v>3892</v>
          </cell>
          <cell r="B166" t="str">
            <v>MEDELLIN LOPEZ FELIX ALEJANDRO</v>
          </cell>
          <cell r="C166" t="str">
            <v>OF</v>
          </cell>
          <cell r="D166">
            <v>608.38</v>
          </cell>
          <cell r="F166"/>
        </row>
        <row r="167">
          <cell r="A167">
            <v>3914</v>
          </cell>
          <cell r="B167" t="str">
            <v>BIZARRO MACIAS PEDRO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3918</v>
          </cell>
          <cell r="B168" t="str">
            <v>PEREZ MENDOZA JOSE FLORENTINO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3919</v>
          </cell>
          <cell r="B169" t="str">
            <v>HERNANDEZ LOPEZ VALENTIN</v>
          </cell>
          <cell r="C169" t="str">
            <v>PEON</v>
          </cell>
          <cell r="D169">
            <v>337.98</v>
          </cell>
          <cell r="E169"/>
          <cell r="F169"/>
        </row>
        <row r="170">
          <cell r="A170">
            <v>3920</v>
          </cell>
          <cell r="B170" t="str">
            <v>BIZARRO XILONZOCHITL MISAEL</v>
          </cell>
          <cell r="C170" t="str">
            <v>OF</v>
          </cell>
          <cell r="D170">
            <v>608.38</v>
          </cell>
          <cell r="E170"/>
          <cell r="F170"/>
        </row>
        <row r="171">
          <cell r="A171">
            <v>3925</v>
          </cell>
          <cell r="B171" t="str">
            <v>AGUILAR SAUCEDO RICARDO JAVIER</v>
          </cell>
          <cell r="C171" t="str">
            <v>OF</v>
          </cell>
          <cell r="D171">
            <v>608.38</v>
          </cell>
          <cell r="E171"/>
          <cell r="F171"/>
        </row>
        <row r="172">
          <cell r="A172">
            <v>3926</v>
          </cell>
          <cell r="B172" t="str">
            <v>ESCOTO MENDOZA JOSE EDUARDO</v>
          </cell>
          <cell r="C172" t="str">
            <v>OF</v>
          </cell>
          <cell r="D172">
            <v>608.38</v>
          </cell>
          <cell r="E172"/>
          <cell r="F172"/>
        </row>
        <row r="173">
          <cell r="A173">
            <v>3930</v>
          </cell>
          <cell r="B173" t="str">
            <v>ENRIQUEZ CAMARENA GREGORIO</v>
          </cell>
          <cell r="C173" t="str">
            <v>OF</v>
          </cell>
          <cell r="D173">
            <v>608.38</v>
          </cell>
          <cell r="E173"/>
          <cell r="F173"/>
        </row>
        <row r="174">
          <cell r="A174">
            <v>3932</v>
          </cell>
          <cell r="B174" t="str">
            <v>ENRÍQUEZ XILONZOCHITL CARLOS DAVID</v>
          </cell>
          <cell r="C174" t="str">
            <v>OF</v>
          </cell>
          <cell r="D174">
            <v>608.38</v>
          </cell>
        </row>
        <row r="175">
          <cell r="A175">
            <v>3934</v>
          </cell>
          <cell r="B175" t="str">
            <v>SANCHEZ DIAZ DANIEL</v>
          </cell>
          <cell r="C175" t="str">
            <v>OF</v>
          </cell>
          <cell r="D175">
            <v>608.38</v>
          </cell>
        </row>
        <row r="176">
          <cell r="A176">
            <v>3937</v>
          </cell>
          <cell r="B176" t="str">
            <v>HERNÁNDEZ HERNÁNDEZ CASIANO</v>
          </cell>
          <cell r="C176" t="str">
            <v>PEON</v>
          </cell>
          <cell r="D176">
            <v>337.98</v>
          </cell>
          <cell r="F176"/>
        </row>
        <row r="177">
          <cell r="A177">
            <v>3950</v>
          </cell>
          <cell r="B177" t="str">
            <v>HERNÁNDEZ HERNÁNDEZ RICARDO</v>
          </cell>
          <cell r="C177" t="str">
            <v>PEON</v>
          </cell>
          <cell r="D177">
            <v>337.98</v>
          </cell>
        </row>
        <row r="178">
          <cell r="A178">
            <v>3951</v>
          </cell>
          <cell r="B178" t="str">
            <v>AGUILAR ENRRIQUEZ LUIS FELIPE</v>
          </cell>
          <cell r="C178" t="str">
            <v>OF</v>
          </cell>
          <cell r="D178">
            <v>608.38</v>
          </cell>
        </row>
        <row r="179">
          <cell r="A179">
            <v>3965</v>
          </cell>
          <cell r="B179" t="str">
            <v>BAÑUELOS MEJIA ALFREDO</v>
          </cell>
          <cell r="C179" t="str">
            <v>OF</v>
          </cell>
          <cell r="D179">
            <v>608.38</v>
          </cell>
        </row>
        <row r="180">
          <cell r="A180">
            <v>3993</v>
          </cell>
          <cell r="B180" t="str">
            <v>JIMENEZ FLORES ANTONIO RAFAEL</v>
          </cell>
          <cell r="C180" t="str">
            <v>OF</v>
          </cell>
          <cell r="D180">
            <v>608.38</v>
          </cell>
        </row>
        <row r="181">
          <cell r="A181">
            <v>3998</v>
          </cell>
          <cell r="B181" t="str">
            <v>MELENDEZ JIMENEZ FAUSTINO</v>
          </cell>
          <cell r="C181" t="str">
            <v>OF</v>
          </cell>
          <cell r="D181">
            <v>608.38</v>
          </cell>
        </row>
        <row r="182">
          <cell r="A182">
            <v>4005</v>
          </cell>
          <cell r="B182" t="str">
            <v>XILONZOCHITL OCAMPO FORTUNATO</v>
          </cell>
          <cell r="C182" t="str">
            <v>OF</v>
          </cell>
          <cell r="D182">
            <v>608.38</v>
          </cell>
        </row>
        <row r="183">
          <cell r="A183">
            <v>4016</v>
          </cell>
          <cell r="B183" t="str">
            <v>CANDELARIO CORDOBA ALEJANDRO</v>
          </cell>
          <cell r="C183" t="str">
            <v>OF</v>
          </cell>
          <cell r="D183">
            <v>608.38</v>
          </cell>
        </row>
        <row r="184">
          <cell r="A184">
            <v>4025</v>
          </cell>
          <cell r="B184" t="str">
            <v>GONZALEZ NAVARRO HECTOR MIGUEL</v>
          </cell>
          <cell r="C184" t="str">
            <v>PEON</v>
          </cell>
          <cell r="D184">
            <v>337.98</v>
          </cell>
        </row>
        <row r="185">
          <cell r="A185">
            <v>4031</v>
          </cell>
          <cell r="B185" t="str">
            <v>SALAZAR DE LOS SANTOS JESÚS IGNACIO</v>
          </cell>
          <cell r="C185" t="str">
            <v>OF</v>
          </cell>
          <cell r="D185">
            <v>608.38</v>
          </cell>
        </row>
        <row r="186">
          <cell r="A186">
            <v>4044</v>
          </cell>
          <cell r="B186" t="str">
            <v>FLORES RODRIGUEZ JESUS</v>
          </cell>
          <cell r="C186" t="str">
            <v>VELADOR</v>
          </cell>
          <cell r="D186">
            <v>337.98</v>
          </cell>
        </row>
        <row r="187">
          <cell r="A187">
            <v>4057</v>
          </cell>
          <cell r="B187" t="str">
            <v>VALENTIN HERRERA MIGUEL ANGEL</v>
          </cell>
          <cell r="C187" t="str">
            <v>OF</v>
          </cell>
          <cell r="D187">
            <v>608.38</v>
          </cell>
        </row>
        <row r="188">
          <cell r="A188">
            <v>4066</v>
          </cell>
          <cell r="B188" t="str">
            <v>ELVIRA TADEO GABRIEL</v>
          </cell>
          <cell r="C188" t="str">
            <v>OF</v>
          </cell>
          <cell r="D188">
            <v>608.38</v>
          </cell>
        </row>
        <row r="189">
          <cell r="A189">
            <v>4072</v>
          </cell>
          <cell r="B189" t="str">
            <v>OROZCO FLORES RODOLFO MAXIMILIANO</v>
          </cell>
          <cell r="C189" t="str">
            <v>PEON</v>
          </cell>
          <cell r="D189">
            <v>337.98</v>
          </cell>
        </row>
        <row r="190">
          <cell r="A190">
            <v>4083</v>
          </cell>
          <cell r="B190" t="str">
            <v>CÓRDOVA NICASIO SAMUEL ENRIQUE</v>
          </cell>
          <cell r="C190" t="str">
            <v>PEON</v>
          </cell>
          <cell r="D190">
            <v>337.98</v>
          </cell>
        </row>
        <row r="191">
          <cell r="A191">
            <v>4120</v>
          </cell>
          <cell r="B191" t="str">
            <v>GAVILAN MACIAS JOAQUIN</v>
          </cell>
          <cell r="C191" t="str">
            <v>PINTOR</v>
          </cell>
          <cell r="D191">
            <v>608.38</v>
          </cell>
        </row>
        <row r="192">
          <cell r="A192">
            <v>4121</v>
          </cell>
          <cell r="B192" t="str">
            <v>GARCIA CRUZ JOSE RAMON</v>
          </cell>
          <cell r="C192" t="str">
            <v>OF</v>
          </cell>
          <cell r="D192">
            <v>608.38</v>
          </cell>
        </row>
        <row r="193">
          <cell r="A193">
            <v>4144</v>
          </cell>
          <cell r="B193" t="str">
            <v>MARTÍNEZ DUEÑAS RIGOBERTO</v>
          </cell>
          <cell r="C193" t="str">
            <v>OF</v>
          </cell>
          <cell r="D193">
            <v>608.38</v>
          </cell>
        </row>
        <row r="194">
          <cell r="A194">
            <v>4150</v>
          </cell>
          <cell r="B194" t="str">
            <v>CORDOVA CRUZ JUAN CARLOS</v>
          </cell>
          <cell r="C194" t="str">
            <v>JARD</v>
          </cell>
          <cell r="D194">
            <v>619.70000000000005</v>
          </cell>
        </row>
        <row r="195">
          <cell r="A195">
            <v>4186</v>
          </cell>
          <cell r="B195" t="str">
            <v>DURAN GONZALEZ ELIAS GUADALUPE</v>
          </cell>
          <cell r="C195" t="str">
            <v>OF</v>
          </cell>
          <cell r="D195">
            <v>608.38</v>
          </cell>
        </row>
        <row r="196">
          <cell r="A196">
            <v>4209</v>
          </cell>
          <cell r="B196" t="str">
            <v>TORRES CASILLAS LEOBARDO</v>
          </cell>
          <cell r="C196" t="str">
            <v>PINTOR</v>
          </cell>
          <cell r="D196">
            <v>608.38</v>
          </cell>
        </row>
        <row r="197">
          <cell r="A197">
            <v>4220</v>
          </cell>
          <cell r="B197" t="str">
            <v>CORTES CAMPOS ROBERTO</v>
          </cell>
          <cell r="C197" t="str">
            <v>OF</v>
          </cell>
          <cell r="D197">
            <v>608.38</v>
          </cell>
        </row>
        <row r="198">
          <cell r="A198">
            <v>4222</v>
          </cell>
          <cell r="B198" t="str">
            <v>SOLANO GONZALEZ JUAN MANUEL</v>
          </cell>
          <cell r="C198" t="str">
            <v>JARD</v>
          </cell>
          <cell r="D198">
            <v>646.69000000000005</v>
          </cell>
        </row>
        <row r="199">
          <cell r="A199">
            <v>4231</v>
          </cell>
          <cell r="B199" t="str">
            <v>HERRERA ORTEGA RAYMUNDO SEBASTIAN</v>
          </cell>
          <cell r="C199" t="str">
            <v>SOLD</v>
          </cell>
          <cell r="D199">
            <v>608.38</v>
          </cell>
        </row>
        <row r="200">
          <cell r="A200">
            <v>4252</v>
          </cell>
          <cell r="B200" t="str">
            <v>ARANDA OROZCO FIDEL</v>
          </cell>
          <cell r="C200" t="str">
            <v>PEON</v>
          </cell>
          <cell r="D200">
            <v>383.4</v>
          </cell>
        </row>
        <row r="201">
          <cell r="A201">
            <v>4254</v>
          </cell>
          <cell r="B201" t="str">
            <v>ARANDA OROZCO GABRIEL</v>
          </cell>
          <cell r="C201" t="str">
            <v>PEON</v>
          </cell>
          <cell r="D201">
            <v>383.4</v>
          </cell>
        </row>
        <row r="202">
          <cell r="A202">
            <v>4256</v>
          </cell>
          <cell r="B202" t="str">
            <v>VÁZQUEZ HERNÁNDEZ GILBERTO</v>
          </cell>
          <cell r="C202" t="str">
            <v>OF</v>
          </cell>
          <cell r="D202">
            <v>608.38</v>
          </cell>
        </row>
        <row r="203">
          <cell r="A203">
            <v>4263</v>
          </cell>
          <cell r="B203" t="str">
            <v>DAMIAN MARTINEZ GERARDO</v>
          </cell>
          <cell r="C203" t="str">
            <v>PEON</v>
          </cell>
          <cell r="D203">
            <v>383.4</v>
          </cell>
        </row>
        <row r="204">
          <cell r="A204">
            <v>4264</v>
          </cell>
          <cell r="B204" t="str">
            <v>GONZÁLEZ CAMPOS FELIPE</v>
          </cell>
          <cell r="C204" t="str">
            <v>PEON</v>
          </cell>
          <cell r="D204">
            <v>337.98</v>
          </cell>
        </row>
        <row r="205">
          <cell r="A205">
            <v>4268</v>
          </cell>
          <cell r="B205" t="str">
            <v>NAVARRO ACOSTA ALEJANDRO</v>
          </cell>
          <cell r="C205" t="str">
            <v>PEON</v>
          </cell>
          <cell r="D205">
            <v>383.4</v>
          </cell>
        </row>
        <row r="206">
          <cell r="A206">
            <v>4281</v>
          </cell>
          <cell r="B206" t="str">
            <v>BRISEÑO PINTOR SALVADOR</v>
          </cell>
          <cell r="C206" t="str">
            <v>PEON</v>
          </cell>
          <cell r="D206">
            <v>337.98</v>
          </cell>
        </row>
        <row r="207">
          <cell r="A207">
            <v>4282</v>
          </cell>
          <cell r="B207" t="str">
            <v>DE LA TORRE BRISEÑO OSCAR</v>
          </cell>
          <cell r="C207" t="str">
            <v>OF</v>
          </cell>
          <cell r="D207">
            <v>608.38</v>
          </cell>
        </row>
        <row r="208">
          <cell r="A208">
            <v>4285</v>
          </cell>
          <cell r="B208" t="str">
            <v>XILONZOCHILT OCAMPO GENARO</v>
          </cell>
          <cell r="C208" t="str">
            <v>OF</v>
          </cell>
          <cell r="D208">
            <v>608.38</v>
          </cell>
        </row>
        <row r="209">
          <cell r="A209">
            <v>4286</v>
          </cell>
          <cell r="B209" t="str">
            <v>XILONZOCHITL SALDAÑA ALBERTO DIONICIO</v>
          </cell>
          <cell r="C209" t="str">
            <v>PEON</v>
          </cell>
          <cell r="D209">
            <v>337.98</v>
          </cell>
        </row>
        <row r="210">
          <cell r="A210">
            <v>4287</v>
          </cell>
          <cell r="B210" t="str">
            <v>XILONZOCHITL SALDAÑA JOSÉ LUIS</v>
          </cell>
          <cell r="C210" t="str">
            <v>OF</v>
          </cell>
          <cell r="D210">
            <v>608.38</v>
          </cell>
        </row>
        <row r="211">
          <cell r="A211">
            <v>4296</v>
          </cell>
          <cell r="B211" t="str">
            <v>SALAS PALAFOX ÓSCAR OMAR</v>
          </cell>
          <cell r="C211" t="str">
            <v>OF</v>
          </cell>
          <cell r="D211">
            <v>608.38</v>
          </cell>
        </row>
        <row r="212">
          <cell r="A212">
            <v>4297</v>
          </cell>
          <cell r="B212" t="str">
            <v>GUTIÉRREZ CONTRERAS IRAK IVÁN</v>
          </cell>
          <cell r="C212" t="str">
            <v>PEON</v>
          </cell>
          <cell r="D212">
            <v>337.98</v>
          </cell>
        </row>
        <row r="213">
          <cell r="A213">
            <v>4298</v>
          </cell>
          <cell r="B213" t="str">
            <v>SEGURA DIAZ JAVIER</v>
          </cell>
          <cell r="C213" t="str">
            <v>PEON</v>
          </cell>
          <cell r="D213">
            <v>451</v>
          </cell>
        </row>
        <row r="214">
          <cell r="A214">
            <v>4302</v>
          </cell>
          <cell r="B214" t="str">
            <v>GARCIA CRUZ FLAVIO CESAR</v>
          </cell>
          <cell r="C214" t="str">
            <v>PEON</v>
          </cell>
          <cell r="D214">
            <v>337.98</v>
          </cell>
        </row>
        <row r="215">
          <cell r="A215">
            <v>4303</v>
          </cell>
          <cell r="B215" t="str">
            <v>VALENTIN OLIVO DAVID</v>
          </cell>
          <cell r="C215" t="str">
            <v>OF</v>
          </cell>
          <cell r="D215">
            <v>608.38</v>
          </cell>
        </row>
        <row r="216">
          <cell r="A216">
            <v>4310</v>
          </cell>
          <cell r="B216" t="str">
            <v>ENRÍQUEZ XILONZÓCHITL JUAN CARLOS</v>
          </cell>
          <cell r="C216" t="str">
            <v>OF</v>
          </cell>
          <cell r="D216">
            <v>608.38</v>
          </cell>
        </row>
        <row r="217">
          <cell r="A217">
            <v>4319</v>
          </cell>
          <cell r="B217" t="str">
            <v>CRUZ CABRERA SERGIO</v>
          </cell>
          <cell r="C217" t="str">
            <v>PEON</v>
          </cell>
          <cell r="D217">
            <v>337.98</v>
          </cell>
        </row>
        <row r="218">
          <cell r="A218">
            <v>4325</v>
          </cell>
          <cell r="B218" t="str">
            <v>AVALOS PICAZO EDGAR ISAAC</v>
          </cell>
          <cell r="C218" t="str">
            <v>PEON</v>
          </cell>
          <cell r="D218">
            <v>337.98</v>
          </cell>
        </row>
        <row r="219">
          <cell r="A219">
            <v>4329</v>
          </cell>
          <cell r="B219" t="str">
            <v>CAMPOS NARVAEZ JUAN PABLO</v>
          </cell>
          <cell r="C219" t="str">
            <v>OF</v>
          </cell>
          <cell r="D219">
            <v>608.38</v>
          </cell>
        </row>
        <row r="220">
          <cell r="A220">
            <v>4332</v>
          </cell>
          <cell r="B220" t="str">
            <v>HERNANDEZ REYES PEDRO</v>
          </cell>
          <cell r="C220" t="str">
            <v>PEON</v>
          </cell>
          <cell r="D220">
            <v>337.98</v>
          </cell>
        </row>
        <row r="221">
          <cell r="A221">
            <v>4362</v>
          </cell>
          <cell r="B221" t="str">
            <v>DE LA TORRE BRISEÑO RICARDO</v>
          </cell>
          <cell r="C221" t="str">
            <v>PEON</v>
          </cell>
          <cell r="D221">
            <v>337.98</v>
          </cell>
        </row>
        <row r="222">
          <cell r="A222">
            <v>4365</v>
          </cell>
          <cell r="B222" t="str">
            <v>RAMIREZ ROSALES FEDERICO</v>
          </cell>
          <cell r="C222" t="str">
            <v>PEON</v>
          </cell>
          <cell r="D222">
            <v>383.4</v>
          </cell>
        </row>
        <row r="223">
          <cell r="A223">
            <v>4368</v>
          </cell>
          <cell r="B223" t="str">
            <v>MORA MACIAS OCTAVIANO</v>
          </cell>
          <cell r="C223" t="str">
            <v>OF</v>
          </cell>
          <cell r="D223">
            <v>608.38</v>
          </cell>
        </row>
        <row r="224">
          <cell r="A224">
            <v>4369</v>
          </cell>
          <cell r="B224" t="str">
            <v>MORA JIMENEZ ELI EMMANUEL</v>
          </cell>
          <cell r="C224" t="str">
            <v>OF</v>
          </cell>
          <cell r="D224">
            <v>608.38</v>
          </cell>
        </row>
        <row r="225">
          <cell r="A225">
            <v>4377</v>
          </cell>
          <cell r="B225" t="str">
            <v>RODRIGUEZ PADILLA JUAN LUIS</v>
          </cell>
          <cell r="C225" t="str">
            <v>PEON</v>
          </cell>
          <cell r="D225">
            <v>337.98</v>
          </cell>
        </row>
        <row r="226">
          <cell r="A226">
            <v>4380</v>
          </cell>
          <cell r="B226" t="str">
            <v>DURAN GONZALEZ JUAN ALONSO</v>
          </cell>
          <cell r="C226" t="str">
            <v>OF</v>
          </cell>
          <cell r="D226">
            <v>608.38</v>
          </cell>
        </row>
        <row r="227">
          <cell r="A227">
            <v>4382</v>
          </cell>
          <cell r="B227" t="str">
            <v>MORA GARCIA RAFAEL</v>
          </cell>
          <cell r="C227" t="str">
            <v>OF</v>
          </cell>
          <cell r="D227">
            <v>608.38</v>
          </cell>
        </row>
        <row r="228">
          <cell r="A228">
            <v>4416</v>
          </cell>
          <cell r="B228" t="str">
            <v>SAUCEDO GARCIA JUAN FELIPE</v>
          </cell>
          <cell r="C228" t="str">
            <v>PEON</v>
          </cell>
          <cell r="D228">
            <v>337.98</v>
          </cell>
        </row>
        <row r="229">
          <cell r="A229">
            <v>4423</v>
          </cell>
          <cell r="B229" t="str">
            <v>ARREGUIN ATILANO ANDRES</v>
          </cell>
          <cell r="C229" t="str">
            <v>PEON</v>
          </cell>
          <cell r="D229">
            <v>383.4</v>
          </cell>
        </row>
        <row r="230">
          <cell r="A230">
            <v>4439</v>
          </cell>
          <cell r="B230" t="str">
            <v>CORDOVA CRUZ HUGO</v>
          </cell>
          <cell r="C230" t="str">
            <v>PEON</v>
          </cell>
          <cell r="D230">
            <v>337.98</v>
          </cell>
        </row>
        <row r="231">
          <cell r="A231">
            <v>4442</v>
          </cell>
          <cell r="B231" t="str">
            <v>CERVANTES BENITES ANGEL OMAR</v>
          </cell>
          <cell r="C231" t="str">
            <v>OF</v>
          </cell>
          <cell r="D231">
            <v>608.38</v>
          </cell>
        </row>
        <row r="232">
          <cell r="A232">
            <v>4443</v>
          </cell>
          <cell r="B232" t="str">
            <v>ROQUE PINEDA OMAR ABDIAS</v>
          </cell>
          <cell r="C232" t="str">
            <v>PEON</v>
          </cell>
          <cell r="D232">
            <v>451</v>
          </cell>
        </row>
        <row r="233">
          <cell r="A233">
            <v>4465</v>
          </cell>
          <cell r="B233" t="str">
            <v>GARCIA HERNANDEZ GENARO</v>
          </cell>
          <cell r="C233" t="str">
            <v>PEON</v>
          </cell>
          <cell r="D233">
            <v>432</v>
          </cell>
        </row>
        <row r="234">
          <cell r="A234">
            <v>4467</v>
          </cell>
          <cell r="B234" t="str">
            <v>SOLANO GALINDO GREGORIO SILVINO</v>
          </cell>
          <cell r="C234" t="str">
            <v>OF</v>
          </cell>
          <cell r="D234">
            <v>608.38</v>
          </cell>
        </row>
        <row r="235">
          <cell r="A235">
            <v>4475</v>
          </cell>
          <cell r="B235" t="str">
            <v>RODRIGUEZ GARCIA MARCOS ALBERTO</v>
          </cell>
          <cell r="C235" t="str">
            <v>PEON</v>
          </cell>
          <cell r="D235">
            <v>337.98</v>
          </cell>
        </row>
        <row r="236">
          <cell r="A236">
            <v>4476</v>
          </cell>
          <cell r="B236" t="str">
            <v>GARCIA HERNANDEZ EFREN</v>
          </cell>
          <cell r="C236" t="str">
            <v>PEON</v>
          </cell>
          <cell r="D236">
            <v>383.4</v>
          </cell>
        </row>
        <row r="237">
          <cell r="A237">
            <v>4477</v>
          </cell>
          <cell r="B237" t="str">
            <v>VILLA LOPEZ GERARDO</v>
          </cell>
          <cell r="C237" t="str">
            <v>OF</v>
          </cell>
          <cell r="D237">
            <v>608.38</v>
          </cell>
        </row>
        <row r="238">
          <cell r="A238">
            <v>4480</v>
          </cell>
          <cell r="B238" t="str">
            <v>VILLA LÓPEZ FRANCISCO</v>
          </cell>
          <cell r="C238" t="str">
            <v>OF</v>
          </cell>
          <cell r="D238">
            <v>608.38</v>
          </cell>
        </row>
        <row r="239">
          <cell r="A239">
            <v>4489</v>
          </cell>
          <cell r="B239" t="str">
            <v>AGUILA HEREDIA EMILIO</v>
          </cell>
          <cell r="C239" t="str">
            <v>PEON</v>
          </cell>
          <cell r="D239">
            <v>337.98</v>
          </cell>
        </row>
        <row r="240">
          <cell r="A240">
            <v>4506</v>
          </cell>
          <cell r="B240" t="str">
            <v>GONZALEZ RAMIREZ MIGUEL</v>
          </cell>
          <cell r="C240" t="str">
            <v>OF</v>
          </cell>
          <cell r="D240">
            <v>608.38</v>
          </cell>
        </row>
        <row r="241">
          <cell r="A241">
            <v>4513</v>
          </cell>
          <cell r="B241" t="str">
            <v>AMEZQUITA PACHECO VICTOR</v>
          </cell>
          <cell r="C241" t="str">
            <v>PEON</v>
          </cell>
          <cell r="D241">
            <v>383.4</v>
          </cell>
        </row>
        <row r="242">
          <cell r="A242">
            <v>4516</v>
          </cell>
          <cell r="B242" t="str">
            <v>XILONZOCHITL SALDAÑA ANGEL ASENCION</v>
          </cell>
          <cell r="C242" t="str">
            <v>PEON</v>
          </cell>
          <cell r="D242">
            <v>337.98</v>
          </cell>
        </row>
        <row r="243">
          <cell r="A243">
            <v>4520</v>
          </cell>
          <cell r="B243" t="str">
            <v>GONZALEZ NAVARRO CARLOS EDUARDO</v>
          </cell>
          <cell r="C243" t="str">
            <v>PEON</v>
          </cell>
          <cell r="D243">
            <v>337.98</v>
          </cell>
        </row>
        <row r="244">
          <cell r="A244">
            <v>4524</v>
          </cell>
          <cell r="B244" t="str">
            <v>ULLOA HERNANDEZ JOSE MANUEL</v>
          </cell>
          <cell r="C244" t="str">
            <v>OF</v>
          </cell>
          <cell r="D244">
            <v>608.38</v>
          </cell>
        </row>
        <row r="245">
          <cell r="A245">
            <v>4529</v>
          </cell>
          <cell r="B245" t="str">
            <v>GONZALEZ BRACAMONTES JESUS</v>
          </cell>
          <cell r="C245" t="str">
            <v>PINTOR</v>
          </cell>
          <cell r="D245">
            <v>608.38</v>
          </cell>
        </row>
        <row r="246">
          <cell r="A246">
            <v>4530</v>
          </cell>
          <cell r="B246" t="str">
            <v>CASTREJON FLORES JOSE</v>
          </cell>
          <cell r="C246" t="str">
            <v>PEON</v>
          </cell>
          <cell r="D246">
            <v>383.4</v>
          </cell>
        </row>
        <row r="247">
          <cell r="A247">
            <v>4531</v>
          </cell>
          <cell r="B247" t="str">
            <v>VILLA LOPEZ JOSE MARIA</v>
          </cell>
          <cell r="C247" t="str">
            <v>OF</v>
          </cell>
          <cell r="D247">
            <v>608.38</v>
          </cell>
        </row>
        <row r="248">
          <cell r="A248">
            <v>4533</v>
          </cell>
          <cell r="B248" t="str">
            <v>DIAZ ARCINIEGA GILBERTO</v>
          </cell>
          <cell r="C248" t="str">
            <v>PEON</v>
          </cell>
          <cell r="D248">
            <v>337.98</v>
          </cell>
        </row>
        <row r="249">
          <cell r="A249">
            <v>4534</v>
          </cell>
          <cell r="B249" t="str">
            <v>VILLA LÓPEZ JORGE ARMANDO</v>
          </cell>
          <cell r="C249" t="str">
            <v>OF</v>
          </cell>
          <cell r="D249">
            <v>608.38</v>
          </cell>
        </row>
        <row r="250">
          <cell r="A250">
            <v>4537</v>
          </cell>
          <cell r="B250" t="str">
            <v>VILLA LÓPEZ RUBÉN ERASMO</v>
          </cell>
          <cell r="C250" t="str">
            <v>OF</v>
          </cell>
          <cell r="D250">
            <v>608.38</v>
          </cell>
        </row>
        <row r="251">
          <cell r="A251">
            <v>4543</v>
          </cell>
          <cell r="B251" t="str">
            <v>RODRIGUEZ GARZA HILARIO</v>
          </cell>
          <cell r="C251" t="str">
            <v>OF</v>
          </cell>
          <cell r="D251">
            <v>608.38</v>
          </cell>
        </row>
        <row r="252">
          <cell r="A252">
            <v>4544</v>
          </cell>
          <cell r="B252" t="str">
            <v>RANGEL IBARRA RUBEN</v>
          </cell>
          <cell r="C252" t="str">
            <v>PEON</v>
          </cell>
          <cell r="D252">
            <v>337.98</v>
          </cell>
        </row>
        <row r="253">
          <cell r="A253">
            <v>4550</v>
          </cell>
          <cell r="B253" t="str">
            <v>VEGA ESPARZA MAYRA MARGARITA</v>
          </cell>
          <cell r="C253" t="str">
            <v>ASEO</v>
          </cell>
          <cell r="D253">
            <v>428.57142857142856</v>
          </cell>
        </row>
        <row r="254">
          <cell r="A254">
            <v>4556</v>
          </cell>
          <cell r="B254" t="str">
            <v>ROSAS RAMIREZ MACARIO</v>
          </cell>
          <cell r="C254" t="str">
            <v>PEON</v>
          </cell>
          <cell r="D254">
            <v>383.4</v>
          </cell>
        </row>
        <row r="255">
          <cell r="A255">
            <v>4560</v>
          </cell>
          <cell r="B255" t="str">
            <v>XILONZOCHITL MORA RICARDO</v>
          </cell>
          <cell r="C255" t="str">
            <v>PEON</v>
          </cell>
          <cell r="D255">
            <v>337.98</v>
          </cell>
        </row>
        <row r="256">
          <cell r="A256">
            <v>4573</v>
          </cell>
          <cell r="B256" t="str">
            <v>DE LA TORRE LOPEZ GUILLERMO</v>
          </cell>
          <cell r="C256" t="str">
            <v>OF</v>
          </cell>
          <cell r="D256">
            <v>608.38</v>
          </cell>
        </row>
        <row r="257">
          <cell r="A257">
            <v>4579</v>
          </cell>
          <cell r="B257" t="str">
            <v>LOPEZ NICASIO ISELA NOEMI</v>
          </cell>
          <cell r="C257" t="str">
            <v>ASEO</v>
          </cell>
          <cell r="D257">
            <v>441.38</v>
          </cell>
        </row>
        <row r="258">
          <cell r="A258">
            <v>4580</v>
          </cell>
          <cell r="B258" t="str">
            <v>ENRIQUEZ CAMARENA MOISES ALEJANDRO</v>
          </cell>
          <cell r="C258" t="str">
            <v>PEON</v>
          </cell>
          <cell r="D258">
            <v>337.98</v>
          </cell>
        </row>
        <row r="259">
          <cell r="A259">
            <v>4582</v>
          </cell>
          <cell r="B259" t="str">
            <v>SALCIDO SANTIBAÑEZ GABRIEL</v>
          </cell>
          <cell r="C259" t="str">
            <v>PEON</v>
          </cell>
          <cell r="D259">
            <v>383.4</v>
          </cell>
        </row>
        <row r="260">
          <cell r="A260">
            <v>4586</v>
          </cell>
          <cell r="B260" t="str">
            <v>RAMÍREZ VILLA JOSÉ EDUARDO</v>
          </cell>
          <cell r="C260" t="str">
            <v>PEON</v>
          </cell>
          <cell r="D260">
            <v>337.98</v>
          </cell>
        </row>
        <row r="261">
          <cell r="A261">
            <v>4587</v>
          </cell>
          <cell r="B261" t="str">
            <v>VILLA LÓPEZ DAVID RIGOBERTO</v>
          </cell>
          <cell r="C261" t="str">
            <v>OF</v>
          </cell>
          <cell r="D261">
            <v>608.38</v>
          </cell>
        </row>
        <row r="262">
          <cell r="A262">
            <v>4602</v>
          </cell>
          <cell r="B262" t="str">
            <v>MARES ECHEVERRIA JUAN ISMAEL</v>
          </cell>
          <cell r="C262" t="str">
            <v>PEON</v>
          </cell>
          <cell r="D262">
            <v>337.98</v>
          </cell>
        </row>
        <row r="263">
          <cell r="A263">
            <v>4614</v>
          </cell>
          <cell r="B263" t="str">
            <v>ENRIQUEZ CAMARENA CHRISTIAN</v>
          </cell>
          <cell r="C263" t="str">
            <v>OF</v>
          </cell>
          <cell r="D263">
            <v>608.38</v>
          </cell>
        </row>
        <row r="264">
          <cell r="A264">
            <v>4626</v>
          </cell>
          <cell r="B264" t="str">
            <v>AMÉZQUITA NAVA JOSÉ GUADALUPE</v>
          </cell>
          <cell r="C264" t="str">
            <v>PEON</v>
          </cell>
          <cell r="D264">
            <v>337.98</v>
          </cell>
        </row>
        <row r="265">
          <cell r="A265">
            <v>4631</v>
          </cell>
          <cell r="B265" t="str">
            <v>LOPEZ MATA FRANCISCO JAVIER</v>
          </cell>
          <cell r="C265" t="str">
            <v>PEON</v>
          </cell>
          <cell r="D265">
            <v>307.25</v>
          </cell>
        </row>
        <row r="266">
          <cell r="A266">
            <v>4636</v>
          </cell>
          <cell r="B266" t="str">
            <v>VERA CAMACHO VALENTIN</v>
          </cell>
          <cell r="C266" t="str">
            <v>PEON</v>
          </cell>
          <cell r="D266">
            <v>337.98</v>
          </cell>
        </row>
        <row r="267">
          <cell r="A267">
            <v>4639</v>
          </cell>
          <cell r="B267" t="str">
            <v>SALINAS ENRÍQUEZ SABINO DANIEL</v>
          </cell>
          <cell r="C267" t="str">
            <v>PEON</v>
          </cell>
          <cell r="D267">
            <v>337.98</v>
          </cell>
        </row>
        <row r="268">
          <cell r="A268">
            <v>4640</v>
          </cell>
          <cell r="B268" t="str">
            <v>DE LOS SANTOS GENTIL MAURICIO</v>
          </cell>
          <cell r="C268" t="str">
            <v>PEON</v>
          </cell>
          <cell r="D268">
            <v>337.98</v>
          </cell>
        </row>
        <row r="269">
          <cell r="A269">
            <v>4641</v>
          </cell>
          <cell r="B269" t="str">
            <v>GONZALEZ SOLANO MONICO OMAR</v>
          </cell>
          <cell r="C269" t="str">
            <v>PEON</v>
          </cell>
          <cell r="D269">
            <v>337.98</v>
          </cell>
        </row>
        <row r="270">
          <cell r="A270">
            <v>4644</v>
          </cell>
          <cell r="B270" t="str">
            <v>CASTELLON LOPEZ LUIS MANUEL</v>
          </cell>
          <cell r="C270" t="str">
            <v>PEON</v>
          </cell>
          <cell r="D270">
            <v>337.98</v>
          </cell>
        </row>
        <row r="271">
          <cell r="A271">
            <v>4645</v>
          </cell>
          <cell r="B271" t="str">
            <v>CORTEZ SANTOS EDGAR IVAN</v>
          </cell>
          <cell r="C271" t="str">
            <v>PEON</v>
          </cell>
          <cell r="D271">
            <v>337.98</v>
          </cell>
        </row>
        <row r="272">
          <cell r="A272">
            <v>4652</v>
          </cell>
          <cell r="B272" t="str">
            <v>CORDOVA GARCIA ALEJANDRO FILEMON</v>
          </cell>
          <cell r="C272" t="str">
            <v>PEON</v>
          </cell>
          <cell r="D272">
            <v>337.98</v>
          </cell>
        </row>
        <row r="273">
          <cell r="A273">
            <v>4653</v>
          </cell>
          <cell r="B273" t="str">
            <v>IBARRA LOPEZ RODOLFO</v>
          </cell>
          <cell r="C273" t="str">
            <v>PEON</v>
          </cell>
          <cell r="D273">
            <v>337.98</v>
          </cell>
        </row>
        <row r="274">
          <cell r="A274">
            <v>4656</v>
          </cell>
          <cell r="B274" t="str">
            <v>APARICIO LAMAS JOSE GUADALUPE</v>
          </cell>
          <cell r="C274" t="str">
            <v>PEON</v>
          </cell>
          <cell r="D274">
            <v>337.98</v>
          </cell>
        </row>
        <row r="275">
          <cell r="A275">
            <v>4657</v>
          </cell>
          <cell r="B275" t="str">
            <v>RODRIGUEZ TAPIA ROCIO ELIZABETH</v>
          </cell>
          <cell r="C275" t="str">
            <v>ASEO</v>
          </cell>
          <cell r="D275">
            <v>391.33</v>
          </cell>
        </row>
        <row r="276">
          <cell r="A276">
            <v>4659</v>
          </cell>
          <cell r="B276" t="str">
            <v>LOMELÍ MADRIGAL MANUEL EDUARDO</v>
          </cell>
          <cell r="C276" t="str">
            <v>PEON</v>
          </cell>
          <cell r="D276">
            <v>337.98</v>
          </cell>
        </row>
        <row r="277">
          <cell r="A277">
            <v>4660</v>
          </cell>
          <cell r="B277" t="str">
            <v>DÁVALOS ROCHA CARLOS</v>
          </cell>
          <cell r="C277" t="str">
            <v>OF</v>
          </cell>
          <cell r="D277">
            <v>608.38</v>
          </cell>
        </row>
        <row r="278">
          <cell r="A278">
            <v>4662</v>
          </cell>
          <cell r="B278" t="str">
            <v>SANCHEZ ALCALA JOSE CARLOS</v>
          </cell>
          <cell r="C278" t="str">
            <v>PEON</v>
          </cell>
          <cell r="D278">
            <v>337.98</v>
          </cell>
        </row>
        <row r="279">
          <cell r="A279">
            <v>4665</v>
          </cell>
          <cell r="B279" t="str">
            <v>HERNANDEZ HERNANDEZ JONATHAN</v>
          </cell>
          <cell r="C279" t="str">
            <v>PEON</v>
          </cell>
          <cell r="D279">
            <v>337.98</v>
          </cell>
        </row>
        <row r="280">
          <cell r="A280">
            <v>4669</v>
          </cell>
          <cell r="B280" t="str">
            <v>VELAZQUEZ BARRIOS JORGE</v>
          </cell>
          <cell r="C280" t="str">
            <v>PEON</v>
          </cell>
          <cell r="D280">
            <v>337.98</v>
          </cell>
        </row>
        <row r="281">
          <cell r="A281">
            <v>4671</v>
          </cell>
          <cell r="B281" t="str">
            <v>MARTINEZ JACOBO JOSE LUIS</v>
          </cell>
          <cell r="C281" t="str">
            <v>PEON</v>
          </cell>
          <cell r="D281">
            <v>337.98</v>
          </cell>
        </row>
        <row r="282">
          <cell r="A282">
            <v>4672</v>
          </cell>
          <cell r="B282" t="str">
            <v>LOPEZ PADILLA JUAN PABLO</v>
          </cell>
          <cell r="C282" t="str">
            <v>PEON</v>
          </cell>
          <cell r="D282">
            <v>337.98</v>
          </cell>
        </row>
        <row r="283">
          <cell r="A283">
            <v>4674</v>
          </cell>
          <cell r="B283" t="str">
            <v>VEGA GUZMAN JOSE MANUEL</v>
          </cell>
          <cell r="C283" t="str">
            <v>PEON</v>
          </cell>
          <cell r="D283">
            <v>337.98</v>
          </cell>
        </row>
        <row r="284">
          <cell r="A284">
            <v>4675</v>
          </cell>
          <cell r="B284" t="str">
            <v>FLORES PATRICIO CESAR ANTONIO</v>
          </cell>
          <cell r="C284" t="str">
            <v>PEON</v>
          </cell>
          <cell r="D284">
            <v>337.98</v>
          </cell>
        </row>
        <row r="285">
          <cell r="A285">
            <v>4677</v>
          </cell>
          <cell r="B285" t="str">
            <v>GONZALEZ NAVARRO LUIS FERNANDO</v>
          </cell>
          <cell r="C285" t="str">
            <v>PEON</v>
          </cell>
          <cell r="D285">
            <v>337.98</v>
          </cell>
        </row>
        <row r="286">
          <cell r="A286">
            <v>4678</v>
          </cell>
          <cell r="B286" t="str">
            <v>RANGEL VARGAS MANUEL</v>
          </cell>
          <cell r="C286" t="str">
            <v>PEON</v>
          </cell>
          <cell r="D286">
            <v>337.98</v>
          </cell>
        </row>
        <row r="287">
          <cell r="A287">
            <v>4679</v>
          </cell>
          <cell r="B287" t="str">
            <v>SILVA PALOMERA HÉCTOR FABIÁN</v>
          </cell>
          <cell r="C287" t="str">
            <v>PEON</v>
          </cell>
          <cell r="D287">
            <v>337.98</v>
          </cell>
        </row>
        <row r="288">
          <cell r="A288">
            <v>4680</v>
          </cell>
          <cell r="B288" t="str">
            <v>CORDOVA CANDELARIO JOSE ENRIQUE</v>
          </cell>
          <cell r="C288" t="str">
            <v>PEON</v>
          </cell>
          <cell r="D288">
            <v>337.98</v>
          </cell>
        </row>
        <row r="289">
          <cell r="A289">
            <v>4685</v>
          </cell>
          <cell r="B289" t="str">
            <v>ZAMORA JIMENEZ JOSE DE JESUS</v>
          </cell>
          <cell r="C289" t="str">
            <v>PEON</v>
          </cell>
          <cell r="D289">
            <v>337.98</v>
          </cell>
        </row>
        <row r="290">
          <cell r="A290">
            <v>4686</v>
          </cell>
          <cell r="B290" t="str">
            <v>TORRES DANIEL VICTOR MANUEL</v>
          </cell>
          <cell r="C290" t="str">
            <v>PEON</v>
          </cell>
          <cell r="D290">
            <v>337.98</v>
          </cell>
        </row>
        <row r="291">
          <cell r="A291">
            <v>4687</v>
          </cell>
          <cell r="B291" t="str">
            <v>RUBIO FLORES JOSE ANGEL</v>
          </cell>
          <cell r="C291" t="str">
            <v>PEON</v>
          </cell>
          <cell r="D291">
            <v>337.98</v>
          </cell>
        </row>
        <row r="292">
          <cell r="A292">
            <v>4691</v>
          </cell>
          <cell r="B292" t="str">
            <v>MELCHOR ROBLES HECTOR ANDRES</v>
          </cell>
          <cell r="C292" t="str">
            <v>PINTOR</v>
          </cell>
          <cell r="D292">
            <v>608.38</v>
          </cell>
        </row>
        <row r="293">
          <cell r="A293">
            <v>4692</v>
          </cell>
          <cell r="B293" t="str">
            <v>GUILLEN LOPEZ JOSE ANTONIO</v>
          </cell>
          <cell r="C293" t="str">
            <v>PEON</v>
          </cell>
          <cell r="D293">
            <v>337.98</v>
          </cell>
        </row>
        <row r="294">
          <cell r="A294">
            <v>4693</v>
          </cell>
          <cell r="B294" t="str">
            <v>DELGADO MEDINA LUIS ALBERTO</v>
          </cell>
          <cell r="C294" t="str">
            <v>OF</v>
          </cell>
          <cell r="D294">
            <v>608.38</v>
          </cell>
        </row>
        <row r="295">
          <cell r="A295">
            <v>4695</v>
          </cell>
          <cell r="B295" t="str">
            <v>GODINEZ JIMENEZ SALVADOR</v>
          </cell>
          <cell r="C295" t="str">
            <v>PEON</v>
          </cell>
          <cell r="D295">
            <v>337.98</v>
          </cell>
        </row>
        <row r="296">
          <cell r="A296">
            <v>4696</v>
          </cell>
          <cell r="B296" t="str">
            <v>GONZALEZ MORA JOSE MANUEL</v>
          </cell>
          <cell r="C296" t="str">
            <v>PEON</v>
          </cell>
          <cell r="D296">
            <v>337.98</v>
          </cell>
        </row>
        <row r="297">
          <cell r="A297">
            <v>4701</v>
          </cell>
          <cell r="B297" t="str">
            <v>TORRES VEGA JUAN CARLOS</v>
          </cell>
          <cell r="C297" t="str">
            <v>PEON</v>
          </cell>
          <cell r="D297">
            <v>337.98</v>
          </cell>
        </row>
        <row r="298">
          <cell r="A298">
            <v>4702</v>
          </cell>
          <cell r="B298" t="str">
            <v>MARTINEZ GOMEZ JOSE CRISTIAN</v>
          </cell>
          <cell r="C298" t="str">
            <v>PEON</v>
          </cell>
          <cell r="D298">
            <v>337.98</v>
          </cell>
        </row>
        <row r="299">
          <cell r="A299">
            <v>4704</v>
          </cell>
          <cell r="B299" t="str">
            <v>ROCHA MICHEL OSCAR MARTIN</v>
          </cell>
          <cell r="C299" t="str">
            <v>PEON</v>
          </cell>
          <cell r="D299">
            <v>337.98</v>
          </cell>
        </row>
        <row r="300">
          <cell r="A300">
            <v>4705</v>
          </cell>
          <cell r="B300" t="str">
            <v>YAÑEZ DE LA CRUZ JOSE JUAN</v>
          </cell>
          <cell r="C300" t="str">
            <v>PEON</v>
          </cell>
          <cell r="D300">
            <v>337.98</v>
          </cell>
        </row>
        <row r="301">
          <cell r="A301">
            <v>4706</v>
          </cell>
          <cell r="B301" t="str">
            <v>MARIN LOPEZ MARCOS MANUEL</v>
          </cell>
          <cell r="C301" t="str">
            <v>PEON</v>
          </cell>
          <cell r="D301">
            <v>337.98</v>
          </cell>
        </row>
        <row r="302">
          <cell r="A302">
            <v>4707</v>
          </cell>
          <cell r="B302" t="str">
            <v>VALLE MORA DANIEL</v>
          </cell>
          <cell r="C302" t="str">
            <v>PEON</v>
          </cell>
          <cell r="D302">
            <v>337.98</v>
          </cell>
        </row>
        <row r="303">
          <cell r="A303">
            <v>4708</v>
          </cell>
          <cell r="B303" t="str">
            <v>REYNAGA RITO SONIA</v>
          </cell>
          <cell r="C303" t="str">
            <v>ASEO</v>
          </cell>
          <cell r="D303">
            <v>441.38</v>
          </cell>
        </row>
        <row r="304">
          <cell r="A304">
            <v>4709</v>
          </cell>
          <cell r="B304" t="str">
            <v>AVALOS VAZQUEZ PABLO ALBERTO</v>
          </cell>
          <cell r="C304" t="str">
            <v>PEON</v>
          </cell>
          <cell r="D304">
            <v>337.98</v>
          </cell>
        </row>
        <row r="305">
          <cell r="A305">
            <v>4710</v>
          </cell>
          <cell r="B305" t="str">
            <v>ENRIQUEZ DOMINGUEZ JOSUE DAVID</v>
          </cell>
          <cell r="C305" t="str">
            <v>PEON</v>
          </cell>
          <cell r="D305">
            <v>337.98</v>
          </cell>
        </row>
        <row r="306">
          <cell r="A306">
            <v>4711</v>
          </cell>
          <cell r="B306" t="str">
            <v>VILLAVICENCIO CASTAÑEDA DIEGO</v>
          </cell>
          <cell r="C306" t="str">
            <v>PEON</v>
          </cell>
          <cell r="D306">
            <v>337.98</v>
          </cell>
        </row>
        <row r="307">
          <cell r="A307">
            <v>4712</v>
          </cell>
          <cell r="B307" t="str">
            <v>FLORES DIAZ SERGIO</v>
          </cell>
          <cell r="C307" t="str">
            <v>PEON</v>
          </cell>
          <cell r="D307">
            <v>337.98</v>
          </cell>
        </row>
        <row r="308">
          <cell r="A308">
            <v>4713</v>
          </cell>
          <cell r="B308" t="str">
            <v>RODRIGUEZ GARZA ROSENDO</v>
          </cell>
          <cell r="C308" t="str">
            <v>OF</v>
          </cell>
          <cell r="D308">
            <v>608.38</v>
          </cell>
        </row>
        <row r="309">
          <cell r="A309">
            <v>4714</v>
          </cell>
          <cell r="B309" t="str">
            <v>MALDONADO ORTEGA LUIS GERARDO</v>
          </cell>
          <cell r="C309" t="str">
            <v>PEON</v>
          </cell>
          <cell r="D309">
            <v>337.98</v>
          </cell>
        </row>
        <row r="310">
          <cell r="A310">
            <v>4715</v>
          </cell>
          <cell r="B310" t="str">
            <v>CABRAL MARTINEZ OSCAR MARTIN</v>
          </cell>
          <cell r="C310" t="str">
            <v>PEON</v>
          </cell>
          <cell r="D310">
            <v>337.98</v>
          </cell>
        </row>
        <row r="311">
          <cell r="A311">
            <v>4716</v>
          </cell>
          <cell r="B311" t="str">
            <v>CONTRERAS CHAVEZ MARIO ARMANDO</v>
          </cell>
          <cell r="C311" t="str">
            <v>PEON</v>
          </cell>
          <cell r="D311">
            <v>337.98</v>
          </cell>
        </row>
        <row r="312">
          <cell r="A312">
            <v>4717</v>
          </cell>
          <cell r="B312" t="str">
            <v>MORALES MUÑOZ OSWALDO RUBEN</v>
          </cell>
          <cell r="C312" t="str">
            <v>PINTOR</v>
          </cell>
          <cell r="D312">
            <v>608.38</v>
          </cell>
        </row>
        <row r="313">
          <cell r="A313">
            <v>4718</v>
          </cell>
          <cell r="B313" t="str">
            <v>MONTELONGO ESPINOZA HERIBERTO</v>
          </cell>
          <cell r="C313" t="str">
            <v>PEON</v>
          </cell>
          <cell r="D313">
            <v>337.98</v>
          </cell>
        </row>
        <row r="314">
          <cell r="A314">
            <v>4719</v>
          </cell>
          <cell r="B314" t="str">
            <v>VALLEJO MENDOZA JOSE LUIS</v>
          </cell>
          <cell r="C314" t="str">
            <v>PEON</v>
          </cell>
          <cell r="D314">
            <v>337.98</v>
          </cell>
        </row>
        <row r="315">
          <cell r="A315">
            <v>4720</v>
          </cell>
          <cell r="B315" t="str">
            <v>CRUZ CABRERA RICARDO</v>
          </cell>
          <cell r="C315" t="str">
            <v>PEON</v>
          </cell>
          <cell r="D315">
            <v>383.4</v>
          </cell>
        </row>
        <row r="316">
          <cell r="A316">
            <v>4721</v>
          </cell>
          <cell r="B316" t="str">
            <v>CLARO GONZALEZ JUAN MANUEL</v>
          </cell>
          <cell r="C316" t="str">
            <v>PEON</v>
          </cell>
          <cell r="D316">
            <v>337.98</v>
          </cell>
        </row>
        <row r="317">
          <cell r="A317">
            <v>4724</v>
          </cell>
          <cell r="B317" t="str">
            <v>TOSCANO HERNANDEZ SERGIO DAVID</v>
          </cell>
          <cell r="C317" t="str">
            <v>PEON</v>
          </cell>
          <cell r="D317">
            <v>337.98</v>
          </cell>
        </row>
        <row r="318">
          <cell r="A318">
            <v>4725</v>
          </cell>
          <cell r="B318" t="str">
            <v>FRAIDE BELTRAN JUAN JOSE</v>
          </cell>
          <cell r="C318" t="str">
            <v>PEON</v>
          </cell>
          <cell r="D318">
            <v>337.98</v>
          </cell>
        </row>
        <row r="319">
          <cell r="A319">
            <v>4726</v>
          </cell>
          <cell r="B319" t="str">
            <v>DELGADILLO GUZMAN JORGE DIEGO</v>
          </cell>
          <cell r="C319" t="str">
            <v>PEON</v>
          </cell>
          <cell r="D319">
            <v>337.98</v>
          </cell>
        </row>
        <row r="320">
          <cell r="A320">
            <v>4727</v>
          </cell>
          <cell r="B320" t="str">
            <v>GARCÍA PONCIANO JOEL ANDRÉS</v>
          </cell>
          <cell r="C320" t="str">
            <v>PEON</v>
          </cell>
          <cell r="D320">
            <v>337.98</v>
          </cell>
        </row>
        <row r="321">
          <cell r="A321">
            <v>4731</v>
          </cell>
          <cell r="B321" t="str">
            <v>MEZA TORRES CESAR SANTIAGO</v>
          </cell>
          <cell r="C321" t="str">
            <v>PEON</v>
          </cell>
          <cell r="D321">
            <v>337.98</v>
          </cell>
        </row>
        <row r="322">
          <cell r="A322">
            <v>4732</v>
          </cell>
          <cell r="B322" t="str">
            <v>GONZALEZ QUINTERO ROBERTO CARLOS</v>
          </cell>
          <cell r="C322" t="str">
            <v>PEON</v>
          </cell>
          <cell r="D322">
            <v>337.98</v>
          </cell>
        </row>
        <row r="323">
          <cell r="A323">
            <v>4733</v>
          </cell>
          <cell r="B323" t="str">
            <v>ROMERO LOPEZ JONATHAN ISRAEL</v>
          </cell>
          <cell r="C323" t="str">
            <v>PEON</v>
          </cell>
          <cell r="D323">
            <v>337.98</v>
          </cell>
        </row>
        <row r="324">
          <cell r="A324">
            <v>4736</v>
          </cell>
          <cell r="B324" t="str">
            <v>ZUÑIGA VELAZQUEZ DAGOBERTO</v>
          </cell>
          <cell r="C324" t="str">
            <v>PEON</v>
          </cell>
          <cell r="D324">
            <v>337.98</v>
          </cell>
        </row>
        <row r="325">
          <cell r="A325">
            <v>4737</v>
          </cell>
          <cell r="B325" t="str">
            <v>GUTIERREZ MENDOZA DIEGO ARTURO</v>
          </cell>
          <cell r="C325" t="str">
            <v>PEON</v>
          </cell>
          <cell r="D325">
            <v>337.98</v>
          </cell>
        </row>
        <row r="326">
          <cell r="A326">
            <v>4738</v>
          </cell>
          <cell r="B326" t="str">
            <v>SAUCEDO SALINAS SERGIO ALBERTO</v>
          </cell>
          <cell r="C326" t="str">
            <v>PEON</v>
          </cell>
          <cell r="D326">
            <v>337.98</v>
          </cell>
        </row>
        <row r="327">
          <cell r="A327">
            <v>4740</v>
          </cell>
          <cell r="B327" t="str">
            <v>RODRIGUEZ RAMOS EDGAR ISAAC</v>
          </cell>
          <cell r="C327" t="str">
            <v>PEON</v>
          </cell>
          <cell r="D327">
            <v>337.98</v>
          </cell>
        </row>
        <row r="328">
          <cell r="A328">
            <v>4742</v>
          </cell>
          <cell r="B328" t="str">
            <v>HERNANDEZ CURIEL SALVADOR</v>
          </cell>
          <cell r="C328" t="str">
            <v>PEON</v>
          </cell>
          <cell r="D328">
            <v>337.98</v>
          </cell>
        </row>
        <row r="329">
          <cell r="A329">
            <v>4748</v>
          </cell>
          <cell r="B329" t="str">
            <v>SALAZAR GARCÍA FLAVIO CÉSAR</v>
          </cell>
          <cell r="C329" t="str">
            <v>OF</v>
          </cell>
          <cell r="D329">
            <v>608.38</v>
          </cell>
        </row>
        <row r="330">
          <cell r="A330">
            <v>4749</v>
          </cell>
          <cell r="B330" t="str">
            <v>REYNA SANCHEZ JORGE</v>
          </cell>
          <cell r="C330" t="str">
            <v>OF</v>
          </cell>
          <cell r="D330">
            <v>608.38</v>
          </cell>
          <cell r="F330"/>
        </row>
        <row r="331">
          <cell r="A331">
            <v>4750</v>
          </cell>
          <cell r="B331" t="str">
            <v>DIAZ IBARRA JUAN JOSE</v>
          </cell>
          <cell r="C331" t="str">
            <v>PEON</v>
          </cell>
          <cell r="D331">
            <v>337.98</v>
          </cell>
        </row>
        <row r="332">
          <cell r="A332">
            <v>4751</v>
          </cell>
          <cell r="B332" t="str">
            <v>GARZA MAGALLANES DANIEL</v>
          </cell>
          <cell r="C332" t="str">
            <v>OF</v>
          </cell>
          <cell r="D332">
            <v>608.38</v>
          </cell>
        </row>
        <row r="333">
          <cell r="A333">
            <v>4752</v>
          </cell>
          <cell r="B333" t="str">
            <v xml:space="preserve">RODRIGUEZ MALTA JULIO CESAR </v>
          </cell>
          <cell r="C333" t="str">
            <v>PEON</v>
          </cell>
          <cell r="D333">
            <v>337.98</v>
          </cell>
        </row>
        <row r="334">
          <cell r="A334">
            <v>4753</v>
          </cell>
          <cell r="B334" t="str">
            <v>VAZQUEZ CISNEROS FRANCISCO</v>
          </cell>
          <cell r="C334" t="str">
            <v>PEON</v>
          </cell>
          <cell r="D334">
            <v>337.98</v>
          </cell>
        </row>
        <row r="335">
          <cell r="A335">
            <v>4754</v>
          </cell>
          <cell r="B335" t="str">
            <v>ALBA REYES JOSE DE JESUS</v>
          </cell>
          <cell r="C335" t="str">
            <v>OF</v>
          </cell>
          <cell r="D335">
            <v>608.38</v>
          </cell>
        </row>
        <row r="336">
          <cell r="A336">
            <v>4755</v>
          </cell>
          <cell r="B336" t="str">
            <v>FLORES ALBA JOSÉ DARIEL</v>
          </cell>
          <cell r="C336" t="str">
            <v>PEON</v>
          </cell>
          <cell r="D336">
            <v>337.98</v>
          </cell>
        </row>
        <row r="337">
          <cell r="A337">
            <v>4756</v>
          </cell>
          <cell r="B337" t="str">
            <v>ROBLES RUVALCABA MARTÍN ISMAEL</v>
          </cell>
          <cell r="C337" t="str">
            <v>PEON</v>
          </cell>
          <cell r="D337">
            <v>337.98</v>
          </cell>
        </row>
        <row r="338">
          <cell r="A338">
            <v>4757</v>
          </cell>
          <cell r="B338" t="str">
            <v xml:space="preserve">TELLO PÉREZ ARMANDO ABRAHAM </v>
          </cell>
          <cell r="C338" t="str">
            <v>PEON</v>
          </cell>
          <cell r="D338">
            <v>337.98</v>
          </cell>
        </row>
        <row r="339">
          <cell r="A339">
            <v>4759</v>
          </cell>
          <cell r="B339" t="str">
            <v>DELGADO AVIÑA JOSÉ GUADALUPE</v>
          </cell>
          <cell r="C339" t="str">
            <v>PEON</v>
          </cell>
          <cell r="D339">
            <v>337.98</v>
          </cell>
        </row>
        <row r="340">
          <cell r="A340">
            <v>4760</v>
          </cell>
          <cell r="B340" t="str">
            <v>AGUIRRE VELAZQUEZ JAVIER</v>
          </cell>
          <cell r="C340" t="str">
            <v>PEON</v>
          </cell>
          <cell r="D340">
            <v>337.98</v>
          </cell>
        </row>
        <row r="341">
          <cell r="A341">
            <v>4761</v>
          </cell>
          <cell r="B341" t="str">
            <v>LOPEZ RAMIREZ JORGE ALONSO</v>
          </cell>
          <cell r="C341" t="str">
            <v>PEON</v>
          </cell>
          <cell r="D341">
            <v>337.98</v>
          </cell>
        </row>
        <row r="342">
          <cell r="A342">
            <v>4762</v>
          </cell>
          <cell r="B342" t="str">
            <v>REYES BRAVO MIGUEL ANGEL</v>
          </cell>
          <cell r="C342" t="str">
            <v>PEON</v>
          </cell>
          <cell r="D342">
            <v>337.98</v>
          </cell>
        </row>
        <row r="343">
          <cell r="A343">
            <v>4763</v>
          </cell>
          <cell r="B343" t="str">
            <v>GARCÍA CASTRO JESÚS ANTONIO</v>
          </cell>
          <cell r="C343" t="str">
            <v>PEON</v>
          </cell>
          <cell r="D343">
            <v>337.98</v>
          </cell>
        </row>
        <row r="344">
          <cell r="A344">
            <v>4764</v>
          </cell>
          <cell r="B344" t="str">
            <v>HERNÁNDEZ GARCÍA LUIS ALFONSO</v>
          </cell>
          <cell r="C344" t="str">
            <v>PEON</v>
          </cell>
          <cell r="D344">
            <v>337.98</v>
          </cell>
        </row>
        <row r="345">
          <cell r="A345">
            <v>4765</v>
          </cell>
          <cell r="B345" t="str">
            <v>GARIBAY RUELAS JOSÉ MANUEL</v>
          </cell>
          <cell r="C345" t="str">
            <v>PEON</v>
          </cell>
          <cell r="D345">
            <v>337.98</v>
          </cell>
        </row>
        <row r="346">
          <cell r="A346">
            <v>4767</v>
          </cell>
          <cell r="B346" t="str">
            <v>PAZ VILLANUEVA BRANDON ÓMAR</v>
          </cell>
          <cell r="C346" t="str">
            <v>PEON</v>
          </cell>
          <cell r="D346">
            <v>337.98</v>
          </cell>
        </row>
        <row r="347">
          <cell r="A347">
            <v>4768</v>
          </cell>
          <cell r="B347" t="str">
            <v>RAMOS RODRIGUEZ SAUL ALEJANDRO</v>
          </cell>
          <cell r="C347" t="str">
            <v>PEON</v>
          </cell>
          <cell r="D347">
            <v>337.98</v>
          </cell>
        </row>
        <row r="348">
          <cell r="A348">
            <v>4769</v>
          </cell>
          <cell r="B348" t="str">
            <v>GUERRERO LÓPEZ LEONARDO DANIEL</v>
          </cell>
          <cell r="C348" t="str">
            <v>PEON</v>
          </cell>
          <cell r="D348">
            <v>337.98</v>
          </cell>
        </row>
        <row r="349">
          <cell r="A349">
            <v>4770</v>
          </cell>
          <cell r="B349" t="str">
            <v>BIZARRO XILONZOCHITL MAURICIO JORDÁN</v>
          </cell>
          <cell r="C349" t="str">
            <v>PEON</v>
          </cell>
          <cell r="D349">
            <v>337.98</v>
          </cell>
        </row>
        <row r="350">
          <cell r="A350">
            <v>4771</v>
          </cell>
          <cell r="B350" t="str">
            <v>TORRES BAÑUELOS DIEGO SALATIEL</v>
          </cell>
          <cell r="C350" t="str">
            <v>PEON</v>
          </cell>
          <cell r="D350">
            <v>337.98</v>
          </cell>
        </row>
        <row r="351">
          <cell r="A351">
            <v>4772</v>
          </cell>
          <cell r="B351" t="str">
            <v>MEDINA ALVARADO SERGIO IVÁN</v>
          </cell>
          <cell r="C351" t="str">
            <v>PEON</v>
          </cell>
          <cell r="D351">
            <v>337.98</v>
          </cell>
        </row>
        <row r="352">
          <cell r="A352">
            <v>4773</v>
          </cell>
          <cell r="B352" t="str">
            <v>MEZA NAVARRO ALEXIS RAMIRO</v>
          </cell>
          <cell r="C352" t="str">
            <v>PEON</v>
          </cell>
          <cell r="D352">
            <v>337.98</v>
          </cell>
        </row>
        <row r="353">
          <cell r="A353">
            <v>4774</v>
          </cell>
          <cell r="B353" t="str">
            <v>SALVADOR LEÓN JOSÉ ALFREDO</v>
          </cell>
          <cell r="C353" t="str">
            <v>PEON</v>
          </cell>
          <cell r="D353">
            <v>337.98</v>
          </cell>
        </row>
        <row r="354">
          <cell r="A354">
            <v>4775</v>
          </cell>
          <cell r="B354" t="str">
            <v>MORA JIMÉNEZ JOSUÉ</v>
          </cell>
          <cell r="C354" t="str">
            <v>PEON</v>
          </cell>
          <cell r="D354">
            <v>337.98</v>
          </cell>
        </row>
        <row r="355">
          <cell r="A355">
            <v>4776</v>
          </cell>
          <cell r="B355" t="str">
            <v>PÉREZ MARES JONATAN GUSTAVO</v>
          </cell>
          <cell r="C355" t="str">
            <v>PEON</v>
          </cell>
          <cell r="D355">
            <v>337.98</v>
          </cell>
        </row>
        <row r="356">
          <cell r="A356">
            <v>4777</v>
          </cell>
          <cell r="B356" t="str">
            <v>MEJÍA NAVARRO EMMANUEL</v>
          </cell>
          <cell r="C356" t="str">
            <v>PEON</v>
          </cell>
          <cell r="D356">
            <v>337.98</v>
          </cell>
        </row>
        <row r="357">
          <cell r="A357">
            <v>4778</v>
          </cell>
          <cell r="B357" t="str">
            <v>RODRÍGUEZ AYALA FERNANDO DE JESÚS</v>
          </cell>
          <cell r="C357" t="str">
            <v>PEON</v>
          </cell>
          <cell r="D357">
            <v>337.98</v>
          </cell>
        </row>
        <row r="358">
          <cell r="A358">
            <v>4779</v>
          </cell>
          <cell r="B358" t="str">
            <v>HERNÁNDEZ HUERTA LUIS ÁNGEL</v>
          </cell>
          <cell r="C358" t="str">
            <v>PEON</v>
          </cell>
          <cell r="D358">
            <v>337.98</v>
          </cell>
        </row>
        <row r="359">
          <cell r="A359">
            <v>4780</v>
          </cell>
          <cell r="B359" t="str">
            <v>VÁZQUEZ MARTÍNEZ CRISTOFER DE JESÚS</v>
          </cell>
          <cell r="C359" t="str">
            <v>PEON</v>
          </cell>
          <cell r="D359">
            <v>337.98</v>
          </cell>
        </row>
        <row r="360">
          <cell r="A360">
            <v>4781</v>
          </cell>
          <cell r="B360" t="str">
            <v>VEGA AGUIRRE ABRAHAM</v>
          </cell>
          <cell r="C360" t="str">
            <v>PEON</v>
          </cell>
          <cell r="D360">
            <v>337.98</v>
          </cell>
        </row>
        <row r="361">
          <cell r="A361">
            <v>4782</v>
          </cell>
          <cell r="B361" t="str">
            <v>RAMÍREZ VILLA FRANCISCO JAVIER</v>
          </cell>
          <cell r="C361" t="str">
            <v>PEON</v>
          </cell>
          <cell r="D361">
            <v>337.98</v>
          </cell>
        </row>
        <row r="362">
          <cell r="A362">
            <v>4783</v>
          </cell>
          <cell r="B362" t="str">
            <v>GONZÁLEZ CAMPOS ÓSCAR IVÁN</v>
          </cell>
          <cell r="C362" t="str">
            <v>PEON</v>
          </cell>
          <cell r="D362">
            <v>337.98</v>
          </cell>
        </row>
        <row r="363">
          <cell r="A363">
            <v>4784</v>
          </cell>
          <cell r="B363" t="str">
            <v>RODRÍGUEZ HERNÁNDEZ CARLOS OMAR</v>
          </cell>
          <cell r="C363" t="str">
            <v>PEON</v>
          </cell>
          <cell r="D363">
            <v>337.98</v>
          </cell>
        </row>
        <row r="364">
          <cell r="A364">
            <v>4785</v>
          </cell>
          <cell r="B364" t="str">
            <v>GARCÍA GARCÍA ELVIS RAUL</v>
          </cell>
          <cell r="C364" t="str">
            <v>PEON</v>
          </cell>
          <cell r="D364">
            <v>337.98</v>
          </cell>
        </row>
        <row r="365">
          <cell r="A365">
            <v>4787</v>
          </cell>
          <cell r="B365" t="str">
            <v>ESPINOZA LÓPEZ JONATHAN ARATH</v>
          </cell>
          <cell r="C365" t="str">
            <v>PEON</v>
          </cell>
          <cell r="D365">
            <v>337.98</v>
          </cell>
        </row>
        <row r="366">
          <cell r="A366">
            <v>4788</v>
          </cell>
          <cell r="B366" t="str">
            <v>SAUCEDO FLORES LUIS ENRIQUE</v>
          </cell>
          <cell r="C366" t="str">
            <v>OF</v>
          </cell>
          <cell r="D366">
            <v>608.38</v>
          </cell>
        </row>
        <row r="367">
          <cell r="A367">
            <v>4789</v>
          </cell>
          <cell r="B367" t="str">
            <v>MEJÍA ARÍAS HUGO ALONSO</v>
          </cell>
          <cell r="C367" t="str">
            <v>PEON</v>
          </cell>
          <cell r="D367">
            <v>337.98</v>
          </cell>
        </row>
        <row r="368">
          <cell r="A368">
            <v>4790</v>
          </cell>
          <cell r="B368" t="str">
            <v>CASTILLO OCHOA JESÚS ALONSO</v>
          </cell>
          <cell r="C368" t="str">
            <v>PEON</v>
          </cell>
          <cell r="D368">
            <v>337.98</v>
          </cell>
        </row>
        <row r="369">
          <cell r="A369">
            <v>4791</v>
          </cell>
          <cell r="B369" t="str">
            <v>MORA CUEVAS JUAN MANUEL</v>
          </cell>
          <cell r="C369" t="str">
            <v>PEON</v>
          </cell>
          <cell r="D369">
            <v>337.98</v>
          </cell>
        </row>
        <row r="370">
          <cell r="A370">
            <v>4792</v>
          </cell>
          <cell r="B370" t="str">
            <v>RUIZ RICO FRANCISCO JAVIER</v>
          </cell>
          <cell r="C370" t="str">
            <v>PEON</v>
          </cell>
          <cell r="D370">
            <v>337.98</v>
          </cell>
        </row>
        <row r="371">
          <cell r="A371">
            <v>4793</v>
          </cell>
          <cell r="B371" t="str">
            <v>ROBLES GODÍNEZ LUIS JAVIER</v>
          </cell>
          <cell r="C371" t="str">
            <v>PEON</v>
          </cell>
          <cell r="D371">
            <v>337.98</v>
          </cell>
        </row>
        <row r="372">
          <cell r="A372">
            <v>4794</v>
          </cell>
          <cell r="B372" t="str">
            <v>CARBAJAL GALLARDO FRANCISCO</v>
          </cell>
          <cell r="C372" t="str">
            <v>PEON</v>
          </cell>
          <cell r="D372">
            <v>337.98</v>
          </cell>
        </row>
        <row r="373">
          <cell r="A373">
            <v>4795</v>
          </cell>
          <cell r="B373" t="str">
            <v>MORA RAMÍREZ CÉSAR ALEJANDRO</v>
          </cell>
          <cell r="C373" t="str">
            <v>PEON</v>
          </cell>
          <cell r="D373">
            <v>337.98</v>
          </cell>
        </row>
        <row r="374">
          <cell r="A374">
            <v>4796</v>
          </cell>
          <cell r="B374" t="str">
            <v>PRECIADO PARRA HÉCTOR</v>
          </cell>
          <cell r="C374" t="str">
            <v>PEON</v>
          </cell>
          <cell r="D374">
            <v>337.98</v>
          </cell>
        </row>
        <row r="375">
          <cell r="A375">
            <v>4797</v>
          </cell>
          <cell r="B375" t="str">
            <v>ALCALÁ BERNAL JONATHAN OMAR</v>
          </cell>
          <cell r="C375" t="str">
            <v>PEON</v>
          </cell>
          <cell r="D375">
            <v>337.98</v>
          </cell>
        </row>
        <row r="376">
          <cell r="A376">
            <v>4800</v>
          </cell>
          <cell r="B376" t="str">
            <v>LÓPEZ MATA KEVIN EDUARDO</v>
          </cell>
          <cell r="C376" t="str">
            <v>PEON</v>
          </cell>
          <cell r="D376">
            <v>192.77</v>
          </cell>
        </row>
        <row r="377">
          <cell r="A377">
            <v>4801</v>
          </cell>
          <cell r="B377" t="str">
            <v>ZAMORA MARTÍNEZ MIGUEL IGNACIO</v>
          </cell>
          <cell r="C377" t="str">
            <v>PEON</v>
          </cell>
          <cell r="D377">
            <v>337.98</v>
          </cell>
        </row>
        <row r="378">
          <cell r="A378">
            <v>4802</v>
          </cell>
          <cell r="B378" t="str">
            <v>VILLA JAVIER</v>
          </cell>
          <cell r="C378" t="str">
            <v>PEON</v>
          </cell>
          <cell r="D378">
            <v>337.98</v>
          </cell>
        </row>
        <row r="379">
          <cell r="A379">
            <v>4803</v>
          </cell>
          <cell r="B379" t="str">
            <v>GÓMEZ GARCÍA JUAN PABLO</v>
          </cell>
          <cell r="C379" t="str">
            <v>PEON</v>
          </cell>
          <cell r="D379">
            <v>337.98</v>
          </cell>
        </row>
        <row r="380">
          <cell r="A380">
            <v>4804</v>
          </cell>
          <cell r="B380" t="str">
            <v>SAUCEDO FLORES JUAN MANUEL</v>
          </cell>
          <cell r="C380" t="str">
            <v>OF</v>
          </cell>
          <cell r="D380">
            <v>608.38</v>
          </cell>
        </row>
        <row r="381">
          <cell r="A381">
            <v>4805</v>
          </cell>
          <cell r="B381" t="str">
            <v>LOMELÍ MADRIGAL MARCO ANTONIO</v>
          </cell>
          <cell r="C381" t="str">
            <v>PEON</v>
          </cell>
          <cell r="D381">
            <v>337.98</v>
          </cell>
        </row>
        <row r="382">
          <cell r="A382">
            <v>4806</v>
          </cell>
          <cell r="B382" t="str">
            <v>CAMPOS LÓPEZ JESÚS</v>
          </cell>
          <cell r="C382" t="str">
            <v>PEON</v>
          </cell>
          <cell r="D382">
            <v>337.98</v>
          </cell>
        </row>
        <row r="383">
          <cell r="A383">
            <v>4807</v>
          </cell>
          <cell r="B383" t="str">
            <v>RAMÍREZ ROSALES EMILIO</v>
          </cell>
          <cell r="C383" t="str">
            <v>PEON</v>
          </cell>
          <cell r="D383">
            <v>337.98</v>
          </cell>
        </row>
        <row r="384">
          <cell r="A384">
            <v>4808</v>
          </cell>
          <cell r="B384" t="str">
            <v>FLORES MORENO HÉCTOR MANUEL</v>
          </cell>
          <cell r="C384" t="str">
            <v>PEON</v>
          </cell>
          <cell r="D384">
            <v>337.98</v>
          </cell>
        </row>
        <row r="385">
          <cell r="A385">
            <v>4809</v>
          </cell>
          <cell r="B385" t="str">
            <v>SÁNCHEZ MALDONADO JOSÉ LUIS</v>
          </cell>
          <cell r="C385" t="str">
            <v>PEON</v>
          </cell>
          <cell r="D385">
            <v>337.98</v>
          </cell>
        </row>
        <row r="386">
          <cell r="A386">
            <v>4811</v>
          </cell>
          <cell r="B386" t="str">
            <v>RUVALCABA HERNÁNDEZ JESÚS</v>
          </cell>
          <cell r="C386" t="str">
            <v>OF</v>
          </cell>
          <cell r="D386">
            <v>608.38</v>
          </cell>
        </row>
        <row r="387">
          <cell r="A387">
            <v>4812</v>
          </cell>
          <cell r="B387" t="str">
            <v>DÁVALOS FRAGA ÓSCAR ALEJANDRO</v>
          </cell>
          <cell r="C387" t="str">
            <v>OF</v>
          </cell>
          <cell r="D387">
            <v>608.38</v>
          </cell>
        </row>
        <row r="388">
          <cell r="A388">
            <v>4813</v>
          </cell>
          <cell r="B388" t="str">
            <v>DÁVALOS ÁVILA JOSÉ ÁNGEL</v>
          </cell>
          <cell r="C388" t="str">
            <v>OF</v>
          </cell>
          <cell r="D388">
            <v>608.38</v>
          </cell>
        </row>
        <row r="389">
          <cell r="A389">
            <v>4814</v>
          </cell>
          <cell r="B389" t="str">
            <v>CUESTAS RAMÍREZ JOSÉ JESÚS</v>
          </cell>
          <cell r="C389" t="str">
            <v>OF</v>
          </cell>
          <cell r="D389">
            <v>608.38</v>
          </cell>
        </row>
        <row r="390">
          <cell r="A390">
            <v>4815</v>
          </cell>
          <cell r="B390" t="str">
            <v>NÚÑEZ MUÑOZ ESTIVEN RAUDEL</v>
          </cell>
          <cell r="C390" t="str">
            <v>PEON</v>
          </cell>
          <cell r="D390">
            <v>337.98</v>
          </cell>
        </row>
        <row r="391">
          <cell r="A391">
            <v>4816</v>
          </cell>
          <cell r="B391" t="str">
            <v>XILONZÓCHITL SALDAÑA EDUARDO FRANCISCO</v>
          </cell>
          <cell r="C391" t="str">
            <v>PEON</v>
          </cell>
          <cell r="D391">
            <v>337.98</v>
          </cell>
        </row>
        <row r="392">
          <cell r="A392">
            <v>4817</v>
          </cell>
          <cell r="B392" t="str">
            <v>MENDOZA OCAMPO LUIS MANUEL</v>
          </cell>
          <cell r="C392" t="str">
            <v>JARD</v>
          </cell>
          <cell r="D392">
            <v>550</v>
          </cell>
        </row>
        <row r="393">
          <cell r="A393">
            <v>4818</v>
          </cell>
          <cell r="B393" t="str">
            <v>COVARRUBIAS ROMERO ARNULFO ULISES</v>
          </cell>
          <cell r="C393" t="str">
            <v>PEON</v>
          </cell>
          <cell r="D393">
            <v>337.98</v>
          </cell>
        </row>
        <row r="394">
          <cell r="A394">
            <v>4819</v>
          </cell>
          <cell r="B394" t="str">
            <v>SEGURA DÁVALOS CARLOS ALBERTO</v>
          </cell>
          <cell r="C394" t="str">
            <v>PEON</v>
          </cell>
          <cell r="D394">
            <v>337.98</v>
          </cell>
        </row>
        <row r="395">
          <cell r="A395">
            <v>4820</v>
          </cell>
          <cell r="B395" t="str">
            <v>RODRÍGUEZ ROJAS ÓSCAR IVÁN</v>
          </cell>
          <cell r="C395" t="str">
            <v>PEON</v>
          </cell>
          <cell r="D395">
            <v>337.98</v>
          </cell>
        </row>
        <row r="396">
          <cell r="A396">
            <v>4821</v>
          </cell>
          <cell r="B396" t="str">
            <v>OROPEZA BRIONES DAVID ISRAEL</v>
          </cell>
          <cell r="C396" t="str">
            <v>PEON</v>
          </cell>
          <cell r="D396">
            <v>337.98</v>
          </cell>
        </row>
        <row r="397">
          <cell r="A397">
            <v>4823</v>
          </cell>
          <cell r="B397" t="str">
            <v>BERNAL OCEGUEDA ABRAHAM</v>
          </cell>
          <cell r="C397" t="str">
            <v>TOPOGRAFIA</v>
          </cell>
          <cell r="D397">
            <v>745.58</v>
          </cell>
        </row>
        <row r="398">
          <cell r="A398">
            <v>4824</v>
          </cell>
          <cell r="B398" t="str">
            <v>RAUDALES RODRÍGUEZ CRISTIAN BERNARDO</v>
          </cell>
          <cell r="C398" t="str">
            <v>PEON</v>
          </cell>
          <cell r="D398">
            <v>337.98</v>
          </cell>
        </row>
        <row r="399">
          <cell r="A399">
            <v>4825</v>
          </cell>
          <cell r="B399" t="str">
            <v>BELTRÁN LÓPEZ HÉCTOR</v>
          </cell>
          <cell r="C399" t="str">
            <v>PEON</v>
          </cell>
          <cell r="D399">
            <v>337.98</v>
          </cell>
        </row>
        <row r="400">
          <cell r="A400">
            <v>4826</v>
          </cell>
          <cell r="B400" t="str">
            <v>ROMÁN VÁZQUEZ DAVID EMMANUEL</v>
          </cell>
          <cell r="C400" t="str">
            <v>OF</v>
          </cell>
          <cell r="D400">
            <v>608.38</v>
          </cell>
        </row>
        <row r="401">
          <cell r="A401">
            <v>4827</v>
          </cell>
          <cell r="B401" t="str">
            <v>SÁNCHEZ DÍAZ ALEJANDRO</v>
          </cell>
          <cell r="C401" t="str">
            <v>OF</v>
          </cell>
          <cell r="D401">
            <v>608.38</v>
          </cell>
        </row>
        <row r="402">
          <cell r="A402">
            <v>4828</v>
          </cell>
          <cell r="B402" t="str">
            <v>ENRÍQUEZ CARRETERO ÁNGEL EDUARDO</v>
          </cell>
          <cell r="C402" t="str">
            <v>PEON</v>
          </cell>
          <cell r="D402">
            <v>337.98</v>
          </cell>
        </row>
        <row r="403">
          <cell r="A403">
            <v>4829</v>
          </cell>
          <cell r="B403" t="str">
            <v>HURTADO REAL DARIÉN JEAN CARLO</v>
          </cell>
          <cell r="C403" t="str">
            <v>PEON</v>
          </cell>
          <cell r="D403">
            <v>337.98</v>
          </cell>
        </row>
        <row r="404">
          <cell r="A404">
            <v>4830</v>
          </cell>
          <cell r="B404" t="str">
            <v>ENRÍQUEZ DE LOS SANTOS SERGIO</v>
          </cell>
          <cell r="C404" t="str">
            <v>OF</v>
          </cell>
          <cell r="D404">
            <v>608.38</v>
          </cell>
        </row>
        <row r="405">
          <cell r="A405">
            <v>4831</v>
          </cell>
          <cell r="B405" t="str">
            <v>RODRÍGUEZ BRIONES JUAN LUIS</v>
          </cell>
          <cell r="C405" t="str">
            <v>OF</v>
          </cell>
          <cell r="D405">
            <v>608.38</v>
          </cell>
        </row>
        <row r="406">
          <cell r="A406">
            <v>4832</v>
          </cell>
          <cell r="B406" t="str">
            <v xml:space="preserve">FLORES GARCÍA SERGIO </v>
          </cell>
          <cell r="C406" t="str">
            <v>OF</v>
          </cell>
          <cell r="D406">
            <v>608.38</v>
          </cell>
        </row>
        <row r="407">
          <cell r="A407">
            <v>4833</v>
          </cell>
          <cell r="B407" t="str">
            <v>ELVIRA DE LOS SANTOS JUAN FELIPE</v>
          </cell>
          <cell r="C407" t="str">
            <v>OF</v>
          </cell>
          <cell r="D407">
            <v>608.38</v>
          </cell>
        </row>
        <row r="408">
          <cell r="A408">
            <v>4836</v>
          </cell>
          <cell r="B408" t="str">
            <v>DE LA TORRE ROSAS ÓSCAR EDUARDO</v>
          </cell>
          <cell r="C408" t="str">
            <v>PEON</v>
          </cell>
          <cell r="D408">
            <v>337.98</v>
          </cell>
        </row>
        <row r="409">
          <cell r="A409">
            <v>4837</v>
          </cell>
          <cell r="B409" t="str">
            <v xml:space="preserve">ECHEVERRÍA MENDOZA JESÚS OSWALDO </v>
          </cell>
          <cell r="C409" t="str">
            <v>PEON</v>
          </cell>
          <cell r="D409">
            <v>337.98</v>
          </cell>
        </row>
        <row r="410">
          <cell r="A410">
            <v>4838</v>
          </cell>
          <cell r="B410" t="str">
            <v>TRINIDAD TRINIDAD JOSÉ OMAR</v>
          </cell>
          <cell r="C410" t="str">
            <v>OF</v>
          </cell>
          <cell r="D410">
            <v>608.38</v>
          </cell>
        </row>
        <row r="411">
          <cell r="A411">
            <v>4839</v>
          </cell>
          <cell r="B411" t="str">
            <v>GARCÍA HERNÁNDEZ LUIS FERNANDO</v>
          </cell>
          <cell r="C411" t="str">
            <v>PEON</v>
          </cell>
          <cell r="D411">
            <v>337.98</v>
          </cell>
        </row>
        <row r="412">
          <cell r="A412">
            <v>4840</v>
          </cell>
          <cell r="B412" t="str">
            <v>VÁZQUEZ HERNÁNDEZ FRANCISCO SERVANDO</v>
          </cell>
          <cell r="C412" t="str">
            <v>PEON</v>
          </cell>
          <cell r="D412">
            <v>337.98</v>
          </cell>
        </row>
        <row r="413">
          <cell r="A413">
            <v>4841</v>
          </cell>
          <cell r="B413" t="str">
            <v>LÓPEZ HERNÁNDEZ GABRIEL</v>
          </cell>
          <cell r="C413" t="str">
            <v>OF</v>
          </cell>
          <cell r="D413">
            <v>608.38</v>
          </cell>
        </row>
        <row r="414">
          <cell r="A414">
            <v>4842</v>
          </cell>
          <cell r="B414" t="str">
            <v>SOTO SANDOVAL JAIME</v>
          </cell>
          <cell r="C414" t="str">
            <v>OF</v>
          </cell>
          <cell r="D414">
            <v>608.38</v>
          </cell>
        </row>
        <row r="415">
          <cell r="A415">
            <v>4843</v>
          </cell>
          <cell r="B415" t="str">
            <v>VELAZCO SOTO JOSÉ ALFREDO</v>
          </cell>
          <cell r="C415" t="str">
            <v>PEON</v>
          </cell>
          <cell r="D415">
            <v>337.98</v>
          </cell>
        </row>
        <row r="416">
          <cell r="A416">
            <v>4844</v>
          </cell>
          <cell r="B416" t="str">
            <v>HERNÁNDEZ GARCÍA BRANDON MISAEL</v>
          </cell>
          <cell r="C416" t="str">
            <v>PEON</v>
          </cell>
          <cell r="D416">
            <v>337.98</v>
          </cell>
        </row>
        <row r="417">
          <cell r="A417">
            <v>4845</v>
          </cell>
          <cell r="B417" t="str">
            <v>TRINIDAD RODRÍGUEZ JULIO CÉSAR</v>
          </cell>
          <cell r="C417" t="str">
            <v>OF</v>
          </cell>
          <cell r="D417">
            <v>608.38</v>
          </cell>
        </row>
        <row r="418">
          <cell r="A418">
            <v>4846</v>
          </cell>
          <cell r="B418" t="str">
            <v>DE LOS SANTOS GENTIL LUIS ALEJANDRO</v>
          </cell>
          <cell r="C418" t="str">
            <v>PEON</v>
          </cell>
          <cell r="D418">
            <v>337.98</v>
          </cell>
        </row>
        <row r="419">
          <cell r="A419">
            <v>4847</v>
          </cell>
          <cell r="B419" t="str">
            <v>OCHOA AGUILAR JOSÉ LUIS</v>
          </cell>
          <cell r="C419" t="str">
            <v>PEON</v>
          </cell>
          <cell r="D419">
            <v>337.98</v>
          </cell>
        </row>
        <row r="420">
          <cell r="A420">
            <v>4848</v>
          </cell>
          <cell r="B420" t="str">
            <v>CERVANTES GARCÍA JUAN DANIEL</v>
          </cell>
          <cell r="C420" t="str">
            <v>PEON</v>
          </cell>
          <cell r="D420">
            <v>337.98</v>
          </cell>
        </row>
        <row r="421">
          <cell r="A421">
            <v>4850</v>
          </cell>
          <cell r="B421" t="str">
            <v>SUÁREZ TOVAR ÓSCAR IVÁN</v>
          </cell>
          <cell r="C421" t="str">
            <v>PEON</v>
          </cell>
          <cell r="D421">
            <v>383.4</v>
          </cell>
        </row>
        <row r="422">
          <cell r="A422">
            <v>4851</v>
          </cell>
          <cell r="B422" t="str">
            <v>XILONZOCHITL AGUILAR SERGIO ADRIÁN</v>
          </cell>
          <cell r="C422" t="str">
            <v>OF</v>
          </cell>
          <cell r="D422">
            <v>608.38</v>
          </cell>
        </row>
        <row r="423">
          <cell r="A423">
            <v>4852</v>
          </cell>
          <cell r="B423" t="str">
            <v>BÁLBER MARTÍNEZ JORGE HUMBERTO</v>
          </cell>
          <cell r="C423" t="str">
            <v>PEON</v>
          </cell>
          <cell r="D423">
            <v>383.4</v>
          </cell>
        </row>
        <row r="424">
          <cell r="A424">
            <v>4853</v>
          </cell>
          <cell r="B424" t="str">
            <v>PAREDES SÁNCHEZ IVÁN</v>
          </cell>
          <cell r="C424" t="str">
            <v>PEON</v>
          </cell>
          <cell r="D424">
            <v>337.98</v>
          </cell>
        </row>
        <row r="425">
          <cell r="A425">
            <v>4854</v>
          </cell>
          <cell r="B425" t="str">
            <v>CERVANTES GARCÍA MIGUEL ÁNGEL</v>
          </cell>
          <cell r="C425" t="str">
            <v>PEON</v>
          </cell>
          <cell r="D425">
            <v>337.98</v>
          </cell>
        </row>
        <row r="426">
          <cell r="A426">
            <v>4855</v>
          </cell>
          <cell r="B426" t="str">
            <v>GUTIÉRREZ CONTRERAS ERIK EDOARDO</v>
          </cell>
          <cell r="C426" t="str">
            <v>PEON</v>
          </cell>
          <cell r="D426">
            <v>337.98</v>
          </cell>
        </row>
        <row r="427">
          <cell r="A427">
            <v>4856</v>
          </cell>
          <cell r="B427" t="str">
            <v>XILONZOCHITL MORA JESÚS CARLOS</v>
          </cell>
          <cell r="C427" t="str">
            <v>PEON</v>
          </cell>
          <cell r="D427">
            <v>337.98</v>
          </cell>
        </row>
        <row r="428">
          <cell r="A428">
            <v>4857</v>
          </cell>
          <cell r="B428" t="str">
            <v>GUTIÉRREZ FLORES EMMANUEL</v>
          </cell>
          <cell r="C428" t="str">
            <v>PEON</v>
          </cell>
          <cell r="D428">
            <v>383.4</v>
          </cell>
        </row>
        <row r="429">
          <cell r="A429">
            <v>4858</v>
          </cell>
          <cell r="B429" t="str">
            <v>TEJEDA SALCIDO JUAN ANTONIO</v>
          </cell>
          <cell r="C429" t="str">
            <v>PEON</v>
          </cell>
          <cell r="D429">
            <v>383.4</v>
          </cell>
        </row>
        <row r="430">
          <cell r="A430">
            <v>4860</v>
          </cell>
          <cell r="B430" t="str">
            <v>GUARDADO REYES MARTÍN</v>
          </cell>
          <cell r="C430" t="str">
            <v>PEON</v>
          </cell>
          <cell r="D430">
            <v>337.98</v>
          </cell>
        </row>
        <row r="431">
          <cell r="A431">
            <v>4861</v>
          </cell>
          <cell r="B431" t="str">
            <v>GÓMEZ SIMÓN CÉSAR EFRAÍN</v>
          </cell>
          <cell r="C431" t="str">
            <v>OF</v>
          </cell>
          <cell r="D431">
            <v>608.38</v>
          </cell>
        </row>
        <row r="432">
          <cell r="A432">
            <v>4862</v>
          </cell>
          <cell r="B432" t="str">
            <v>GUILLÉN ROMERO EMMANUEL JOSUÉ</v>
          </cell>
          <cell r="C432" t="str">
            <v>OF</v>
          </cell>
          <cell r="D432">
            <v>608.38</v>
          </cell>
        </row>
        <row r="433">
          <cell r="A433">
            <v>4863</v>
          </cell>
          <cell r="B433" t="str">
            <v>RODRÍGUEZ RODRÍGUEZ JUAN LUIS</v>
          </cell>
          <cell r="C433" t="str">
            <v>OF</v>
          </cell>
          <cell r="D433">
            <v>608.38</v>
          </cell>
        </row>
        <row r="434">
          <cell r="A434">
            <v>4864</v>
          </cell>
          <cell r="B434" t="str">
            <v>ALDANA SÁNCHEZ JAIME RODOLFO</v>
          </cell>
          <cell r="C434" t="str">
            <v>PEON</v>
          </cell>
          <cell r="D434">
            <v>337.98</v>
          </cell>
        </row>
        <row r="435">
          <cell r="A435">
            <v>4865</v>
          </cell>
          <cell r="B435" t="str">
            <v>CERVANTES MEDINA JOSÉ FRANCISCO</v>
          </cell>
          <cell r="C435" t="str">
            <v>PEON</v>
          </cell>
          <cell r="D435">
            <v>355</v>
          </cell>
        </row>
        <row r="436">
          <cell r="A436">
            <v>4867</v>
          </cell>
          <cell r="B436" t="str">
            <v>GARCÍA GANCEDA PABLO YOSIMAR</v>
          </cell>
          <cell r="C436" t="str">
            <v>PEON</v>
          </cell>
          <cell r="D436">
            <v>337.98</v>
          </cell>
        </row>
        <row r="437">
          <cell r="A437">
            <v>4868</v>
          </cell>
          <cell r="B437" t="str">
            <v>ÁLVAREZ VALENCIA RAMÓN</v>
          </cell>
          <cell r="C437" t="str">
            <v>PEON</v>
          </cell>
          <cell r="D437">
            <v>337.98</v>
          </cell>
        </row>
        <row r="438">
          <cell r="A438">
            <v>4869</v>
          </cell>
          <cell r="B438" t="str">
            <v>ÁLVAREZ JUÁREZ RAFAEL</v>
          </cell>
          <cell r="C438" t="str">
            <v>OF</v>
          </cell>
          <cell r="D438">
            <v>800</v>
          </cell>
        </row>
        <row r="439">
          <cell r="A439">
            <v>4870</v>
          </cell>
          <cell r="B439" t="str">
            <v>SOLÓRZANO MÉNDEZ FRANCISCO</v>
          </cell>
          <cell r="C439" t="str">
            <v>PEON</v>
          </cell>
          <cell r="D439">
            <v>337.98</v>
          </cell>
        </row>
        <row r="440">
          <cell r="A440">
            <v>4871</v>
          </cell>
          <cell r="B440" t="str">
            <v>MEDINA JIMÉNEZ J. SANTOS</v>
          </cell>
          <cell r="C440" t="str">
            <v>PEON</v>
          </cell>
          <cell r="D440">
            <v>337.98</v>
          </cell>
        </row>
        <row r="441">
          <cell r="A441">
            <v>4872</v>
          </cell>
          <cell r="B441" t="str">
            <v>ARTEAGA CORTÉS NOÉ JULIÁN</v>
          </cell>
          <cell r="C441" t="str">
            <v>PEON</v>
          </cell>
          <cell r="D441">
            <v>337.98</v>
          </cell>
        </row>
        <row r="442">
          <cell r="A442">
            <v>4873</v>
          </cell>
          <cell r="B442" t="str">
            <v>REYES BARRAGÁN MANUEL</v>
          </cell>
          <cell r="C442" t="str">
            <v>PEON</v>
          </cell>
          <cell r="D442">
            <v>337.98</v>
          </cell>
        </row>
        <row r="443">
          <cell r="A443">
            <v>4874</v>
          </cell>
          <cell r="B443" t="str">
            <v>RAMOS GONZÁLEZ HUMBERTO</v>
          </cell>
          <cell r="C443" t="str">
            <v>OF</v>
          </cell>
          <cell r="D443">
            <v>800</v>
          </cell>
        </row>
        <row r="444">
          <cell r="A444">
            <v>4875</v>
          </cell>
          <cell r="B444" t="str">
            <v>MARÍN TINOCO ÉDGAR</v>
          </cell>
          <cell r="C444" t="str">
            <v>PEON</v>
          </cell>
          <cell r="D444">
            <v>337.98</v>
          </cell>
        </row>
        <row r="445">
          <cell r="A445">
            <v>4876</v>
          </cell>
          <cell r="B445" t="str">
            <v>RAMOS GONZÁLEZ ÁNGEL GABRIEL</v>
          </cell>
          <cell r="C445" t="str">
            <v>PEON</v>
          </cell>
          <cell r="D445">
            <v>337.98</v>
          </cell>
        </row>
        <row r="446">
          <cell r="A446">
            <v>4877</v>
          </cell>
          <cell r="B446" t="str">
            <v>RUIZ MELCHOR JUAN ANTONIO</v>
          </cell>
          <cell r="C446" t="str">
            <v>OF</v>
          </cell>
          <cell r="D446">
            <v>800</v>
          </cell>
        </row>
        <row r="447">
          <cell r="A447">
            <v>4878</v>
          </cell>
          <cell r="B447" t="str">
            <v>NAVARRO ÁLVAREZ CARLOS DANIEL</v>
          </cell>
          <cell r="C447" t="str">
            <v>OF</v>
          </cell>
          <cell r="D447">
            <v>800</v>
          </cell>
        </row>
        <row r="448">
          <cell r="A448">
            <v>4879</v>
          </cell>
          <cell r="B448" t="str">
            <v>SOTO LANDÍN JUAN JOSÉ</v>
          </cell>
          <cell r="C448" t="str">
            <v>1/2 CUCHARA</v>
          </cell>
          <cell r="D448">
            <v>650</v>
          </cell>
        </row>
        <row r="449">
          <cell r="A449">
            <v>4880</v>
          </cell>
          <cell r="B449" t="str">
            <v>MARQUEZ CAMPOS VLADIMIR ULISES</v>
          </cell>
          <cell r="C449" t="str">
            <v>PEON</v>
          </cell>
          <cell r="D449">
            <v>337.98</v>
          </cell>
        </row>
        <row r="450">
          <cell r="A450">
            <v>4881</v>
          </cell>
          <cell r="B450" t="str">
            <v>MOLINA MORENO GUSTAVO</v>
          </cell>
          <cell r="C450" t="str">
            <v>PEON</v>
          </cell>
          <cell r="D450">
            <v>337.98</v>
          </cell>
        </row>
        <row r="451">
          <cell r="A451">
            <v>4882</v>
          </cell>
          <cell r="B451" t="str">
            <v>ROMERO RENTERÍA PEDRO</v>
          </cell>
          <cell r="C451" t="str">
            <v>PEON</v>
          </cell>
          <cell r="D451">
            <v>337.98</v>
          </cell>
        </row>
        <row r="452">
          <cell r="A452">
            <v>4883</v>
          </cell>
          <cell r="B452" t="str">
            <v>LEÓN RANGEL JUAN GABRIEL</v>
          </cell>
          <cell r="C452" t="str">
            <v>PEON</v>
          </cell>
          <cell r="D452">
            <v>337.98</v>
          </cell>
        </row>
        <row r="453">
          <cell r="A453">
            <v>4884</v>
          </cell>
          <cell r="B453" t="str">
            <v>VILLANUEVA SILVA JESÚS</v>
          </cell>
          <cell r="C453" t="str">
            <v>PEON</v>
          </cell>
          <cell r="D453">
            <v>337.98</v>
          </cell>
        </row>
        <row r="454">
          <cell r="A454">
            <v>4885</v>
          </cell>
          <cell r="B454" t="str">
            <v>SÁNCHEZ ÁVALOS CRISTIAN</v>
          </cell>
          <cell r="C454" t="str">
            <v>OF</v>
          </cell>
          <cell r="D454">
            <v>800</v>
          </cell>
        </row>
        <row r="455">
          <cell r="A455">
            <v>4886</v>
          </cell>
          <cell r="B455" t="str">
            <v>ARIZMENDI MORA ÉDGAR YAIR</v>
          </cell>
          <cell r="C455" t="str">
            <v>OF</v>
          </cell>
          <cell r="D455">
            <v>800</v>
          </cell>
        </row>
        <row r="456">
          <cell r="A456">
            <v>4887</v>
          </cell>
          <cell r="B456" t="str">
            <v>RAMÍREZ LARIOS JAIME TRINIDAD</v>
          </cell>
          <cell r="C456" t="str">
            <v>1/2 CUCHARA</v>
          </cell>
          <cell r="D456">
            <v>650</v>
          </cell>
        </row>
        <row r="457">
          <cell r="A457">
            <v>4888</v>
          </cell>
          <cell r="B457" t="str">
            <v>MARÍN TINOCO FROILÁN</v>
          </cell>
          <cell r="C457" t="str">
            <v>PEON</v>
          </cell>
          <cell r="D457">
            <v>337.98</v>
          </cell>
        </row>
        <row r="458">
          <cell r="A458">
            <v>4889</v>
          </cell>
          <cell r="B458" t="str">
            <v>CASTAÑEDA ÁLVAREZ FERNANDO JESÚS</v>
          </cell>
          <cell r="C458" t="str">
            <v>PEON</v>
          </cell>
          <cell r="D458">
            <v>337.98</v>
          </cell>
        </row>
        <row r="459">
          <cell r="A459">
            <v>4890</v>
          </cell>
          <cell r="B459" t="str">
            <v>TORRES VALENCIA EDUARDO</v>
          </cell>
          <cell r="C459" t="str">
            <v>PEON</v>
          </cell>
          <cell r="D459">
            <v>337.98</v>
          </cell>
        </row>
        <row r="460">
          <cell r="A460">
            <v>4891</v>
          </cell>
          <cell r="B460" t="str">
            <v>ESTRADA DE LA CRUZ MARÍA CRUZ</v>
          </cell>
          <cell r="C460" t="str">
            <v>PINTOR</v>
          </cell>
          <cell r="D460">
            <v>337.98</v>
          </cell>
        </row>
        <row r="461">
          <cell r="A461">
            <v>4892</v>
          </cell>
          <cell r="B461" t="str">
            <v>GASPAR TIBURCIO MANUEL</v>
          </cell>
          <cell r="C461" t="str">
            <v>OF</v>
          </cell>
          <cell r="D461">
            <v>800</v>
          </cell>
        </row>
        <row r="462">
          <cell r="A462">
            <v>4893</v>
          </cell>
          <cell r="B462" t="str">
            <v>VÁZQUEZ HERNÁNDEZ JOSÉ DE JESÚS</v>
          </cell>
          <cell r="C462" t="str">
            <v>PEON</v>
          </cell>
          <cell r="D462">
            <v>337.98</v>
          </cell>
        </row>
        <row r="463">
          <cell r="A463">
            <v>4894</v>
          </cell>
          <cell r="B463" t="str">
            <v>CÓRDOVA HERNÁNDEZ CARLOS</v>
          </cell>
          <cell r="C463" t="str">
            <v>PEON</v>
          </cell>
          <cell r="D463">
            <v>337.98</v>
          </cell>
        </row>
        <row r="464">
          <cell r="A464">
            <v>4895</v>
          </cell>
          <cell r="B464" t="str">
            <v>SUÁREZ GUERRERO HÉCTOR</v>
          </cell>
          <cell r="C464" t="str">
            <v>PEON</v>
          </cell>
          <cell r="D464">
            <v>337.98</v>
          </cell>
        </row>
        <row r="465">
          <cell r="A465">
            <v>4896</v>
          </cell>
          <cell r="B465" t="str">
            <v>SUÁREZ GUERRERO AGUSTÍN</v>
          </cell>
          <cell r="C465" t="str">
            <v>PEON</v>
          </cell>
          <cell r="D465">
            <v>337.98</v>
          </cell>
        </row>
        <row r="466">
          <cell r="A466">
            <v>4897</v>
          </cell>
          <cell r="B466" t="str">
            <v>SILVA MEZA FRANCISCO EMMANUEL</v>
          </cell>
          <cell r="C466" t="str">
            <v>PEON</v>
          </cell>
          <cell r="D466">
            <v>337.98</v>
          </cell>
        </row>
        <row r="467">
          <cell r="A467">
            <v>4898</v>
          </cell>
          <cell r="B467" t="str">
            <v>GARCÍA IBARRA DANIEL</v>
          </cell>
          <cell r="C467" t="str">
            <v>PEON</v>
          </cell>
          <cell r="D467">
            <v>337.98</v>
          </cell>
        </row>
        <row r="468">
          <cell r="A468">
            <v>4899</v>
          </cell>
          <cell r="B468" t="str">
            <v>ENRÍQUEZ XILONXÓCHITL OMAR OSVALDO</v>
          </cell>
          <cell r="C468" t="str">
            <v>PEON</v>
          </cell>
          <cell r="D468">
            <v>337.98</v>
          </cell>
        </row>
        <row r="469">
          <cell r="A469">
            <v>4900</v>
          </cell>
          <cell r="B469" t="str">
            <v>VÁZQUEZ MENA SAMUEL ISRAEL</v>
          </cell>
          <cell r="C469" t="str">
            <v>PEON</v>
          </cell>
          <cell r="D469">
            <v>337.98</v>
          </cell>
        </row>
        <row r="470">
          <cell r="A470">
            <v>4901</v>
          </cell>
          <cell r="B470" t="str">
            <v>ALATORRE BORRAYO MIGUEL ÁNGEL</v>
          </cell>
          <cell r="C470" t="str">
            <v>PEON</v>
          </cell>
          <cell r="D470">
            <v>337.98</v>
          </cell>
        </row>
        <row r="471">
          <cell r="A471">
            <v>4902</v>
          </cell>
          <cell r="B471" t="str">
            <v>BALBINO GRAJEDA PEDRO EDUARDO</v>
          </cell>
          <cell r="C471" t="str">
            <v>PEON</v>
          </cell>
          <cell r="D471">
            <v>337.98</v>
          </cell>
        </row>
        <row r="472">
          <cell r="A472">
            <v>4903</v>
          </cell>
          <cell r="B472" t="str">
            <v>LÓPEZ HERNÁNDEZ HÉCTOR</v>
          </cell>
          <cell r="C472" t="str">
            <v>VELADOR</v>
          </cell>
          <cell r="D472">
            <v>337.98</v>
          </cell>
        </row>
        <row r="473">
          <cell r="A473">
            <v>4904</v>
          </cell>
          <cell r="B473" t="str">
            <v>BOBADILLA LARIOS MIGUEL</v>
          </cell>
          <cell r="C473" t="str">
            <v>VELADOR</v>
          </cell>
          <cell r="D473">
            <v>337.98</v>
          </cell>
        </row>
        <row r="474">
          <cell r="A474">
            <v>4905</v>
          </cell>
          <cell r="B474" t="str">
            <v xml:space="preserve">RODRÍGUEZ GARZA JESÚS </v>
          </cell>
          <cell r="C474" t="str">
            <v>OF</v>
          </cell>
          <cell r="D474">
            <v>608.38</v>
          </cell>
        </row>
        <row r="475">
          <cell r="A475">
            <v>4906</v>
          </cell>
          <cell r="B475" t="str">
            <v>RODRÍGUEZ HUÍZAR CHRISTOPHER EMMANUEL</v>
          </cell>
          <cell r="C475" t="str">
            <v>PEON</v>
          </cell>
          <cell r="D475">
            <v>337.98</v>
          </cell>
        </row>
        <row r="476">
          <cell r="A476">
            <v>4907</v>
          </cell>
          <cell r="B476" t="str">
            <v>ROCHA DELGADO ALEJANDRO</v>
          </cell>
          <cell r="C476" t="str">
            <v>PEON</v>
          </cell>
          <cell r="D476">
            <v>337.98</v>
          </cell>
        </row>
        <row r="477">
          <cell r="A477">
            <v>4908</v>
          </cell>
          <cell r="B477" t="str">
            <v>MÉNDEZ VÉLEZ AGUSTÍN</v>
          </cell>
          <cell r="C477" t="str">
            <v>PINTOR</v>
          </cell>
          <cell r="D477">
            <v>608.38</v>
          </cell>
        </row>
        <row r="478">
          <cell r="A478">
            <v>4909</v>
          </cell>
          <cell r="B478" t="str">
            <v>ESCOTO MENDOZA LUIS ÁNGEL</v>
          </cell>
          <cell r="C478" t="str">
            <v>OF</v>
          </cell>
          <cell r="D478">
            <v>608.38</v>
          </cell>
        </row>
        <row r="479">
          <cell r="A479">
            <v>4910</v>
          </cell>
          <cell r="B479"/>
        </row>
        <row r="480">
          <cell r="A480">
            <v>4911</v>
          </cell>
          <cell r="B480"/>
        </row>
        <row r="481">
          <cell r="A481">
            <v>4912</v>
          </cell>
          <cell r="B481"/>
        </row>
        <row r="482">
          <cell r="A482">
            <v>4913</v>
          </cell>
          <cell r="B482"/>
        </row>
        <row r="483">
          <cell r="A483">
            <v>4914</v>
          </cell>
          <cell r="B483"/>
        </row>
        <row r="484">
          <cell r="A484">
            <v>4915</v>
          </cell>
          <cell r="B484"/>
        </row>
        <row r="485">
          <cell r="A485">
            <v>4916</v>
          </cell>
          <cell r="B485"/>
        </row>
        <row r="486">
          <cell r="A486">
            <v>4917</v>
          </cell>
          <cell r="B486"/>
        </row>
        <row r="487">
          <cell r="A487">
            <v>4918</v>
          </cell>
          <cell r="B487"/>
        </row>
        <row r="488">
          <cell r="A488">
            <v>4919</v>
          </cell>
          <cell r="B488"/>
        </row>
        <row r="489">
          <cell r="A489">
            <v>4920</v>
          </cell>
          <cell r="B489"/>
        </row>
        <row r="490">
          <cell r="A490">
            <v>4921</v>
          </cell>
          <cell r="B490"/>
        </row>
        <row r="491">
          <cell r="A491"/>
          <cell r="B491"/>
        </row>
        <row r="492">
          <cell r="A492"/>
          <cell r="B492"/>
        </row>
        <row r="493">
          <cell r="A493"/>
          <cell r="B493"/>
        </row>
        <row r="494">
          <cell r="A494"/>
          <cell r="B494"/>
        </row>
        <row r="495">
          <cell r="A495"/>
          <cell r="B495"/>
        </row>
        <row r="496">
          <cell r="A496"/>
          <cell r="B496"/>
        </row>
        <row r="497">
          <cell r="A497"/>
          <cell r="B497"/>
        </row>
        <row r="498">
          <cell r="A498"/>
          <cell r="B498"/>
        </row>
        <row r="499">
          <cell r="A499"/>
          <cell r="B499"/>
        </row>
        <row r="500">
          <cell r="A500"/>
          <cell r="B500"/>
        </row>
        <row r="501">
          <cell r="A501"/>
          <cell r="B501"/>
        </row>
        <row r="502">
          <cell r="A502"/>
          <cell r="B502"/>
        </row>
        <row r="503">
          <cell r="A503"/>
          <cell r="B503"/>
        </row>
        <row r="504">
          <cell r="A504"/>
          <cell r="B504"/>
        </row>
        <row r="505">
          <cell r="A505"/>
          <cell r="B505"/>
        </row>
        <row r="506">
          <cell r="A506"/>
          <cell r="B506"/>
        </row>
        <row r="507">
          <cell r="A507"/>
          <cell r="B507"/>
        </row>
        <row r="508">
          <cell r="A508"/>
          <cell r="B508"/>
        </row>
        <row r="509">
          <cell r="A509"/>
          <cell r="B509"/>
        </row>
        <row r="510">
          <cell r="A510"/>
          <cell r="B510"/>
        </row>
        <row r="511">
          <cell r="A511"/>
          <cell r="B511"/>
        </row>
        <row r="512">
          <cell r="A512"/>
          <cell r="B512"/>
        </row>
        <row r="513">
          <cell r="A513"/>
          <cell r="B513"/>
        </row>
        <row r="514">
          <cell r="A514"/>
          <cell r="B514"/>
        </row>
        <row r="515">
          <cell r="A515"/>
          <cell r="B515"/>
        </row>
        <row r="516">
          <cell r="A516"/>
          <cell r="B516"/>
        </row>
        <row r="517">
          <cell r="A517"/>
          <cell r="B517"/>
        </row>
        <row r="518">
          <cell r="A518"/>
          <cell r="B518"/>
        </row>
        <row r="519">
          <cell r="A519"/>
          <cell r="B519"/>
        </row>
        <row r="520">
          <cell r="A520"/>
          <cell r="B520"/>
        </row>
        <row r="521">
          <cell r="A521"/>
          <cell r="B521"/>
        </row>
        <row r="522">
          <cell r="A522"/>
          <cell r="B522"/>
        </row>
        <row r="523">
          <cell r="A523"/>
          <cell r="B523"/>
        </row>
        <row r="524">
          <cell r="A524"/>
          <cell r="B524"/>
        </row>
        <row r="525">
          <cell r="A525"/>
          <cell r="B525"/>
        </row>
        <row r="526">
          <cell r="A526"/>
          <cell r="B526"/>
        </row>
        <row r="527">
          <cell r="A527"/>
          <cell r="B527"/>
        </row>
        <row r="528">
          <cell r="A528"/>
          <cell r="B528"/>
        </row>
        <row r="529">
          <cell r="A529"/>
          <cell r="B529"/>
        </row>
        <row r="530">
          <cell r="A530"/>
          <cell r="B530"/>
        </row>
        <row r="531">
          <cell r="A531"/>
          <cell r="B531"/>
        </row>
        <row r="532">
          <cell r="A532"/>
          <cell r="B532"/>
        </row>
        <row r="533">
          <cell r="A533"/>
          <cell r="B533"/>
          <cell r="C533"/>
          <cell r="D533"/>
          <cell r="E533"/>
          <cell r="F533"/>
        </row>
        <row r="534">
          <cell r="A534"/>
          <cell r="B534"/>
          <cell r="C534"/>
          <cell r="D534"/>
          <cell r="E534"/>
          <cell r="F534"/>
        </row>
        <row r="535">
          <cell r="A535" t="str">
            <v>LISTA DE PRECIOS UNITARIOS</v>
          </cell>
          <cell r="B535"/>
          <cell r="C535"/>
          <cell r="D535"/>
          <cell r="E535"/>
          <cell r="F535"/>
        </row>
        <row r="536">
          <cell r="A536"/>
          <cell r="B536"/>
          <cell r="C536"/>
          <cell r="D536"/>
          <cell r="E536"/>
          <cell r="F536"/>
        </row>
        <row r="537">
          <cell r="A537" t="str">
            <v>CVE</v>
          </cell>
          <cell r="B537" t="str">
            <v>CONCEPTO</v>
          </cell>
          <cell r="C537" t="str">
            <v>UNIDAD</v>
          </cell>
          <cell r="D537" t="str">
            <v>P.UNIT.</v>
          </cell>
          <cell r="E537" t="str">
            <v>M</v>
          </cell>
          <cell r="F537" t="str">
            <v>SJA</v>
          </cell>
        </row>
        <row r="538">
          <cell r="A538"/>
          <cell r="B538"/>
          <cell r="C538"/>
          <cell r="D538"/>
          <cell r="E538"/>
          <cell r="F538"/>
        </row>
        <row r="539">
          <cell r="A539" t="str">
            <v>ABB01</v>
          </cell>
          <cell r="B539" t="str">
            <v>Abrir caja para amarre en boveda</v>
          </cell>
          <cell r="C539" t="str">
            <v>ML</v>
          </cell>
          <cell r="D539">
            <v>93.976200000000006</v>
          </cell>
          <cell r="E539"/>
          <cell r="F539">
            <v>108.07263</v>
          </cell>
        </row>
        <row r="540">
          <cell r="A540" t="str">
            <v>ABB02</v>
          </cell>
          <cell r="B540" t="str">
            <v>Abrir caja para amarre en muro</v>
          </cell>
          <cell r="C540" t="str">
            <v>ML</v>
          </cell>
          <cell r="D540">
            <v>75.180959999999999</v>
          </cell>
          <cell r="E540"/>
          <cell r="F540">
            <v>86.458103999999992</v>
          </cell>
        </row>
        <row r="541">
          <cell r="A541" t="str">
            <v>ABB03</v>
          </cell>
          <cell r="B541" t="str">
            <v>Abrir caja para amarre en piso concreto y firme</v>
          </cell>
          <cell r="C541" t="str">
            <v>ML</v>
          </cell>
          <cell r="D541">
            <v>187.95240000000001</v>
          </cell>
          <cell r="E541"/>
          <cell r="F541">
            <v>216.14526000000001</v>
          </cell>
        </row>
        <row r="542">
          <cell r="A542" t="str">
            <v>ABB04</v>
          </cell>
          <cell r="B542" t="str">
            <v>Abrir hueco en concreto para anclado de castillo</v>
          </cell>
          <cell r="C542" t="str">
            <v>PZA</v>
          </cell>
          <cell r="D542">
            <v>83.934086124401915</v>
          </cell>
          <cell r="E542"/>
          <cell r="F542">
            <v>96.524199043062197</v>
          </cell>
        </row>
        <row r="543">
          <cell r="A543" t="str">
            <v>ABB05</v>
          </cell>
          <cell r="B543" t="str">
            <v>Abrir hueco en muro para amarre dalas</v>
          </cell>
          <cell r="C543" t="str">
            <v>PZA</v>
          </cell>
          <cell r="D543">
            <v>50.120640000000002</v>
          </cell>
          <cell r="E543"/>
          <cell r="F543">
            <v>57.638735999999994</v>
          </cell>
        </row>
        <row r="544">
          <cell r="A544" t="str">
            <v>ABB06</v>
          </cell>
          <cell r="B544" t="str">
            <v>Abrir ranura esp. 5 cms. p/poliducto,cobre</v>
          </cell>
          <cell r="C544" t="str">
            <v>ML</v>
          </cell>
          <cell r="D544">
            <v>19.784463157894738</v>
          </cell>
          <cell r="E544"/>
          <cell r="F544">
            <v>22.752132631578945</v>
          </cell>
        </row>
        <row r="545">
          <cell r="A545" t="str">
            <v>ABB06RT</v>
          </cell>
          <cell r="B545" t="str">
            <v>Abrir ranura esp. 5 cms. p/poliducto,cobre</v>
          </cell>
          <cell r="C545" t="str">
            <v>ML</v>
          </cell>
          <cell r="D545">
            <v>12.53016</v>
          </cell>
          <cell r="E545"/>
          <cell r="F545">
            <v>14.409683999999999</v>
          </cell>
        </row>
        <row r="546">
          <cell r="A546" t="str">
            <v>ABB07</v>
          </cell>
          <cell r="B546" t="str">
            <v>Abrir caja de luz</v>
          </cell>
          <cell r="C546" t="str">
            <v>PZA</v>
          </cell>
          <cell r="D546">
            <v>18.79524</v>
          </cell>
          <cell r="E546"/>
          <cell r="F546">
            <v>21.614525999999998</v>
          </cell>
        </row>
        <row r="547">
          <cell r="A547" t="str">
            <v>ABB08</v>
          </cell>
          <cell r="B547" t="str">
            <v>Abrir hueco en concreto p/ pata proteccion 20 x 20 x 30 rotomartillo</v>
          </cell>
          <cell r="C547" t="str">
            <v>PZA</v>
          </cell>
          <cell r="D547">
            <v>53.700685714285719</v>
          </cell>
          <cell r="E547"/>
          <cell r="F547">
            <v>61.755788571428575</v>
          </cell>
        </row>
        <row r="548">
          <cell r="A548" t="str">
            <v>ACCE</v>
          </cell>
          <cell r="B548" t="str">
            <v>Accesorios de baño, colocacion</v>
          </cell>
          <cell r="C548" t="str">
            <v>PZA</v>
          </cell>
          <cell r="D548">
            <v>37.590479999999999</v>
          </cell>
          <cell r="E548"/>
          <cell r="F548">
            <v>43.229051999999996</v>
          </cell>
        </row>
        <row r="549">
          <cell r="A549" t="str">
            <v>ACU20</v>
          </cell>
          <cell r="B549" t="str">
            <v>Acuñado de muro 20</v>
          </cell>
          <cell r="C549" t="str">
            <v>ML</v>
          </cell>
          <cell r="D549">
            <v>62.650800000000004</v>
          </cell>
          <cell r="E549">
            <v>1</v>
          </cell>
          <cell r="F549">
            <v>72.048419999999993</v>
          </cell>
        </row>
        <row r="550">
          <cell r="A550" t="str">
            <v>ACUCA</v>
          </cell>
          <cell r="B550" t="str">
            <v>Acuñado de muro capuchino</v>
          </cell>
          <cell r="C550" t="str">
            <v>ML</v>
          </cell>
          <cell r="D550">
            <v>50.120640000000002</v>
          </cell>
          <cell r="E550">
            <v>1</v>
          </cell>
          <cell r="F550">
            <v>57.638735999999994</v>
          </cell>
        </row>
        <row r="551">
          <cell r="A551" t="str">
            <v>ACUDE</v>
          </cell>
          <cell r="B551" t="str">
            <v>Acuñado de muro bajo decklosa</v>
          </cell>
          <cell r="C551" t="str">
            <v>ML</v>
          </cell>
          <cell r="D551">
            <v>30.072384000000003</v>
          </cell>
          <cell r="E551">
            <v>1</v>
          </cell>
          <cell r="F551">
            <v>34.583241600000001</v>
          </cell>
        </row>
        <row r="552">
          <cell r="A552" t="str">
            <v>ACUSO</v>
          </cell>
          <cell r="B552" t="str">
            <v>Acuñado de muro soga</v>
          </cell>
          <cell r="C552" t="str">
            <v>ML</v>
          </cell>
          <cell r="D552">
            <v>62.650800000000004</v>
          </cell>
          <cell r="E552">
            <v>1</v>
          </cell>
          <cell r="F552">
            <v>72.048419999999993</v>
          </cell>
        </row>
        <row r="553">
          <cell r="A553" t="str">
            <v>ACUTE</v>
          </cell>
          <cell r="B553" t="str">
            <v>Acuñado de muro tezon</v>
          </cell>
          <cell r="C553" t="str">
            <v>ML</v>
          </cell>
          <cell r="D553">
            <v>75.180959999999999</v>
          </cell>
          <cell r="E553">
            <v>1</v>
          </cell>
          <cell r="F553">
            <v>86.458103999999992</v>
          </cell>
        </row>
        <row r="554">
          <cell r="A554" t="str">
            <v>ADOBE</v>
          </cell>
          <cell r="B554" t="str">
            <v>Muro de adobe asentado con lodo y rajueleado</v>
          </cell>
          <cell r="C554" t="str">
            <v>M2</v>
          </cell>
          <cell r="D554">
            <v>131.89642105263158</v>
          </cell>
          <cell r="E554">
            <v>1</v>
          </cell>
          <cell r="F554">
            <v>151.6808842105263</v>
          </cell>
        </row>
        <row r="555">
          <cell r="A555" t="str">
            <v>ADOBE2R</v>
          </cell>
          <cell r="B555" t="str">
            <v>Pegado de muro de adobe a 2 rostros con varillas</v>
          </cell>
          <cell r="C555" t="str">
            <v>M2</v>
          </cell>
          <cell r="D555">
            <v>250.60320000000002</v>
          </cell>
          <cell r="E555">
            <v>1</v>
          </cell>
          <cell r="F555">
            <v>288.19367999999997</v>
          </cell>
        </row>
        <row r="556">
          <cell r="A556" t="str">
            <v>ADORE</v>
          </cell>
          <cell r="B556" t="str">
            <v>Recorte de pza de adobe para resaque vigas y castillos</v>
          </cell>
          <cell r="C556" t="str">
            <v>PZA</v>
          </cell>
          <cell r="D556">
            <v>57.831507692307696</v>
          </cell>
          <cell r="E556"/>
          <cell r="F556">
            <v>66.506233846153847</v>
          </cell>
        </row>
        <row r="557">
          <cell r="A557" t="str">
            <v>AFI01</v>
          </cell>
          <cell r="B557" t="str">
            <v>Afine de enjarre en boquillas</v>
          </cell>
          <cell r="C557" t="str">
            <v>ML</v>
          </cell>
          <cell r="D557">
            <v>9.3976199999999999</v>
          </cell>
          <cell r="E557">
            <v>1</v>
          </cell>
          <cell r="F557">
            <v>10.807262999999999</v>
          </cell>
        </row>
        <row r="558">
          <cell r="A558" t="str">
            <v>AFI02</v>
          </cell>
          <cell r="B558" t="str">
            <v>Afine de enjarre en boveda</v>
          </cell>
          <cell r="C558" t="str">
            <v>M2</v>
          </cell>
          <cell r="D558">
            <v>34.17316363636364</v>
          </cell>
          <cell r="E558">
            <v>1</v>
          </cell>
          <cell r="F558">
            <v>39.299138181818179</v>
          </cell>
        </row>
        <row r="559">
          <cell r="A559" t="str">
            <v>AFI02JP</v>
          </cell>
          <cell r="B559" t="str">
            <v>Afine de enjarre en boveda PUERTA PLATA</v>
          </cell>
          <cell r="C559" t="str">
            <v>M2</v>
          </cell>
          <cell r="D559">
            <v>46.265206153846158</v>
          </cell>
          <cell r="E559">
            <v>1</v>
          </cell>
          <cell r="F559">
            <v>53.204987076923075</v>
          </cell>
        </row>
        <row r="560">
          <cell r="A560" t="str">
            <v>AFI03</v>
          </cell>
          <cell r="B560" t="str">
            <v>Afine de enjarre en muro</v>
          </cell>
          <cell r="C560" t="str">
            <v>M2</v>
          </cell>
          <cell r="D560">
            <v>15.662700000000001</v>
          </cell>
          <cell r="E560">
            <v>1</v>
          </cell>
          <cell r="F560">
            <v>18.012104999999998</v>
          </cell>
        </row>
        <row r="561">
          <cell r="A561" t="str">
            <v>AFI03JP</v>
          </cell>
          <cell r="B561" t="str">
            <v>Afine de enjarre en muro PUERTA PLATA</v>
          </cell>
          <cell r="C561" t="str">
            <v>M2</v>
          </cell>
          <cell r="D561">
            <v>27.742051660516605</v>
          </cell>
          <cell r="E561">
            <v>1</v>
          </cell>
          <cell r="F561">
            <v>31.903359409594092</v>
          </cell>
        </row>
        <row r="562">
          <cell r="A562" t="str">
            <v>AFIEX</v>
          </cell>
          <cell r="B562" t="str">
            <v>Afinado de excavacion en cepas</v>
          </cell>
          <cell r="C562" t="str">
            <v>M3</v>
          </cell>
          <cell r="D562">
            <v>125.30160000000001</v>
          </cell>
          <cell r="E562"/>
          <cell r="F562">
            <v>144.09683999999999</v>
          </cell>
        </row>
        <row r="563">
          <cell r="A563" t="str">
            <v>AFIEXS</v>
          </cell>
          <cell r="B563" t="str">
            <v>Afinado de excavacion de maquina en sucio</v>
          </cell>
          <cell r="C563" t="str">
            <v>M3</v>
          </cell>
          <cell r="D563">
            <v>40.096512000000004</v>
          </cell>
          <cell r="E563"/>
          <cell r="F563">
            <v>46.110988800000001</v>
          </cell>
        </row>
        <row r="564">
          <cell r="A564" t="str">
            <v>AJUCCASO</v>
          </cell>
          <cell r="B564" t="str">
            <v>Ajuste de castillo de soga en muro de nivelacion</v>
          </cell>
          <cell r="C564" t="str">
            <v>PZA</v>
          </cell>
          <cell r="D564">
            <v>44.224094117647063</v>
          </cell>
          <cell r="E564">
            <v>1</v>
          </cell>
          <cell r="F564">
            <v>50.857708235294119</v>
          </cell>
        </row>
        <row r="565">
          <cell r="A565" t="str">
            <v>ANC01</v>
          </cell>
          <cell r="B565" t="str">
            <v>Anclado de castillo en hueco de piso y colado</v>
          </cell>
          <cell r="C565" t="str">
            <v>PZA</v>
          </cell>
          <cell r="D565">
            <v>62.650800000000004</v>
          </cell>
          <cell r="E565">
            <v>1</v>
          </cell>
          <cell r="F565">
            <v>72.048419999999993</v>
          </cell>
        </row>
        <row r="566">
          <cell r="A566" t="str">
            <v>ANC02</v>
          </cell>
          <cell r="B566" t="str">
            <v>Anclado y colado de castillo en mamposteo de 40 x40 x 50</v>
          </cell>
          <cell r="C566" t="str">
            <v>PZA</v>
          </cell>
          <cell r="D566">
            <v>107.40137142857144</v>
          </cell>
          <cell r="E566">
            <v>1</v>
          </cell>
          <cell r="F566">
            <v>123.51157714285715</v>
          </cell>
        </row>
        <row r="567">
          <cell r="A567" t="str">
            <v>ANC03</v>
          </cell>
          <cell r="B567" t="str">
            <v>Anclado de castillo en armados</v>
          </cell>
          <cell r="C567" t="str">
            <v>PZA</v>
          </cell>
          <cell r="D567">
            <v>50.120640000000002</v>
          </cell>
          <cell r="E567"/>
          <cell r="F567">
            <v>57.638735999999994</v>
          </cell>
        </row>
        <row r="568">
          <cell r="A568" t="str">
            <v>ANC04</v>
          </cell>
          <cell r="B568" t="str">
            <v>Anclaje de pata de proteccion con colado y parche 20 x 20</v>
          </cell>
          <cell r="C568" t="str">
            <v>PZA</v>
          </cell>
          <cell r="D568">
            <v>44.224094117647063</v>
          </cell>
          <cell r="E568">
            <v>1</v>
          </cell>
          <cell r="F568">
            <v>50.857708235294119</v>
          </cell>
        </row>
        <row r="569">
          <cell r="A569" t="str">
            <v>ANC05</v>
          </cell>
          <cell r="B569" t="str">
            <v>anclaje y colado de pata de polin para cruceta</v>
          </cell>
          <cell r="C569" t="str">
            <v>PZA</v>
          </cell>
          <cell r="D569">
            <v>30.437635627530366</v>
          </cell>
          <cell r="E569">
            <v>1</v>
          </cell>
          <cell r="F569">
            <v>35.003280971659919</v>
          </cell>
        </row>
        <row r="570">
          <cell r="A570" t="str">
            <v>AND01</v>
          </cell>
          <cell r="B570" t="str">
            <v>Andamio, torres, cuerpo de 2 crucetas armado</v>
          </cell>
          <cell r="C570" t="str">
            <v>PZA</v>
          </cell>
          <cell r="D570">
            <v>41.767200000000003</v>
          </cell>
          <cell r="E570"/>
          <cell r="F570">
            <v>48.03228</v>
          </cell>
        </row>
        <row r="571">
          <cell r="A571" t="str">
            <v>AND02</v>
          </cell>
          <cell r="B571" t="str">
            <v>Andamios</v>
          </cell>
          <cell r="C571" t="str">
            <v>ML</v>
          </cell>
          <cell r="D571">
            <v>15.036192000000002</v>
          </cell>
          <cell r="E571"/>
          <cell r="F571">
            <v>17.2916208</v>
          </cell>
        </row>
        <row r="572">
          <cell r="A572" t="str">
            <v>APA01</v>
          </cell>
          <cell r="B572" t="str">
            <v>Apalillado de hormigon, piso o concreto</v>
          </cell>
          <cell r="C572" t="str">
            <v>M2</v>
          </cell>
          <cell r="D572">
            <v>37.590479999999999</v>
          </cell>
          <cell r="E572"/>
          <cell r="F572">
            <v>43.229051999999996</v>
          </cell>
        </row>
        <row r="573">
          <cell r="A573" t="str">
            <v>APAC</v>
          </cell>
          <cell r="B573" t="str">
            <v>Aparentado de dala o castillo hiladas de ladrillo</v>
          </cell>
          <cell r="C573" t="str">
            <v>ML</v>
          </cell>
          <cell r="D573">
            <v>71.943502392344513</v>
          </cell>
          <cell r="E573"/>
          <cell r="F573">
            <v>82.735027751196185</v>
          </cell>
        </row>
        <row r="574">
          <cell r="A574" t="str">
            <v>APU01</v>
          </cell>
          <cell r="B574" t="str">
            <v>Apuntalamiento de decklosa</v>
          </cell>
          <cell r="C574" t="str">
            <v>M2</v>
          </cell>
          <cell r="D574">
            <v>7.9137852631578953</v>
          </cell>
          <cell r="E574"/>
          <cell r="F574">
            <v>9.1008530526315781</v>
          </cell>
        </row>
        <row r="575">
          <cell r="A575" t="str">
            <v>APU02</v>
          </cell>
          <cell r="B575" t="str">
            <v>Apuntalar boveda, losa o cerramientos</v>
          </cell>
          <cell r="C575" t="str">
            <v>M2</v>
          </cell>
          <cell r="D575">
            <v>37.590479999999999</v>
          </cell>
          <cell r="E575"/>
          <cell r="F575">
            <v>43.229051999999996</v>
          </cell>
        </row>
        <row r="576">
          <cell r="A576" t="str">
            <v>ARC01</v>
          </cell>
          <cell r="B576" t="str">
            <v>Forjado de arco,incluye cimbra,cercha m.20</v>
          </cell>
          <cell r="C576" t="str">
            <v>ML</v>
          </cell>
          <cell r="D576">
            <v>375.90480000000002</v>
          </cell>
          <cell r="E576">
            <v>1</v>
          </cell>
          <cell r="F576">
            <v>432.29052000000001</v>
          </cell>
        </row>
        <row r="577">
          <cell r="A577" t="str">
            <v>ARC02</v>
          </cell>
          <cell r="B577" t="str">
            <v>Forjado de arco,incluye cimbra,cercha m.capuchino</v>
          </cell>
          <cell r="C577" t="str">
            <v>ML</v>
          </cell>
          <cell r="D577">
            <v>125.30160000000001</v>
          </cell>
          <cell r="E577">
            <v>1</v>
          </cell>
          <cell r="F577">
            <v>144.09683999999999</v>
          </cell>
        </row>
        <row r="578">
          <cell r="A578" t="str">
            <v>ARC03</v>
          </cell>
          <cell r="B578" t="str">
            <v>Forjado de arco,incluye cimbra,cercha m.soga</v>
          </cell>
          <cell r="C578" t="str">
            <v>ML</v>
          </cell>
          <cell r="D578">
            <v>187.95240000000001</v>
          </cell>
          <cell r="E578">
            <v>1</v>
          </cell>
          <cell r="F578">
            <v>216.14526000000001</v>
          </cell>
        </row>
        <row r="579">
          <cell r="A579" t="str">
            <v>ARC04</v>
          </cell>
          <cell r="B579" t="str">
            <v>Forjado de arco,incluye cimbra,cercha m.tezon</v>
          </cell>
          <cell r="C579" t="str">
            <v>ML</v>
          </cell>
          <cell r="D579">
            <v>358.00457142857141</v>
          </cell>
          <cell r="E579">
            <v>1</v>
          </cell>
          <cell r="F579">
            <v>411.70525714285708</v>
          </cell>
        </row>
        <row r="580">
          <cell r="A580" t="str">
            <v>ARM01</v>
          </cell>
          <cell r="B580" t="str">
            <v>Armado de castillos</v>
          </cell>
          <cell r="C580" t="str">
            <v>KG</v>
          </cell>
          <cell r="D580">
            <v>4.9137882352941178</v>
          </cell>
          <cell r="E580"/>
          <cell r="F580">
            <v>5.6508564705882351</v>
          </cell>
        </row>
        <row r="581">
          <cell r="A581" t="str">
            <v>ARM02</v>
          </cell>
          <cell r="B581" t="str">
            <v>Armado de columnas</v>
          </cell>
          <cell r="C581" t="str">
            <v>KG</v>
          </cell>
          <cell r="D581">
            <v>4.9137882352941178</v>
          </cell>
          <cell r="E581"/>
          <cell r="F581">
            <v>5.6508564705882351</v>
          </cell>
        </row>
        <row r="582">
          <cell r="A582" t="str">
            <v>ARM03</v>
          </cell>
          <cell r="B582" t="str">
            <v>Armado de dados</v>
          </cell>
          <cell r="C582" t="str">
            <v>KG</v>
          </cell>
          <cell r="D582">
            <v>4.9137882352941178</v>
          </cell>
          <cell r="E582"/>
          <cell r="F582">
            <v>5.6508564705882351</v>
          </cell>
        </row>
        <row r="583">
          <cell r="A583" t="str">
            <v>ARM04</v>
          </cell>
          <cell r="B583" t="str">
            <v>Armado de dala o castillo lagartija</v>
          </cell>
          <cell r="C583" t="str">
            <v>ML</v>
          </cell>
          <cell r="D583">
            <v>25.060320000000001</v>
          </cell>
          <cell r="E583"/>
          <cell r="F583">
            <v>28.819367999999997</v>
          </cell>
        </row>
        <row r="584">
          <cell r="A584" t="str">
            <v>ARM05</v>
          </cell>
          <cell r="B584" t="str">
            <v>Armado de dalas diametros varios</v>
          </cell>
          <cell r="C584" t="str">
            <v>KG</v>
          </cell>
          <cell r="D584">
            <v>4.9137882352941178</v>
          </cell>
          <cell r="E584"/>
          <cell r="F584">
            <v>5.6508564705882351</v>
          </cell>
        </row>
        <row r="585">
          <cell r="A585" t="str">
            <v>ARM06</v>
          </cell>
          <cell r="B585" t="str">
            <v>Armado de parrilla para losa de ovalines o closeds</v>
          </cell>
          <cell r="C585" t="str">
            <v>ML</v>
          </cell>
          <cell r="D585">
            <v>75.180959999999999</v>
          </cell>
          <cell r="E585"/>
          <cell r="F585">
            <v>86.458103999999992</v>
          </cell>
        </row>
        <row r="586">
          <cell r="A586" t="str">
            <v>ARM07</v>
          </cell>
          <cell r="B586" t="str">
            <v>Armado parrilla para losa de concreto</v>
          </cell>
          <cell r="C586" t="str">
            <v>KG</v>
          </cell>
          <cell r="D586">
            <v>4.9137882352941178</v>
          </cell>
          <cell r="E586"/>
          <cell r="F586">
            <v>5.6508564705882351</v>
          </cell>
        </row>
        <row r="587">
          <cell r="A587" t="str">
            <v>ARM07g</v>
          </cell>
          <cell r="B587" t="str">
            <v>Armado parrilla para losa de concreto grandes superficies</v>
          </cell>
          <cell r="C587" t="str">
            <v>KG</v>
          </cell>
          <cell r="D587">
            <v>4.4211090855630699</v>
          </cell>
          <cell r="E587"/>
          <cell r="F587">
            <v>5.0842754483975297</v>
          </cell>
        </row>
        <row r="588">
          <cell r="A588" t="str">
            <v>ARM08</v>
          </cell>
          <cell r="B588" t="str">
            <v>Armado parrilla para zapata</v>
          </cell>
          <cell r="C588" t="str">
            <v>KG</v>
          </cell>
          <cell r="D588">
            <v>4.9137882352941178</v>
          </cell>
          <cell r="E588"/>
          <cell r="F588">
            <v>5.6508564705882351</v>
          </cell>
        </row>
        <row r="589">
          <cell r="A589" t="str">
            <v>ARM09</v>
          </cell>
          <cell r="B589" t="str">
            <v>Armado de dala o castillo 3/8" estribos de alambron 20x20</v>
          </cell>
          <cell r="C589" t="str">
            <v>ML</v>
          </cell>
          <cell r="D589">
            <v>39.568926315789476</v>
          </cell>
          <cell r="E589"/>
          <cell r="F589">
            <v>45.50426526315789</v>
          </cell>
        </row>
        <row r="590">
          <cell r="A590" t="str">
            <v>ARM09A</v>
          </cell>
          <cell r="B590" t="str">
            <v>Armado de dala o castillo 3/8" estribos de varillas</v>
          </cell>
          <cell r="C590" t="str">
            <v>ML</v>
          </cell>
          <cell r="D590"/>
          <cell r="E590"/>
          <cell r="F590">
            <v>0</v>
          </cell>
        </row>
        <row r="591">
          <cell r="A591" t="str">
            <v>ARM10</v>
          </cell>
          <cell r="B591" t="str">
            <v>Armado de zapatas, dados, etc. A granel</v>
          </cell>
          <cell r="C591" t="str">
            <v>KG</v>
          </cell>
          <cell r="D591">
            <v>4.0425000000000004</v>
          </cell>
          <cell r="E591"/>
          <cell r="F591">
            <v>4.6488750000000003</v>
          </cell>
        </row>
        <row r="592">
          <cell r="A592" t="str">
            <v>ARMTL</v>
          </cell>
          <cell r="B592" t="str">
            <v>Armado de trabe de liga</v>
          </cell>
          <cell r="C592" t="str">
            <v>KG</v>
          </cell>
          <cell r="D592">
            <v>4.9137882352941178</v>
          </cell>
          <cell r="E592"/>
          <cell r="F592">
            <v>5.6508564705882351</v>
          </cell>
        </row>
        <row r="593">
          <cell r="A593" t="str">
            <v>ARMEX</v>
          </cell>
          <cell r="B593" t="str">
            <v>Colocar armex incluye cortes y acarreos</v>
          </cell>
          <cell r="C593" t="str">
            <v>ML</v>
          </cell>
          <cell r="D593">
            <v>3.7590480000000004</v>
          </cell>
          <cell r="E593"/>
          <cell r="F593">
            <v>4.3229052000000001</v>
          </cell>
        </row>
        <row r="594">
          <cell r="A594" t="str">
            <v>BAJ01</v>
          </cell>
          <cell r="B594" t="str">
            <v>Bajar parrilla y centrar dado, castillo o columna c/hilos</v>
          </cell>
          <cell r="C594" t="str">
            <v>PZA</v>
          </cell>
          <cell r="D594">
            <v>203.19178378378379</v>
          </cell>
          <cell r="E594"/>
          <cell r="F594">
            <v>233.67055135135135</v>
          </cell>
        </row>
        <row r="595">
          <cell r="A595" t="str">
            <v>BANCA</v>
          </cell>
          <cell r="B595" t="str">
            <v>Forro de banca mampara con azulejo</v>
          </cell>
          <cell r="C595" t="str">
            <v>PZA</v>
          </cell>
          <cell r="D595">
            <v>501.20640000000003</v>
          </cell>
          <cell r="E595"/>
          <cell r="F595">
            <v>576.38735999999994</v>
          </cell>
        </row>
        <row r="596">
          <cell r="A596" t="str">
            <v>BAR01</v>
          </cell>
          <cell r="B596" t="str">
            <v>Barbas en dala lagartija para panel W</v>
          </cell>
          <cell r="C596" t="str">
            <v>PZA</v>
          </cell>
          <cell r="D596">
            <v>13.669265454545455</v>
          </cell>
          <cell r="E596"/>
          <cell r="F596">
            <v>15.719655272727271</v>
          </cell>
        </row>
        <row r="597">
          <cell r="A597" t="str">
            <v>BARRE</v>
          </cell>
          <cell r="B597" t="str">
            <v>Barreno en azulejo, rejillas y tubos</v>
          </cell>
          <cell r="C597" t="str">
            <v>PZA</v>
          </cell>
          <cell r="D597">
            <v>59.952918660287089</v>
          </cell>
          <cell r="E597"/>
          <cell r="F597">
            <v>68.945856459330145</v>
          </cell>
        </row>
        <row r="598">
          <cell r="A598" t="str">
            <v>BARREVA</v>
          </cell>
          <cell r="B598" t="str">
            <v>Barreno en concreto para varillas</v>
          </cell>
          <cell r="C598" t="str">
            <v>PZA</v>
          </cell>
          <cell r="D598">
            <v>16.706880000000002</v>
          </cell>
          <cell r="E598"/>
          <cell r="F598">
            <v>19.212911999999999</v>
          </cell>
        </row>
        <row r="599">
          <cell r="A599" t="str">
            <v>BAS01</v>
          </cell>
          <cell r="B599" t="str">
            <v>Bastones para malla lack, panel, armados</v>
          </cell>
          <cell r="C599" t="str">
            <v>PZA</v>
          </cell>
          <cell r="D599">
            <v>13.669265454545455</v>
          </cell>
          <cell r="E599"/>
          <cell r="F599">
            <v>15.719655272727271</v>
          </cell>
        </row>
        <row r="600">
          <cell r="A600" t="str">
            <v>BASEA</v>
          </cell>
          <cell r="B600" t="str">
            <v>Base para equipo de aire acondicionado 70 x 70</v>
          </cell>
          <cell r="C600" t="str">
            <v>PZA</v>
          </cell>
          <cell r="D600">
            <v>375.90480000000002</v>
          </cell>
          <cell r="E600"/>
          <cell r="F600">
            <v>432.29052000000001</v>
          </cell>
        </row>
        <row r="601">
          <cell r="A601" t="str">
            <v>BASET</v>
          </cell>
          <cell r="B601" t="str">
            <v>Base de ladrillo para tuberia, perfilada</v>
          </cell>
          <cell r="C601" t="str">
            <v>PZA</v>
          </cell>
          <cell r="D601">
            <v>75.180959999999999</v>
          </cell>
          <cell r="E601"/>
          <cell r="F601">
            <v>86.458103999999992</v>
          </cell>
        </row>
        <row r="602">
          <cell r="A602" t="str">
            <v>BAYO</v>
          </cell>
          <cell r="B602" t="str">
            <v xml:space="preserve">Bayoneteo de varillas </v>
          </cell>
          <cell r="C602" t="str">
            <v>PZA</v>
          </cell>
          <cell r="D602">
            <v>3.0072384000000003</v>
          </cell>
          <cell r="E602"/>
          <cell r="F602">
            <v>3.4583241600000001</v>
          </cell>
        </row>
        <row r="603">
          <cell r="A603" t="str">
            <v>BOL01</v>
          </cell>
          <cell r="B603" t="str">
            <v>Boleado apalillado en aristas muros</v>
          </cell>
          <cell r="C603" t="str">
            <v>ML</v>
          </cell>
          <cell r="D603">
            <v>30.072384000000003</v>
          </cell>
          <cell r="E603"/>
          <cell r="F603">
            <v>34.583241600000001</v>
          </cell>
        </row>
        <row r="604">
          <cell r="A604" t="str">
            <v>BOL02</v>
          </cell>
          <cell r="B604" t="str">
            <v>Boleado pulido en aristas muros</v>
          </cell>
          <cell r="C604" t="str">
            <v>ML</v>
          </cell>
          <cell r="D604">
            <v>37.590479999999999</v>
          </cell>
          <cell r="E604"/>
          <cell r="F604">
            <v>43.229051999999996</v>
          </cell>
        </row>
        <row r="605">
          <cell r="A605" t="str">
            <v>BOL03</v>
          </cell>
          <cell r="B605" t="str">
            <v>Boleado rustico en aristas de muros</v>
          </cell>
          <cell r="C605" t="str">
            <v>ML</v>
          </cell>
          <cell r="D605">
            <v>25.060320000000001</v>
          </cell>
          <cell r="E605"/>
          <cell r="F605">
            <v>28.819367999999997</v>
          </cell>
        </row>
        <row r="606">
          <cell r="A606" t="str">
            <v>BOND</v>
          </cell>
          <cell r="B606" t="str">
            <v>Aplicar festerbond en superficies</v>
          </cell>
          <cell r="C606" t="str">
            <v>M2</v>
          </cell>
          <cell r="D606">
            <v>9.3976199999999999</v>
          </cell>
          <cell r="E606"/>
          <cell r="F606">
            <v>10.807262999999999</v>
          </cell>
        </row>
        <row r="607">
          <cell r="A607" t="str">
            <v>BOQ01</v>
          </cell>
          <cell r="B607" t="str">
            <v>Boquilla 1 rostro en herreria</v>
          </cell>
          <cell r="C607" t="str">
            <v>ML</v>
          </cell>
          <cell r="D607">
            <v>37.590479999999999</v>
          </cell>
          <cell r="E607">
            <v>1</v>
          </cell>
          <cell r="F607">
            <v>43.229051999999996</v>
          </cell>
        </row>
        <row r="608">
          <cell r="A608" t="str">
            <v>BOQ02</v>
          </cell>
          <cell r="B608" t="str">
            <v>Boquilla boleada</v>
          </cell>
          <cell r="C608" t="str">
            <v>ML</v>
          </cell>
          <cell r="D608">
            <v>75.180959999999999</v>
          </cell>
          <cell r="E608">
            <v>1</v>
          </cell>
          <cell r="F608">
            <v>86.458103999999992</v>
          </cell>
        </row>
        <row r="609">
          <cell r="A609" t="str">
            <v>BOQ03</v>
          </cell>
          <cell r="B609" t="str">
            <v>Boquilla</v>
          </cell>
          <cell r="C609" t="str">
            <v>ML</v>
          </cell>
          <cell r="D609">
            <v>50.120640000000002</v>
          </cell>
          <cell r="E609">
            <v>1</v>
          </cell>
          <cell r="F609">
            <v>57.638735999999994</v>
          </cell>
        </row>
        <row r="610">
          <cell r="A610" t="str">
            <v>BOQ04</v>
          </cell>
          <cell r="B610" t="str">
            <v>Boquillas en azulejo</v>
          </cell>
          <cell r="C610" t="str">
            <v>ML</v>
          </cell>
          <cell r="D610">
            <v>93.976200000000006</v>
          </cell>
          <cell r="E610"/>
          <cell r="F610">
            <v>108.07263</v>
          </cell>
        </row>
        <row r="611">
          <cell r="A611" t="str">
            <v>BOQ05</v>
          </cell>
          <cell r="B611" t="str">
            <v>Boquilla de arco</v>
          </cell>
          <cell r="C611" t="str">
            <v>ML</v>
          </cell>
          <cell r="D611">
            <v>93.976200000000006</v>
          </cell>
          <cell r="E611">
            <v>1</v>
          </cell>
          <cell r="F611">
            <v>108.07263</v>
          </cell>
        </row>
        <row r="612">
          <cell r="A612" t="str">
            <v>BOQ06</v>
          </cell>
          <cell r="B612" t="str">
            <v>Boquilla terminado rustico</v>
          </cell>
          <cell r="C612" t="str">
            <v>ML</v>
          </cell>
          <cell r="D612">
            <v>75.180959999999999</v>
          </cell>
          <cell r="E612">
            <v>1</v>
          </cell>
          <cell r="F612">
            <v>86.458103999999992</v>
          </cell>
        </row>
        <row r="613">
          <cell r="A613" t="str">
            <v>BOQAF</v>
          </cell>
          <cell r="B613" t="str">
            <v>Boquilla terminado afinado esp max 30 cms</v>
          </cell>
          <cell r="C613" t="str">
            <v>ML</v>
          </cell>
          <cell r="D613">
            <v>68.346327272727279</v>
          </cell>
          <cell r="E613">
            <v>1</v>
          </cell>
          <cell r="F613">
            <v>78.598276363636359</v>
          </cell>
        </row>
        <row r="614">
          <cell r="A614" t="str">
            <v>BOV01</v>
          </cell>
          <cell r="B614" t="str">
            <v>Boveda de cuña en limpio</v>
          </cell>
          <cell r="C614" t="str">
            <v>M2</v>
          </cell>
          <cell r="D614">
            <v>150.36192</v>
          </cell>
          <cell r="E614">
            <v>1</v>
          </cell>
          <cell r="F614">
            <v>172.91620799999998</v>
          </cell>
        </row>
        <row r="615">
          <cell r="A615" t="str">
            <v>BOV02</v>
          </cell>
          <cell r="B615" t="str">
            <v>Boveda de cuña en limpio 2a h.</v>
          </cell>
          <cell r="C615" t="str">
            <v>M2</v>
          </cell>
          <cell r="D615">
            <v>167.06880000000001</v>
          </cell>
          <cell r="E615">
            <v>1</v>
          </cell>
          <cell r="F615">
            <v>192.12912</v>
          </cell>
        </row>
        <row r="616">
          <cell r="A616" t="str">
            <v>BOV03</v>
          </cell>
          <cell r="B616" t="str">
            <v>Boveda de cuña en losa inclinada</v>
          </cell>
          <cell r="C616" t="str">
            <v>M2</v>
          </cell>
          <cell r="D616">
            <v>107.40137142857144</v>
          </cell>
          <cell r="E616">
            <v>1</v>
          </cell>
          <cell r="F616">
            <v>123.51157714285715</v>
          </cell>
        </row>
        <row r="617">
          <cell r="A617" t="str">
            <v>BOV04</v>
          </cell>
          <cell r="B617" t="str">
            <v>Boveda de cuña en losa inclinada 2a h.</v>
          </cell>
          <cell r="C617" t="str">
            <v>M2</v>
          </cell>
          <cell r="D617">
            <v>123.51157714285715</v>
          </cell>
          <cell r="E617">
            <v>1</v>
          </cell>
          <cell r="F617">
            <v>142.03831371428572</v>
          </cell>
        </row>
        <row r="618">
          <cell r="A618" t="str">
            <v>BOV05</v>
          </cell>
          <cell r="B618" t="str">
            <v>Boveda de cuña en sucio</v>
          </cell>
          <cell r="C618" t="str">
            <v>M2</v>
          </cell>
          <cell r="D618">
            <v>115.66301538461539</v>
          </cell>
          <cell r="E618">
            <v>1</v>
          </cell>
          <cell r="F618">
            <v>133.01246769230769</v>
          </cell>
        </row>
        <row r="619">
          <cell r="A619" t="str">
            <v>BOV06</v>
          </cell>
          <cell r="B619" t="str">
            <v>Boveda de cuña en sucio 2a h.</v>
          </cell>
          <cell r="C619" t="str">
            <v>M2</v>
          </cell>
          <cell r="D619">
            <v>133.01246769230769</v>
          </cell>
          <cell r="E619">
            <v>1</v>
          </cell>
          <cell r="F619">
            <v>152.96433784615382</v>
          </cell>
        </row>
        <row r="620">
          <cell r="A620" t="str">
            <v>BROC1</v>
          </cell>
          <cell r="B620" t="str">
            <v>Colocar brocal en pozo de visita</v>
          </cell>
          <cell r="C620" t="str">
            <v>PZA</v>
          </cell>
          <cell r="D620">
            <v>150.36192</v>
          </cell>
          <cell r="E620"/>
          <cell r="F620">
            <v>172.91620799999998</v>
          </cell>
        </row>
        <row r="621">
          <cell r="A621" t="str">
            <v>CAB01</v>
          </cell>
          <cell r="B621" t="str">
            <v>Caballete en aristas de teja</v>
          </cell>
          <cell r="C621" t="str">
            <v>ML</v>
          </cell>
          <cell r="D621">
            <v>107.40137142857144</v>
          </cell>
          <cell r="E621">
            <v>1</v>
          </cell>
          <cell r="F621">
            <v>123.51157714285715</v>
          </cell>
        </row>
        <row r="622">
          <cell r="A622" t="str">
            <v>CAJ01</v>
          </cell>
          <cell r="B622" t="str">
            <v>Abrir, forjar y terminar caja de luz cortesia</v>
          </cell>
          <cell r="C622" t="str">
            <v>PZA</v>
          </cell>
          <cell r="D622">
            <v>659.48210526315802</v>
          </cell>
          <cell r="E622"/>
          <cell r="F622">
            <v>758.40442105263162</v>
          </cell>
        </row>
        <row r="623">
          <cell r="A623" t="str">
            <v>CAL01</v>
          </cell>
          <cell r="B623" t="str">
            <v>Calavereado muro abultado en mamposteo</v>
          </cell>
          <cell r="C623" t="str">
            <v>M2</v>
          </cell>
          <cell r="D623">
            <v>93.976200000000006</v>
          </cell>
          <cell r="E623">
            <v>1</v>
          </cell>
          <cell r="F623">
            <v>108.07263</v>
          </cell>
        </row>
        <row r="624">
          <cell r="A624" t="str">
            <v>CAL02</v>
          </cell>
          <cell r="B624" t="str">
            <v>Calavereado muro embutido en mamposteo</v>
          </cell>
          <cell r="C624" t="str">
            <v>M2</v>
          </cell>
          <cell r="D624">
            <v>65.948210526315791</v>
          </cell>
          <cell r="E624">
            <v>1</v>
          </cell>
          <cell r="F624">
            <v>75.840442105263151</v>
          </cell>
        </row>
        <row r="625">
          <cell r="A625" t="str">
            <v>CALAF</v>
          </cell>
          <cell r="B625" t="str">
            <v>Calafateo de junta de dilatacion</v>
          </cell>
          <cell r="C625" t="str">
            <v>ML</v>
          </cell>
          <cell r="D625">
            <v>25.060320000000001</v>
          </cell>
          <cell r="E625"/>
          <cell r="F625">
            <v>28.819367999999997</v>
          </cell>
        </row>
        <row r="626">
          <cell r="A626" t="str">
            <v>CAMI</v>
          </cell>
          <cell r="B626" t="str">
            <v>Cama individual terminada</v>
          </cell>
          <cell r="C626" t="str">
            <v>PZA</v>
          </cell>
          <cell r="D626">
            <v>2506.0320000000002</v>
          </cell>
          <cell r="E626"/>
          <cell r="F626">
            <v>2881.9367999999999</v>
          </cell>
        </row>
        <row r="627">
          <cell r="A627" t="str">
            <v>CAMK</v>
          </cell>
          <cell r="B627" t="str">
            <v>Cama king size terminada</v>
          </cell>
          <cell r="C627" t="str">
            <v>PZA</v>
          </cell>
          <cell r="D627">
            <v>3759.0480000000002</v>
          </cell>
          <cell r="E627"/>
          <cell r="F627">
            <v>4322.9052000000001</v>
          </cell>
        </row>
        <row r="628">
          <cell r="A628" t="str">
            <v>CAMM</v>
          </cell>
          <cell r="B628" t="str">
            <v>Cama matrimonial terminada</v>
          </cell>
          <cell r="C628" t="str">
            <v>PZA</v>
          </cell>
          <cell r="D628">
            <v>3007.2384000000002</v>
          </cell>
          <cell r="E628"/>
          <cell r="F628">
            <v>3458.3241600000001</v>
          </cell>
        </row>
        <row r="629">
          <cell r="A629" t="str">
            <v>CAMQ</v>
          </cell>
          <cell r="B629" t="str">
            <v>Cama queen size terminada</v>
          </cell>
          <cell r="C629" t="str">
            <v>PZA</v>
          </cell>
          <cell r="D629">
            <v>3417.3163636363638</v>
          </cell>
          <cell r="E629"/>
          <cell r="F629">
            <v>3929.913818181818</v>
          </cell>
        </row>
        <row r="630">
          <cell r="A630" t="str">
            <v>CAMT</v>
          </cell>
          <cell r="B630" t="str">
            <v>Cama para sentar tuberia</v>
          </cell>
          <cell r="C630" t="str">
            <v>ML</v>
          </cell>
          <cell r="D630">
            <v>12.53016</v>
          </cell>
          <cell r="E630"/>
          <cell r="F630">
            <v>14.409683999999999</v>
          </cell>
        </row>
        <row r="631">
          <cell r="A631" t="str">
            <v>CANES</v>
          </cell>
          <cell r="B631" t="str">
            <v>Canes de varilla p/sujecion reglas boquillas</v>
          </cell>
          <cell r="C631" t="str">
            <v>PZA</v>
          </cell>
          <cell r="D631">
            <v>13.669265454545455</v>
          </cell>
          <cell r="E631"/>
          <cell r="F631">
            <v>15.719655272727271</v>
          </cell>
        </row>
        <row r="632">
          <cell r="A632" t="str">
            <v>CARR1</v>
          </cell>
          <cell r="B632" t="str">
            <v>Carrucha en fachadas para acarreo material</v>
          </cell>
          <cell r="C632" t="str">
            <v>PZA</v>
          </cell>
          <cell r="D632">
            <v>107.40137142857144</v>
          </cell>
          <cell r="E632"/>
          <cell r="F632">
            <v>123.51157714285715</v>
          </cell>
        </row>
        <row r="633">
          <cell r="A633" t="str">
            <v>CCA01</v>
          </cell>
          <cell r="B633" t="str">
            <v>C.y colar castillo 3 caras p/20</v>
          </cell>
          <cell r="C633" t="str">
            <v>ML</v>
          </cell>
          <cell r="D633">
            <v>93.976200000000006</v>
          </cell>
          <cell r="E633">
            <v>1</v>
          </cell>
          <cell r="F633">
            <v>108.07263</v>
          </cell>
        </row>
        <row r="634">
          <cell r="A634" t="str">
            <v>CCA02</v>
          </cell>
          <cell r="B634" t="str">
            <v>C.y colar castillo 3 caras p/20 2a h.</v>
          </cell>
          <cell r="C634" t="str">
            <v>ML</v>
          </cell>
          <cell r="D634">
            <v>108.07262999999999</v>
          </cell>
          <cell r="E634">
            <v>1</v>
          </cell>
          <cell r="F634">
            <v>124.28352449999998</v>
          </cell>
        </row>
        <row r="635">
          <cell r="A635" t="str">
            <v>CCA03</v>
          </cell>
          <cell r="B635" t="str">
            <v>C.y colar castillo 3 caras p/capuchino o lagartija</v>
          </cell>
          <cell r="C635" t="str">
            <v>ML</v>
          </cell>
          <cell r="D635">
            <v>68.346327272727279</v>
          </cell>
          <cell r="E635">
            <v>1</v>
          </cell>
          <cell r="F635">
            <v>78.598276363636359</v>
          </cell>
        </row>
        <row r="636">
          <cell r="A636" t="str">
            <v>CCA04</v>
          </cell>
          <cell r="B636" t="str">
            <v>C.y colar castillo 3 caras p/capuchino 2a h.</v>
          </cell>
          <cell r="C636" t="str">
            <v>ML</v>
          </cell>
          <cell r="D636">
            <v>78.313500000000005</v>
          </cell>
          <cell r="E636">
            <v>1</v>
          </cell>
          <cell r="F636">
            <v>90.060524999999998</v>
          </cell>
        </row>
        <row r="637">
          <cell r="A637" t="str">
            <v>CCA05</v>
          </cell>
          <cell r="B637" t="str">
            <v>C.y colar castillo 3 caras p/soga</v>
          </cell>
          <cell r="C637" t="str">
            <v>ML</v>
          </cell>
          <cell r="D637">
            <v>75.180959999999999</v>
          </cell>
          <cell r="E637">
            <v>1</v>
          </cell>
          <cell r="F637">
            <v>86.458103999999992</v>
          </cell>
        </row>
        <row r="638">
          <cell r="A638" t="str">
            <v>CCA06</v>
          </cell>
          <cell r="B638" t="str">
            <v>C.y colar castillo 3 caras p/soga 2a h.</v>
          </cell>
          <cell r="C638" t="str">
            <v>ML</v>
          </cell>
          <cell r="D638">
            <v>86.458103999999992</v>
          </cell>
          <cell r="E638">
            <v>1</v>
          </cell>
          <cell r="F638">
            <v>99.426819599999988</v>
          </cell>
        </row>
        <row r="639">
          <cell r="A639" t="str">
            <v>CCA07</v>
          </cell>
          <cell r="B639" t="str">
            <v>C.y colar castillo 3 caras p/tezon</v>
          </cell>
          <cell r="C639" t="str">
            <v>ML</v>
          </cell>
          <cell r="D639">
            <v>107.40137142857144</v>
          </cell>
          <cell r="E639">
            <v>1</v>
          </cell>
          <cell r="F639">
            <v>123.51157714285715</v>
          </cell>
        </row>
        <row r="640">
          <cell r="A640" t="str">
            <v>CCA08</v>
          </cell>
          <cell r="B640" t="str">
            <v>C.y colar castillo 3 caras p/tezon 2a h.</v>
          </cell>
          <cell r="C640" t="str">
            <v>ML</v>
          </cell>
          <cell r="D640">
            <v>123.51157714285715</v>
          </cell>
          <cell r="E640">
            <v>1</v>
          </cell>
          <cell r="F640">
            <v>142.03831371428572</v>
          </cell>
        </row>
        <row r="641">
          <cell r="A641" t="str">
            <v>CCA09</v>
          </cell>
          <cell r="B641" t="str">
            <v>C.y colar castillo p/20</v>
          </cell>
          <cell r="C641" t="str">
            <v>ML</v>
          </cell>
          <cell r="D641">
            <v>79.137852631578951</v>
          </cell>
          <cell r="E641">
            <v>1</v>
          </cell>
          <cell r="F641">
            <v>91.008530526315781</v>
          </cell>
        </row>
        <row r="642">
          <cell r="A642" t="str">
            <v>CCA10</v>
          </cell>
          <cell r="B642" t="str">
            <v>C.y colar castillo p/20 2a h.</v>
          </cell>
          <cell r="C642" t="str">
            <v>ML</v>
          </cell>
          <cell r="D642">
            <v>91.128436363636368</v>
          </cell>
          <cell r="E642">
            <v>1</v>
          </cell>
          <cell r="F642">
            <v>104.79770181818182</v>
          </cell>
        </row>
        <row r="643">
          <cell r="A643" t="str">
            <v>CCA11</v>
          </cell>
          <cell r="B643" t="str">
            <v>C.y colar castillo p/capuchino o lagartija</v>
          </cell>
          <cell r="C643" t="str">
            <v>ML</v>
          </cell>
          <cell r="D643">
            <v>60.144768000000006</v>
          </cell>
          <cell r="E643">
            <v>1</v>
          </cell>
          <cell r="F643">
            <v>69.166483200000002</v>
          </cell>
        </row>
        <row r="644">
          <cell r="A644" t="str">
            <v>CCA12</v>
          </cell>
          <cell r="B644" t="str">
            <v>C.y colar castillo p/capuchino 2a h.</v>
          </cell>
          <cell r="C644" t="str">
            <v>ML</v>
          </cell>
          <cell r="D644">
            <v>68.973357798165139</v>
          </cell>
          <cell r="E644">
            <v>1</v>
          </cell>
          <cell r="F644">
            <v>79.319361467889905</v>
          </cell>
        </row>
        <row r="645">
          <cell r="A645" t="str">
            <v>CCA13</v>
          </cell>
          <cell r="B645" t="str">
            <v>C.y colar castillo p/soga</v>
          </cell>
          <cell r="C645" t="str">
            <v>ML</v>
          </cell>
          <cell r="D645">
            <v>65.37474782608696</v>
          </cell>
          <cell r="E645">
            <v>1</v>
          </cell>
          <cell r="F645">
            <v>75.180959999999999</v>
          </cell>
        </row>
        <row r="646">
          <cell r="A646" t="str">
            <v>CCA14</v>
          </cell>
          <cell r="B646" t="str">
            <v>C.y colar castillo p/soga 2a h.</v>
          </cell>
          <cell r="C646" t="str">
            <v>ML</v>
          </cell>
          <cell r="D646">
            <v>75.180959999999999</v>
          </cell>
          <cell r="E646">
            <v>1</v>
          </cell>
          <cell r="F646">
            <v>86.458103999999992</v>
          </cell>
        </row>
        <row r="647">
          <cell r="A647" t="str">
            <v>CCA15</v>
          </cell>
          <cell r="B647" t="str">
            <v>C.y colar castillo p/tezon</v>
          </cell>
          <cell r="C647" t="str">
            <v>ML</v>
          </cell>
          <cell r="D647">
            <v>88.448188235294126</v>
          </cell>
          <cell r="E647">
            <v>1</v>
          </cell>
          <cell r="F647">
            <v>101.71541647058824</v>
          </cell>
        </row>
        <row r="648">
          <cell r="A648" t="str">
            <v>CCA16</v>
          </cell>
          <cell r="B648" t="str">
            <v>C.y colar castillo p/tezon 2a h.</v>
          </cell>
          <cell r="C648" t="str">
            <v>ML</v>
          </cell>
          <cell r="D648">
            <v>101.71541647058822</v>
          </cell>
          <cell r="E648">
            <v>1</v>
          </cell>
          <cell r="F648">
            <v>116.97272894117644</v>
          </cell>
        </row>
        <row r="649">
          <cell r="A649" t="str">
            <v>CCA17</v>
          </cell>
          <cell r="B649" t="str">
            <v>C y colar castillo 4 caras</v>
          </cell>
          <cell r="C649" t="str">
            <v>ML</v>
          </cell>
          <cell r="D649">
            <v>125.30160000000001</v>
          </cell>
          <cell r="E649">
            <v>1</v>
          </cell>
          <cell r="F649">
            <v>144.09683999999999</v>
          </cell>
        </row>
        <row r="650">
          <cell r="A650" t="str">
            <v>CCA201</v>
          </cell>
          <cell r="B650" t="str">
            <v>Cimbrar y colar castillo de 1 rostro muro de 20 c/twinos</v>
          </cell>
          <cell r="C650" t="str">
            <v>ML</v>
          </cell>
          <cell r="D650">
            <v>107.40137142857144</v>
          </cell>
          <cell r="E650">
            <v>1</v>
          </cell>
          <cell r="F650">
            <v>123.51157714285715</v>
          </cell>
        </row>
        <row r="651">
          <cell r="A651" t="str">
            <v>CCA202</v>
          </cell>
          <cell r="B651" t="str">
            <v>Cimbrar y colar castillo de 2 rostros muro de 20 c/twinos</v>
          </cell>
          <cell r="C651" t="str">
            <v>ML</v>
          </cell>
          <cell r="D651">
            <v>136.69265454545456</v>
          </cell>
          <cell r="E651">
            <v>1</v>
          </cell>
          <cell r="F651">
            <v>157.19655272727272</v>
          </cell>
        </row>
        <row r="652">
          <cell r="A652" t="str">
            <v>CCA203</v>
          </cell>
          <cell r="B652" t="str">
            <v>Cimbrar y colar castillo de 20 a 3a h</v>
          </cell>
          <cell r="C652" t="str">
            <v>ML</v>
          </cell>
          <cell r="D652">
            <v>102.98761643835617</v>
          </cell>
          <cell r="E652">
            <v>1</v>
          </cell>
          <cell r="F652">
            <v>118.43575890410959</v>
          </cell>
        </row>
        <row r="653">
          <cell r="A653" t="str">
            <v>CCA25</v>
          </cell>
          <cell r="B653" t="str">
            <v>C.y colar castillo para muro de 25</v>
          </cell>
          <cell r="C653" t="str">
            <v>ML</v>
          </cell>
          <cell r="D653">
            <v>98.275764705882352</v>
          </cell>
          <cell r="E653">
            <v>1</v>
          </cell>
          <cell r="F653">
            <v>113.0171294117647</v>
          </cell>
        </row>
        <row r="654">
          <cell r="A654" t="str">
            <v>CCA252</v>
          </cell>
          <cell r="B654" t="str">
            <v>C.y colar castillo para muro de 25 2a h</v>
          </cell>
          <cell r="C654" t="str">
            <v>ML</v>
          </cell>
          <cell r="D654">
            <v>113.0171294117647</v>
          </cell>
          <cell r="E654">
            <v>1</v>
          </cell>
          <cell r="F654">
            <v>129.9696988235294</v>
          </cell>
        </row>
        <row r="655">
          <cell r="A655" t="str">
            <v>CCA253</v>
          </cell>
          <cell r="B655" t="str">
            <v>C.y colar castillo para muro de 25 3a h</v>
          </cell>
          <cell r="C655" t="str">
            <v>ML</v>
          </cell>
          <cell r="D655">
            <v>129.9696988235294</v>
          </cell>
          <cell r="E655">
            <v>1</v>
          </cell>
          <cell r="F655">
            <v>149.4651536470588</v>
          </cell>
        </row>
        <row r="656">
          <cell r="A656" t="str">
            <v>CCA253C</v>
          </cell>
          <cell r="B656" t="str">
            <v>C.y colar castillo 3 caras para muro 25</v>
          </cell>
          <cell r="C656" t="str">
            <v>ML</v>
          </cell>
          <cell r="D656">
            <v>117.47025000000001</v>
          </cell>
          <cell r="E656">
            <v>1</v>
          </cell>
          <cell r="F656">
            <v>135.0907875</v>
          </cell>
        </row>
        <row r="657">
          <cell r="A657" t="str">
            <v>CCA253C2</v>
          </cell>
          <cell r="B657" t="str">
            <v>C.y colar castillo 3 caras para muro 25 2a h</v>
          </cell>
          <cell r="C657" t="str">
            <v>ML</v>
          </cell>
          <cell r="D657">
            <v>135.09078749999998</v>
          </cell>
          <cell r="E657">
            <v>1</v>
          </cell>
          <cell r="F657">
            <v>155.35440562499997</v>
          </cell>
        </row>
        <row r="658">
          <cell r="A658" t="str">
            <v>CCA35</v>
          </cell>
          <cell r="B658" t="str">
            <v>C.y colar castillo para muro de 35</v>
          </cell>
          <cell r="C658" t="str">
            <v>ML</v>
          </cell>
          <cell r="D658">
            <v>196.12424347826087</v>
          </cell>
          <cell r="E658">
            <v>1</v>
          </cell>
          <cell r="F658">
            <v>225.54287999999997</v>
          </cell>
        </row>
        <row r="659">
          <cell r="A659" t="str">
            <v>CCASO3</v>
          </cell>
          <cell r="B659" t="str">
            <v>Cimbrar y colar castillo de soga a 3a h</v>
          </cell>
          <cell r="C659" t="str">
            <v>ML</v>
          </cell>
          <cell r="D659">
            <v>81.718434782608711</v>
          </cell>
          <cell r="E659">
            <v>1</v>
          </cell>
          <cell r="F659">
            <v>93.976200000000006</v>
          </cell>
        </row>
        <row r="660">
          <cell r="A660" t="str">
            <v>CCASO4</v>
          </cell>
          <cell r="B660" t="str">
            <v>Cimbrar y colar castillo de soga a 4a h</v>
          </cell>
          <cell r="C660" t="str">
            <v>ML</v>
          </cell>
          <cell r="D660">
            <v>93.976200000000006</v>
          </cell>
          <cell r="E660">
            <v>1</v>
          </cell>
          <cell r="F660">
            <v>108.07263</v>
          </cell>
        </row>
        <row r="661">
          <cell r="A661" t="str">
            <v>CCASO5</v>
          </cell>
          <cell r="B661" t="str">
            <v>Cimbrar y colar castillo de soga a 5a h</v>
          </cell>
          <cell r="C661" t="str">
            <v>ML</v>
          </cell>
          <cell r="D661">
            <v>108.07262999999999</v>
          </cell>
          <cell r="E661">
            <v>1</v>
          </cell>
          <cell r="F661">
            <v>124.28352449999998</v>
          </cell>
        </row>
        <row r="662">
          <cell r="A662" t="str">
            <v>CCATE3</v>
          </cell>
          <cell r="B662" t="str">
            <v>Cimbrar y colar castillo de tezon a 3a h</v>
          </cell>
          <cell r="C662" t="str">
            <v>ML</v>
          </cell>
          <cell r="D662">
            <v>122.16906000000002</v>
          </cell>
          <cell r="E662">
            <v>1</v>
          </cell>
          <cell r="F662">
            <v>140.49441899999999</v>
          </cell>
        </row>
        <row r="663">
          <cell r="A663" t="str">
            <v>CCATE4</v>
          </cell>
          <cell r="B663" t="str">
            <v>Cimbrar y colar castillo de tezon a 4a h</v>
          </cell>
          <cell r="C663" t="str">
            <v>ML</v>
          </cell>
          <cell r="D663">
            <v>140.49441900000002</v>
          </cell>
          <cell r="E663">
            <v>1</v>
          </cell>
          <cell r="F663">
            <v>161.56858185000002</v>
          </cell>
        </row>
        <row r="664">
          <cell r="A664" t="str">
            <v>CCATE5</v>
          </cell>
          <cell r="B664" t="str">
            <v>Cimbrar y colar castillo de tezon a 5a h</v>
          </cell>
          <cell r="C664" t="str">
            <v>ML</v>
          </cell>
          <cell r="D664">
            <v>161.56858185000002</v>
          </cell>
          <cell r="E664">
            <v>1</v>
          </cell>
          <cell r="F664">
            <v>185.80386912750001</v>
          </cell>
        </row>
        <row r="665">
          <cell r="A665" t="str">
            <v>CCATE1R</v>
          </cell>
          <cell r="B665" t="str">
            <v>Cimbrar y colar castillo de 1 rostro muro tezon c/twinos</v>
          </cell>
          <cell r="C665" t="str">
            <v>ML</v>
          </cell>
          <cell r="D665">
            <v>113.73821482602118</v>
          </cell>
          <cell r="E665">
            <v>1</v>
          </cell>
          <cell r="F665">
            <v>130.79894704992435</v>
          </cell>
        </row>
        <row r="666">
          <cell r="A666" t="str">
            <v>CCE20</v>
          </cell>
          <cell r="B666" t="str">
            <v>C. y colar cerramiento muro 20</v>
          </cell>
          <cell r="C666" t="str">
            <v>ML</v>
          </cell>
          <cell r="D666">
            <v>125.30160000000001</v>
          </cell>
          <cell r="E666">
            <v>1</v>
          </cell>
          <cell r="F666">
            <v>144.09683999999999</v>
          </cell>
        </row>
        <row r="667">
          <cell r="A667" t="str">
            <v>CCE25</v>
          </cell>
          <cell r="B667" t="str">
            <v>C. y colar cerramiento muro de 25</v>
          </cell>
          <cell r="C667" t="str">
            <v>ML</v>
          </cell>
          <cell r="D667">
            <v>159.95948936170214</v>
          </cell>
          <cell r="E667">
            <v>1</v>
          </cell>
          <cell r="F667">
            <v>183.95341276595744</v>
          </cell>
        </row>
        <row r="668">
          <cell r="A668" t="str">
            <v>CCE35</v>
          </cell>
          <cell r="B668" t="str">
            <v>C. y colar cerramiento muro de 35</v>
          </cell>
          <cell r="C668" t="str">
            <v>ML</v>
          </cell>
          <cell r="D668">
            <v>319.91897872340428</v>
          </cell>
          <cell r="E668">
            <v>1</v>
          </cell>
          <cell r="F668">
            <v>367.90682553191488</v>
          </cell>
        </row>
        <row r="669">
          <cell r="A669" t="str">
            <v>CCECA</v>
          </cell>
          <cell r="B669" t="str">
            <v>C. y colar cerramiento muro capuchino o lagartija</v>
          </cell>
          <cell r="C669" t="str">
            <v>ML</v>
          </cell>
          <cell r="D669">
            <v>68.346327272727279</v>
          </cell>
          <cell r="E669">
            <v>1</v>
          </cell>
          <cell r="F669">
            <v>78.598276363636359</v>
          </cell>
        </row>
        <row r="670">
          <cell r="A670" t="str">
            <v>CCESO</v>
          </cell>
          <cell r="B670" t="str">
            <v>C. y colar cerramiento muro soga</v>
          </cell>
          <cell r="C670" t="str">
            <v>ML</v>
          </cell>
          <cell r="D670">
            <v>83.534400000000005</v>
          </cell>
          <cell r="E670">
            <v>1</v>
          </cell>
          <cell r="F670">
            <v>96.06456</v>
          </cell>
        </row>
        <row r="671">
          <cell r="A671" t="str">
            <v>CCETE</v>
          </cell>
          <cell r="B671" t="str">
            <v>C. y colar cerramiento muro tezon</v>
          </cell>
          <cell r="C671" t="str">
            <v>ML</v>
          </cell>
          <cell r="D671">
            <v>150.36192</v>
          </cell>
          <cell r="E671">
            <v>1</v>
          </cell>
          <cell r="F671">
            <v>172.91620799999998</v>
          </cell>
        </row>
        <row r="672">
          <cell r="A672" t="str">
            <v>CDA01</v>
          </cell>
          <cell r="B672" t="str">
            <v>C. y colar dala corona 20</v>
          </cell>
          <cell r="C672" t="str">
            <v>ML</v>
          </cell>
          <cell r="D672">
            <v>88.448188235294126</v>
          </cell>
          <cell r="E672">
            <v>1</v>
          </cell>
          <cell r="F672">
            <v>101.71541647058824</v>
          </cell>
        </row>
        <row r="673">
          <cell r="A673" t="str">
            <v>CDA02</v>
          </cell>
          <cell r="B673" t="str">
            <v>C. y colar dala corona capuchino</v>
          </cell>
          <cell r="C673" t="str">
            <v>ML</v>
          </cell>
          <cell r="D673">
            <v>68.346327272727279</v>
          </cell>
          <cell r="E673">
            <v>1</v>
          </cell>
          <cell r="F673">
            <v>78.598276363636359</v>
          </cell>
        </row>
        <row r="674">
          <cell r="A674" t="str">
            <v>CDA03</v>
          </cell>
          <cell r="B674" t="str">
            <v>C. y colar dala corona soga</v>
          </cell>
          <cell r="C674" t="str">
            <v>ML</v>
          </cell>
          <cell r="D674">
            <v>75.180959999999999</v>
          </cell>
          <cell r="E674">
            <v>1</v>
          </cell>
          <cell r="F674">
            <v>86.458103999999992</v>
          </cell>
        </row>
        <row r="675">
          <cell r="A675" t="str">
            <v>CDA04</v>
          </cell>
          <cell r="B675" t="str">
            <v>C. y colar dala corona tezon</v>
          </cell>
          <cell r="C675" t="str">
            <v>ML</v>
          </cell>
          <cell r="D675">
            <v>93.976200000000006</v>
          </cell>
          <cell r="E675">
            <v>1</v>
          </cell>
          <cell r="F675">
            <v>108.07263</v>
          </cell>
        </row>
        <row r="676">
          <cell r="A676" t="str">
            <v>CDA05</v>
          </cell>
          <cell r="B676" t="str">
            <v>C. y colar dala desplante 20</v>
          </cell>
          <cell r="C676" t="str">
            <v>ML</v>
          </cell>
          <cell r="D676">
            <v>79.137852631578951</v>
          </cell>
          <cell r="E676">
            <v>1</v>
          </cell>
          <cell r="F676">
            <v>91.008530526315781</v>
          </cell>
        </row>
        <row r="677">
          <cell r="A677" t="str">
            <v>CDA06</v>
          </cell>
          <cell r="B677" t="str">
            <v>C. y colar dala desplante capuchino o lagartija</v>
          </cell>
          <cell r="C677" t="str">
            <v>ML</v>
          </cell>
          <cell r="D677">
            <v>62.650800000000004</v>
          </cell>
          <cell r="E677">
            <v>1</v>
          </cell>
          <cell r="F677">
            <v>72.048419999999993</v>
          </cell>
        </row>
        <row r="678">
          <cell r="A678" t="str">
            <v>CDA07</v>
          </cell>
          <cell r="B678" t="str">
            <v>C. y colar dala desplante soga</v>
          </cell>
          <cell r="C678" t="str">
            <v>ML</v>
          </cell>
          <cell r="D678">
            <v>62.650800000000004</v>
          </cell>
          <cell r="E678">
            <v>1</v>
          </cell>
          <cell r="F678">
            <v>72.048419999999993</v>
          </cell>
        </row>
        <row r="679">
          <cell r="A679" t="str">
            <v>CDA08</v>
          </cell>
          <cell r="B679" t="str">
            <v>C. y colar dala desplante tezon</v>
          </cell>
          <cell r="C679" t="str">
            <v>ML</v>
          </cell>
          <cell r="D679">
            <v>83.534400000000005</v>
          </cell>
          <cell r="E679">
            <v>1</v>
          </cell>
          <cell r="F679">
            <v>96.06456</v>
          </cell>
        </row>
        <row r="680">
          <cell r="A680" t="str">
            <v>CDA09</v>
          </cell>
          <cell r="B680" t="str">
            <v>C. y colar dala intermedia 20</v>
          </cell>
          <cell r="C680" t="str">
            <v>ML</v>
          </cell>
          <cell r="D680">
            <v>83.534400000000005</v>
          </cell>
          <cell r="E680">
            <v>1</v>
          </cell>
          <cell r="F680">
            <v>96.06456</v>
          </cell>
        </row>
        <row r="681">
          <cell r="A681" t="str">
            <v>CDA10</v>
          </cell>
          <cell r="B681" t="str">
            <v>C. y colar dala intermedia capuchino</v>
          </cell>
          <cell r="C681" t="str">
            <v>ML</v>
          </cell>
          <cell r="D681">
            <v>71.600914285714296</v>
          </cell>
          <cell r="E681">
            <v>1</v>
          </cell>
          <cell r="F681">
            <v>82.341051428571433</v>
          </cell>
        </row>
        <row r="682">
          <cell r="A682" t="str">
            <v>CDA11</v>
          </cell>
          <cell r="B682" t="str">
            <v>C. y colar dala intermedia soga</v>
          </cell>
          <cell r="C682" t="str">
            <v>ML</v>
          </cell>
          <cell r="D682">
            <v>71.600914285714296</v>
          </cell>
          <cell r="E682">
            <v>1</v>
          </cell>
          <cell r="F682">
            <v>82.341051428571433</v>
          </cell>
        </row>
        <row r="683">
          <cell r="A683" t="str">
            <v>CDA12</v>
          </cell>
          <cell r="B683" t="str">
            <v>C. y colar dala intermedia tezon</v>
          </cell>
          <cell r="C683" t="str">
            <v>ML</v>
          </cell>
          <cell r="D683">
            <v>88.448188235294126</v>
          </cell>
          <cell r="E683">
            <v>1</v>
          </cell>
          <cell r="F683">
            <v>101.71541647058824</v>
          </cell>
        </row>
        <row r="684">
          <cell r="A684" t="str">
            <v>CDA201</v>
          </cell>
          <cell r="B684" t="str">
            <v>Cimbrar y colar dala de 1 rostro muro de 20 c/twinos</v>
          </cell>
          <cell r="C684" t="str">
            <v>ML</v>
          </cell>
          <cell r="D684">
            <v>107.40137142857144</v>
          </cell>
          <cell r="E684">
            <v>1</v>
          </cell>
          <cell r="F684">
            <v>123.51157714285715</v>
          </cell>
        </row>
        <row r="685">
          <cell r="A685" t="str">
            <v>CDA202</v>
          </cell>
          <cell r="B685" t="str">
            <v>Cimbrar y colar dala de 2 rostro muro de 20 c/twinos</v>
          </cell>
          <cell r="C685" t="str">
            <v>ML</v>
          </cell>
          <cell r="D685">
            <v>136.69265454545456</v>
          </cell>
          <cell r="E685">
            <v>1</v>
          </cell>
          <cell r="F685">
            <v>157.19655272727272</v>
          </cell>
        </row>
        <row r="686">
          <cell r="A686" t="str">
            <v>CDA25D</v>
          </cell>
          <cell r="B686" t="str">
            <v>C. y colar dala desplante muro de 25</v>
          </cell>
          <cell r="C686" t="str">
            <v>ML</v>
          </cell>
          <cell r="D686">
            <v>92.816000000000017</v>
          </cell>
          <cell r="E686">
            <v>1</v>
          </cell>
          <cell r="F686">
            <v>106.73840000000001</v>
          </cell>
        </row>
        <row r="687">
          <cell r="A687" t="str">
            <v>CDA25I</v>
          </cell>
          <cell r="B687" t="str">
            <v>C. y colar dala intermedia muro de 25</v>
          </cell>
          <cell r="C687" t="str">
            <v>ML</v>
          </cell>
          <cell r="D687">
            <v>106.7384</v>
          </cell>
          <cell r="E687">
            <v>1</v>
          </cell>
          <cell r="F687">
            <v>122.74915999999999</v>
          </cell>
        </row>
        <row r="688">
          <cell r="A688" t="str">
            <v>CDA25C</v>
          </cell>
          <cell r="B688" t="str">
            <v>C. y colar dala corona muro de 25</v>
          </cell>
          <cell r="C688" t="str">
            <v>ML</v>
          </cell>
          <cell r="D688">
            <v>113.91054545454547</v>
          </cell>
          <cell r="E688">
            <v>1</v>
          </cell>
          <cell r="F688">
            <v>130.99712727272728</v>
          </cell>
        </row>
        <row r="689">
          <cell r="A689" t="str">
            <v>CDA301</v>
          </cell>
          <cell r="B689" t="str">
            <v>Cimbrar y colar dala de 1 rostro muro de 30 c/twinos</v>
          </cell>
          <cell r="C689" t="str">
            <v>ML</v>
          </cell>
          <cell r="D689">
            <v>150.36192</v>
          </cell>
          <cell r="E689">
            <v>1</v>
          </cell>
          <cell r="F689">
            <v>172.91620799999998</v>
          </cell>
        </row>
        <row r="690">
          <cell r="A690" t="str">
            <v>CDATE1</v>
          </cell>
          <cell r="B690" t="str">
            <v>Cimbrar y colar dala de 1 rostro muro tezon c/twinos</v>
          </cell>
          <cell r="C690" t="str">
            <v>ML</v>
          </cell>
          <cell r="D690">
            <v>113.73821482602118</v>
          </cell>
          <cell r="E690">
            <v>1</v>
          </cell>
          <cell r="F690">
            <v>130.79894704992435</v>
          </cell>
        </row>
        <row r="691">
          <cell r="A691" t="str">
            <v>CDATE2</v>
          </cell>
          <cell r="B691" t="str">
            <v>Cimbrar y colar dala de 2 rostros muro tezon c/twinos</v>
          </cell>
          <cell r="C691" t="str">
            <v>ML</v>
          </cell>
          <cell r="D691">
            <v>130.79894704992435</v>
          </cell>
          <cell r="E691">
            <v>1</v>
          </cell>
          <cell r="F691">
            <v>150.41878910741301</v>
          </cell>
        </row>
        <row r="692">
          <cell r="A692" t="str">
            <v>CDA20X40</v>
          </cell>
          <cell r="B692" t="str">
            <v>Cimbrar y colar dala 20x40 con trompo</v>
          </cell>
          <cell r="C692" t="str">
            <v>ML</v>
          </cell>
          <cell r="D692">
            <v>80</v>
          </cell>
          <cell r="E692"/>
          <cell r="F692"/>
        </row>
        <row r="693">
          <cell r="A693" t="str">
            <v>CEL01</v>
          </cell>
          <cell r="B693" t="str">
            <v>Celosia, instalacion</v>
          </cell>
          <cell r="C693" t="str">
            <v>M2</v>
          </cell>
          <cell r="D693">
            <v>250.60320000000002</v>
          </cell>
          <cell r="E693"/>
          <cell r="F693">
            <v>288.19367999999997</v>
          </cell>
        </row>
        <row r="694">
          <cell r="A694" t="str">
            <v>CELOT</v>
          </cell>
          <cell r="B694" t="str">
            <v>Celotex, colocacion</v>
          </cell>
          <cell r="C694" t="str">
            <v>ML</v>
          </cell>
          <cell r="D694">
            <v>7.5180960000000008</v>
          </cell>
          <cell r="E694"/>
          <cell r="F694">
            <v>8.6458104000000002</v>
          </cell>
        </row>
        <row r="695">
          <cell r="A695" t="str">
            <v>CESP</v>
          </cell>
          <cell r="B695" t="str">
            <v>Cesped plantado en rollo incluye acarreos, preparacion</v>
          </cell>
          <cell r="C695" t="str">
            <v>M2</v>
          </cell>
          <cell r="D695">
            <v>7.5180960000000008</v>
          </cell>
          <cell r="E695"/>
          <cell r="F695">
            <v>8.6458104000000002</v>
          </cell>
        </row>
        <row r="696">
          <cell r="A696" t="str">
            <v>CIM01</v>
          </cell>
          <cell r="B696" t="str">
            <v>Cimbra perimetral en losa de concreto o piso</v>
          </cell>
          <cell r="C696" t="str">
            <v>ML</v>
          </cell>
          <cell r="D696">
            <v>7.5180960000000008</v>
          </cell>
          <cell r="E696"/>
          <cell r="F696">
            <v>8.6458104000000002</v>
          </cell>
        </row>
        <row r="697">
          <cell r="A697" t="str">
            <v>CIM02</v>
          </cell>
          <cell r="B697" t="str">
            <v>Cimbra perimetral en piso</v>
          </cell>
          <cell r="C697" t="str">
            <v>ML</v>
          </cell>
          <cell r="D697">
            <v>7.5180960000000008</v>
          </cell>
          <cell r="E697"/>
          <cell r="F697">
            <v>8.6458104000000002</v>
          </cell>
        </row>
        <row r="698">
          <cell r="A698" t="str">
            <v>CIM03</v>
          </cell>
          <cell r="B698" t="str">
            <v>Cimbra y descimbra de castillo</v>
          </cell>
          <cell r="C698" t="str">
            <v>ML</v>
          </cell>
          <cell r="D698">
            <v>37.590479999999999</v>
          </cell>
          <cell r="E698"/>
          <cell r="F698">
            <v>43.229051999999996</v>
          </cell>
        </row>
        <row r="699">
          <cell r="A699" t="str">
            <v>CIM04</v>
          </cell>
          <cell r="B699" t="str">
            <v>Cimbra y descimbra de columna o dado</v>
          </cell>
          <cell r="C699" t="str">
            <v>ML</v>
          </cell>
          <cell r="D699">
            <v>75.180959999999999</v>
          </cell>
          <cell r="E699"/>
          <cell r="F699">
            <v>86.458103999999992</v>
          </cell>
        </row>
        <row r="700">
          <cell r="A700" t="str">
            <v>CIM05</v>
          </cell>
          <cell r="B700" t="str">
            <v>Cimbra y descimbra de dala</v>
          </cell>
          <cell r="C700" t="str">
            <v>ML</v>
          </cell>
          <cell r="D700">
            <v>37.590479999999999</v>
          </cell>
          <cell r="E700"/>
          <cell r="F700">
            <v>43.229051999999996</v>
          </cell>
        </row>
        <row r="701">
          <cell r="A701" t="str">
            <v>CIM06</v>
          </cell>
          <cell r="B701" t="str">
            <v>Cimbra de losa con triplay</v>
          </cell>
          <cell r="C701" t="str">
            <v>M2</v>
          </cell>
          <cell r="D701">
            <v>50.120640000000002</v>
          </cell>
          <cell r="E701"/>
          <cell r="F701">
            <v>57.638735999999994</v>
          </cell>
        </row>
        <row r="702">
          <cell r="A702" t="str">
            <v>CMA01</v>
          </cell>
          <cell r="B702" t="str">
            <v>C. y colar macizo en muro</v>
          </cell>
          <cell r="C702" t="str">
            <v>PZA</v>
          </cell>
          <cell r="D702">
            <v>93.976200000000006</v>
          </cell>
          <cell r="E702">
            <v>1</v>
          </cell>
          <cell r="F702">
            <v>108.07263</v>
          </cell>
        </row>
        <row r="703">
          <cell r="A703" t="str">
            <v>CMA02</v>
          </cell>
          <cell r="B703" t="str">
            <v>Colado de macizo en acuñados</v>
          </cell>
          <cell r="C703" t="str">
            <v>PZA</v>
          </cell>
          <cell r="D703">
            <v>75.180959999999999</v>
          </cell>
          <cell r="E703">
            <v>1</v>
          </cell>
          <cell r="F703">
            <v>86.458103999999992</v>
          </cell>
        </row>
        <row r="704">
          <cell r="A704" t="str">
            <v>COL01</v>
          </cell>
          <cell r="B704" t="str">
            <v>Columna redonda diametro 50 cms terminada</v>
          </cell>
          <cell r="C704" t="str">
            <v>ML</v>
          </cell>
          <cell r="D704">
            <v>501.20640000000003</v>
          </cell>
          <cell r="E704"/>
          <cell r="F704">
            <v>576.38735999999994</v>
          </cell>
        </row>
        <row r="705">
          <cell r="A705" t="str">
            <v>COL02</v>
          </cell>
          <cell r="B705" t="str">
            <v>Columna cuadrada forjada con ladrillo 50 cms esp.</v>
          </cell>
          <cell r="C705" t="str">
            <v>ML</v>
          </cell>
          <cell r="D705">
            <v>300.72384</v>
          </cell>
          <cell r="E705"/>
          <cell r="F705">
            <v>345.83241599999997</v>
          </cell>
        </row>
        <row r="706">
          <cell r="A706" t="str">
            <v>COM01</v>
          </cell>
          <cell r="B706" t="str">
            <v>Compactacion de terreno suelto con bailarina</v>
          </cell>
          <cell r="C706" t="str">
            <v>M2</v>
          </cell>
          <cell r="D706">
            <v>12.53016</v>
          </cell>
          <cell r="E706"/>
          <cell r="F706">
            <v>14.409683999999999</v>
          </cell>
        </row>
        <row r="707">
          <cell r="A707" t="str">
            <v>COM02</v>
          </cell>
          <cell r="B707" t="str">
            <v>Compactacion terreno con pizon en capas de 10-15</v>
          </cell>
          <cell r="C707" t="str">
            <v>M2</v>
          </cell>
          <cell r="D707">
            <v>50.120640000000002</v>
          </cell>
          <cell r="E707"/>
          <cell r="F707">
            <v>57.638735999999994</v>
          </cell>
        </row>
        <row r="708">
          <cell r="A708" t="str">
            <v>COM03</v>
          </cell>
          <cell r="B708" t="str">
            <v>compactación de ajuste tierra suelta</v>
          </cell>
          <cell r="C708" t="str">
            <v>M2</v>
          </cell>
          <cell r="D708">
            <v>6.2650800000000002</v>
          </cell>
          <cell r="E708"/>
          <cell r="F708">
            <v>7.2048419999999993</v>
          </cell>
        </row>
        <row r="709">
          <cell r="A709" t="str">
            <v>CON01</v>
          </cell>
          <cell r="B709" t="str">
            <v>Colar concreto hecho en obra</v>
          </cell>
          <cell r="C709" t="str">
            <v>M3</v>
          </cell>
          <cell r="D709">
            <v>375.90480000000002</v>
          </cell>
          <cell r="E709">
            <v>1</v>
          </cell>
          <cell r="F709">
            <v>432.29052000000001</v>
          </cell>
        </row>
        <row r="710">
          <cell r="A710" t="str">
            <v>CON02</v>
          </cell>
          <cell r="B710" t="str">
            <v>Colar concreto premezclado vaciado con carretilla</v>
          </cell>
          <cell r="C710" t="str">
            <v>M3</v>
          </cell>
          <cell r="D710">
            <v>187.95240000000001</v>
          </cell>
          <cell r="E710"/>
          <cell r="F710">
            <v>216.14526000000001</v>
          </cell>
        </row>
        <row r="711">
          <cell r="A711" t="str">
            <v>CON03</v>
          </cell>
          <cell r="B711" t="str">
            <v>Colar concreto premezclado vaciado con bomba</v>
          </cell>
          <cell r="C711" t="str">
            <v>M3</v>
          </cell>
          <cell r="D711">
            <v>37.590479999999999</v>
          </cell>
          <cell r="E711"/>
          <cell r="F711">
            <v>43.229051999999996</v>
          </cell>
        </row>
        <row r="712">
          <cell r="A712" t="str">
            <v>CONT1</v>
          </cell>
          <cell r="B712" t="str">
            <v>Contracimbra de ladrillo p/zapata</v>
          </cell>
          <cell r="C712" t="str">
            <v>ML</v>
          </cell>
          <cell r="D712">
            <v>37.590479999999999</v>
          </cell>
          <cell r="E712">
            <v>1</v>
          </cell>
          <cell r="F712">
            <v>43.229051999999996</v>
          </cell>
        </row>
        <row r="713">
          <cell r="A713" t="str">
            <v>COR01</v>
          </cell>
          <cell r="B713" t="str">
            <v>Corte de piso con maquina losa de 15-20 cms</v>
          </cell>
          <cell r="C713" t="str">
            <v>ML</v>
          </cell>
          <cell r="D713">
            <v>18.46549894736842</v>
          </cell>
          <cell r="E713"/>
          <cell r="F713">
            <v>21.235323789473682</v>
          </cell>
        </row>
        <row r="714">
          <cell r="A714" t="str">
            <v>COR01a</v>
          </cell>
          <cell r="B714" t="str">
            <v>Corte de piso de concreto espesor de 5-10 cms</v>
          </cell>
          <cell r="C714" t="str">
            <v>ML</v>
          </cell>
          <cell r="D714">
            <v>11.83952125984252</v>
          </cell>
          <cell r="E714"/>
          <cell r="F714">
            <v>13.615449448818897</v>
          </cell>
        </row>
        <row r="715">
          <cell r="A715" t="str">
            <v>COR01b</v>
          </cell>
          <cell r="B715" t="str">
            <v>Corte de losa de concreto de 3 cms para marcar losas</v>
          </cell>
          <cell r="C715" t="str">
            <v>ML</v>
          </cell>
          <cell r="D715">
            <v>5.7831507692307698</v>
          </cell>
          <cell r="E715"/>
          <cell r="F715">
            <v>6.6506233846153844</v>
          </cell>
        </row>
        <row r="716">
          <cell r="A716" t="str">
            <v>COR02</v>
          </cell>
          <cell r="B716" t="str">
            <v>Corte de varilla</v>
          </cell>
          <cell r="C716" t="str">
            <v>PZA</v>
          </cell>
          <cell r="D716">
            <v>3.0072384000000003</v>
          </cell>
          <cell r="E716"/>
          <cell r="F716">
            <v>3.4583241600000001</v>
          </cell>
        </row>
        <row r="717">
          <cell r="A717" t="str">
            <v>COR03</v>
          </cell>
          <cell r="B717" t="str">
            <v>Corte de ladrillo de azotea con cincel y marro</v>
          </cell>
          <cell r="C717" t="str">
            <v>ML</v>
          </cell>
          <cell r="D717">
            <v>25.060320000000001</v>
          </cell>
          <cell r="E717"/>
          <cell r="F717">
            <v>28.819367999999997</v>
          </cell>
        </row>
        <row r="718">
          <cell r="A718" t="str">
            <v>COR04</v>
          </cell>
          <cell r="B718" t="str">
            <v>Corte de viga de 4 " con segueta</v>
          </cell>
          <cell r="C718" t="str">
            <v>PZA</v>
          </cell>
          <cell r="D718">
            <v>150.36192</v>
          </cell>
          <cell r="E718"/>
          <cell r="F718">
            <v>172.91620799999998</v>
          </cell>
        </row>
        <row r="719">
          <cell r="A719" t="str">
            <v>CRU01</v>
          </cell>
          <cell r="B719" t="str">
            <v>Crucetas colocacion y habilitado a nivel</v>
          </cell>
          <cell r="C719" t="str">
            <v>PZA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CUAR</v>
          </cell>
          <cell r="B720" t="str">
            <v>Instalacion de cuarteron en cubiertas, junteado</v>
          </cell>
          <cell r="C720" t="str">
            <v>M2</v>
          </cell>
          <cell r="D720">
            <v>659.48210526315802</v>
          </cell>
          <cell r="E720"/>
          <cell r="F720">
            <v>758.40442105263162</v>
          </cell>
        </row>
        <row r="721">
          <cell r="A721" t="str">
            <v>CHA01</v>
          </cell>
          <cell r="B721" t="str">
            <v>Chaflan en boquilla ( botaguas )</v>
          </cell>
          <cell r="C721" t="str">
            <v>ML</v>
          </cell>
          <cell r="D721">
            <v>37.590479999999999</v>
          </cell>
          <cell r="E721">
            <v>1</v>
          </cell>
          <cell r="F721">
            <v>43.229051999999996</v>
          </cell>
        </row>
        <row r="722">
          <cell r="A722" t="str">
            <v>CHA02</v>
          </cell>
          <cell r="B722" t="str">
            <v>Chaflan en arista de muros corte a 45</v>
          </cell>
          <cell r="C722" t="str">
            <v>ML</v>
          </cell>
          <cell r="D722">
            <v>25.060320000000001</v>
          </cell>
          <cell r="E722"/>
          <cell r="F722">
            <v>28.819367999999997</v>
          </cell>
        </row>
        <row r="723">
          <cell r="A723" t="str">
            <v>DADO</v>
          </cell>
          <cell r="B723" t="str">
            <v>Cimbra y colado de dado revoltura hecha en obra</v>
          </cell>
          <cell r="C723" t="str">
            <v>ML</v>
          </cell>
          <cell r="D723">
            <v>375.90480000000002</v>
          </cell>
          <cell r="E723">
            <v>1</v>
          </cell>
          <cell r="F723">
            <v>432.29052000000001</v>
          </cell>
        </row>
        <row r="724">
          <cell r="A724" t="str">
            <v>DADO2</v>
          </cell>
          <cell r="B724" t="str">
            <v>Colado de dado rev. Premezclada</v>
          </cell>
          <cell r="C724" t="str">
            <v>M3</v>
          </cell>
          <cell r="D724">
            <v>250.60320000000002</v>
          </cell>
          <cell r="E724"/>
          <cell r="F724">
            <v>288.19367999999997</v>
          </cell>
        </row>
        <row r="725">
          <cell r="A725" t="str">
            <v>DECK</v>
          </cell>
          <cell r="B725" t="str">
            <v>Colado de decklosa concreto premezclado incluye aplanado</v>
          </cell>
          <cell r="C725" t="str">
            <v>M2</v>
          </cell>
          <cell r="D725">
            <v>46.988100000000003</v>
          </cell>
          <cell r="E725"/>
          <cell r="F725">
            <v>54.036315000000002</v>
          </cell>
        </row>
        <row r="726">
          <cell r="A726" t="str">
            <v>DEM01</v>
          </cell>
          <cell r="B726" t="str">
            <v>Demoler boveda de ladrillo</v>
          </cell>
          <cell r="C726" t="str">
            <v>M2</v>
          </cell>
          <cell r="D726">
            <v>60.672353684210549</v>
          </cell>
          <cell r="E726"/>
          <cell r="F726">
            <v>69.773206736842127</v>
          </cell>
        </row>
        <row r="727">
          <cell r="A727" t="str">
            <v>DEM02</v>
          </cell>
          <cell r="B727" t="str">
            <v>Demoler losa armada en piso esp. 10 cms</v>
          </cell>
          <cell r="C727" t="str">
            <v>M2</v>
          </cell>
          <cell r="D727">
            <v>150.36192</v>
          </cell>
          <cell r="E727"/>
          <cell r="F727">
            <v>172.91620799999998</v>
          </cell>
        </row>
        <row r="728">
          <cell r="A728" t="str">
            <v>DEM02R</v>
          </cell>
          <cell r="B728" t="str">
            <v>Demoler losa armada en piso esp. 10 cms con rotomartillo</v>
          </cell>
          <cell r="C728" t="str">
            <v>M2</v>
          </cell>
          <cell r="D728">
            <v>75.180959999999999</v>
          </cell>
          <cell r="E728"/>
          <cell r="F728">
            <v>86.458103999999992</v>
          </cell>
        </row>
        <row r="729">
          <cell r="A729" t="str">
            <v>DEM03</v>
          </cell>
          <cell r="B729" t="str">
            <v>Demoler losa armada en piso esp. 15 cms</v>
          </cell>
          <cell r="C729" t="str">
            <v>M2</v>
          </cell>
          <cell r="D729">
            <v>225.54288</v>
          </cell>
          <cell r="E729"/>
          <cell r="F729">
            <v>259.37431199999997</v>
          </cell>
        </row>
        <row r="730">
          <cell r="A730" t="str">
            <v>DEM03R</v>
          </cell>
          <cell r="B730" t="str">
            <v>Demoler losa armada en piso esp. 15 cms con rotomartillo</v>
          </cell>
          <cell r="C730" t="str">
            <v>M2</v>
          </cell>
          <cell r="D730">
            <v>112.77144</v>
          </cell>
          <cell r="E730"/>
          <cell r="F730">
            <v>129.68715599999999</v>
          </cell>
        </row>
        <row r="731">
          <cell r="A731" t="str">
            <v>DEM04</v>
          </cell>
          <cell r="B731" t="str">
            <v>Demoler losa armada en piso esp. 20 cms</v>
          </cell>
          <cell r="C731" t="str">
            <v>M2</v>
          </cell>
          <cell r="D731">
            <v>300.72384</v>
          </cell>
          <cell r="E731"/>
          <cell r="F731">
            <v>345.83241599999997</v>
          </cell>
        </row>
        <row r="732">
          <cell r="A732" t="str">
            <v>DEM04R</v>
          </cell>
          <cell r="B732" t="str">
            <v>Demoler losa armada en piso esp. 20 cms con rotomartillo</v>
          </cell>
          <cell r="C732" t="str">
            <v>M2</v>
          </cell>
          <cell r="D732">
            <v>150.36192</v>
          </cell>
          <cell r="E732"/>
          <cell r="F732">
            <v>172.91620799999998</v>
          </cell>
        </row>
        <row r="733">
          <cell r="A733" t="str">
            <v>DEM05</v>
          </cell>
          <cell r="B733" t="str">
            <v>Demoler losa armada esp. 10 cms</v>
          </cell>
          <cell r="C733" t="str">
            <v>M2</v>
          </cell>
          <cell r="D733">
            <v>107.40137142857144</v>
          </cell>
          <cell r="E733"/>
          <cell r="F733">
            <v>123.51157714285715</v>
          </cell>
        </row>
        <row r="734">
          <cell r="A734" t="str">
            <v>DEM06</v>
          </cell>
          <cell r="B734" t="str">
            <v>Demoler media caña</v>
          </cell>
          <cell r="C734" t="str">
            <v>ML</v>
          </cell>
          <cell r="D734">
            <v>16.706880000000002</v>
          </cell>
          <cell r="E734"/>
          <cell r="F734">
            <v>19.212911999999999</v>
          </cell>
        </row>
        <row r="735">
          <cell r="A735" t="str">
            <v>DEM07</v>
          </cell>
          <cell r="B735" t="str">
            <v>Demoler muro de tablaroca y canales</v>
          </cell>
          <cell r="C735" t="str">
            <v>M2</v>
          </cell>
          <cell r="D735">
            <v>18.79524</v>
          </cell>
          <cell r="E735"/>
          <cell r="F735">
            <v>21.614525999999998</v>
          </cell>
        </row>
        <row r="736">
          <cell r="A736" t="str">
            <v>DEM08</v>
          </cell>
          <cell r="B736" t="str">
            <v>Demoler plafond de tablaroca incluye alambres y canales</v>
          </cell>
          <cell r="C736" t="str">
            <v>M2</v>
          </cell>
          <cell r="D736">
            <v>20.883600000000001</v>
          </cell>
          <cell r="E736"/>
          <cell r="F736">
            <v>24.01614</v>
          </cell>
        </row>
        <row r="737">
          <cell r="A737" t="str">
            <v>DEM09</v>
          </cell>
          <cell r="B737" t="str">
            <v>Demoler plafond metal desplegado</v>
          </cell>
          <cell r="C737" t="str">
            <v>M2</v>
          </cell>
          <cell r="D737">
            <v>41.767200000000003</v>
          </cell>
          <cell r="E737"/>
          <cell r="F737">
            <v>48.03228</v>
          </cell>
        </row>
        <row r="738">
          <cell r="A738" t="str">
            <v>DEM10</v>
          </cell>
          <cell r="B738" t="str">
            <v>Demoler tubo de drenaje 6"</v>
          </cell>
          <cell r="C738" t="str">
            <v>ML</v>
          </cell>
          <cell r="D738">
            <v>16.706880000000002</v>
          </cell>
          <cell r="E738"/>
          <cell r="F738">
            <v>19.212911999999999</v>
          </cell>
        </row>
        <row r="739">
          <cell r="A739" t="str">
            <v>DEM11</v>
          </cell>
          <cell r="B739" t="str">
            <v>Demolicion de boquilla</v>
          </cell>
          <cell r="C739" t="str">
            <v>ML</v>
          </cell>
          <cell r="D739">
            <v>12.53016</v>
          </cell>
          <cell r="E739"/>
          <cell r="F739">
            <v>14.409683999999999</v>
          </cell>
        </row>
        <row r="740">
          <cell r="A740" t="str">
            <v>DEM12</v>
          </cell>
          <cell r="B740" t="str">
            <v>Demolicion de castillo muro de 20</v>
          </cell>
          <cell r="C740" t="str">
            <v>ML</v>
          </cell>
          <cell r="D740">
            <v>93.976200000000006</v>
          </cell>
          <cell r="E740"/>
          <cell r="F740">
            <v>108.07263</v>
          </cell>
        </row>
        <row r="741">
          <cell r="A741" t="str">
            <v>DEM12R</v>
          </cell>
          <cell r="B741" t="str">
            <v>Demolicion de castillo muro de 20 con rotomartillo</v>
          </cell>
          <cell r="C741" t="str">
            <v>ML</v>
          </cell>
          <cell r="D741">
            <v>46.988100000000003</v>
          </cell>
          <cell r="E741"/>
          <cell r="F741">
            <v>54.036315000000002</v>
          </cell>
        </row>
        <row r="742">
          <cell r="A742" t="str">
            <v>DEM13</v>
          </cell>
          <cell r="B742" t="str">
            <v>Demolicion de castillo muro de capuchino</v>
          </cell>
          <cell r="C742" t="str">
            <v>ML</v>
          </cell>
          <cell r="D742">
            <v>50.120640000000002</v>
          </cell>
          <cell r="E742"/>
          <cell r="F742">
            <v>57.638735999999994</v>
          </cell>
        </row>
        <row r="743">
          <cell r="A743" t="str">
            <v>DEM14</v>
          </cell>
          <cell r="B743" t="str">
            <v>Demolicion de castillo muro de soga</v>
          </cell>
          <cell r="C743" t="str">
            <v>ML</v>
          </cell>
          <cell r="D743">
            <v>83.534400000000005</v>
          </cell>
          <cell r="E743"/>
          <cell r="F743">
            <v>96.06456</v>
          </cell>
        </row>
        <row r="744">
          <cell r="A744" t="str">
            <v>DEM14R</v>
          </cell>
          <cell r="B744" t="str">
            <v>Demolicion de castillo muro de soga con rotomartillo</v>
          </cell>
          <cell r="C744" t="str">
            <v>ML</v>
          </cell>
          <cell r="D744">
            <v>41.767200000000003</v>
          </cell>
          <cell r="E744"/>
          <cell r="F744">
            <v>48.03228</v>
          </cell>
        </row>
        <row r="745">
          <cell r="A745" t="str">
            <v>DEM15</v>
          </cell>
          <cell r="B745" t="str">
            <v>Demolicion de castillo muro de tezon</v>
          </cell>
          <cell r="C745" t="str">
            <v>ML</v>
          </cell>
          <cell r="D745">
            <v>93.976200000000006</v>
          </cell>
          <cell r="E745"/>
          <cell r="F745">
            <v>108.07263</v>
          </cell>
        </row>
        <row r="746">
          <cell r="A746" t="str">
            <v>DEM15R</v>
          </cell>
          <cell r="B746" t="str">
            <v>Demolicion de castillo muro de tezon con rotomartillo</v>
          </cell>
          <cell r="C746" t="str">
            <v>ML</v>
          </cell>
          <cell r="D746">
            <v>46.988100000000003</v>
          </cell>
          <cell r="E746"/>
          <cell r="F746">
            <v>54.036315000000002</v>
          </cell>
        </row>
        <row r="747">
          <cell r="A747" t="str">
            <v>DEM16</v>
          </cell>
          <cell r="B747" t="str">
            <v>Demolicion de cerramiento con marro y cincel</v>
          </cell>
          <cell r="C747" t="str">
            <v>ML</v>
          </cell>
          <cell r="D747">
            <v>93.976200000000006</v>
          </cell>
          <cell r="E747"/>
          <cell r="F747">
            <v>108.07263</v>
          </cell>
        </row>
        <row r="748">
          <cell r="A748" t="str">
            <v>DEM17</v>
          </cell>
          <cell r="B748" t="str">
            <v>Demolicion de cimiento de piedra c/marro</v>
          </cell>
          <cell r="C748" t="str">
            <v>M3</v>
          </cell>
          <cell r="D748">
            <v>216.68697744360904</v>
          </cell>
          <cell r="E748"/>
          <cell r="F748">
            <v>249.19002406015036</v>
          </cell>
        </row>
        <row r="749">
          <cell r="A749" t="str">
            <v>DEM18</v>
          </cell>
          <cell r="B749" t="str">
            <v>Demolicion de dala muro de 20</v>
          </cell>
          <cell r="C749" t="str">
            <v>ML</v>
          </cell>
          <cell r="D749">
            <v>93.976200000000006</v>
          </cell>
          <cell r="E749"/>
          <cell r="F749">
            <v>108.07263</v>
          </cell>
        </row>
        <row r="750">
          <cell r="A750" t="str">
            <v>DEM18R</v>
          </cell>
          <cell r="B750" t="str">
            <v>Demolicion de dala muro de 20 con rotomartillo</v>
          </cell>
          <cell r="C750" t="str">
            <v>ML</v>
          </cell>
          <cell r="D750">
            <v>46.988100000000003</v>
          </cell>
          <cell r="E750"/>
          <cell r="F750">
            <v>54.036315000000002</v>
          </cell>
        </row>
        <row r="751">
          <cell r="A751" t="str">
            <v>DEM19</v>
          </cell>
          <cell r="B751" t="str">
            <v>Demolicion de dala muro de capuchino</v>
          </cell>
          <cell r="C751" t="str">
            <v>ML</v>
          </cell>
          <cell r="D751">
            <v>50.120640000000002</v>
          </cell>
          <cell r="E751"/>
          <cell r="F751">
            <v>57.638735999999994</v>
          </cell>
        </row>
        <row r="752">
          <cell r="A752" t="str">
            <v>DEM20</v>
          </cell>
          <cell r="B752" t="str">
            <v>Demolicion de dala muro de soga</v>
          </cell>
          <cell r="C752" t="str">
            <v>ML</v>
          </cell>
          <cell r="D752">
            <v>83.534400000000005</v>
          </cell>
          <cell r="E752"/>
          <cell r="F752">
            <v>96.06456</v>
          </cell>
        </row>
        <row r="753">
          <cell r="A753" t="str">
            <v>DEM20R</v>
          </cell>
          <cell r="B753" t="str">
            <v>Demolicion de dala muro de soga con rotomartillo</v>
          </cell>
          <cell r="C753" t="str">
            <v>ML</v>
          </cell>
          <cell r="D753">
            <v>41.767200000000003</v>
          </cell>
          <cell r="E753"/>
          <cell r="F753">
            <v>48.03228</v>
          </cell>
        </row>
        <row r="754">
          <cell r="A754" t="str">
            <v>DEM21</v>
          </cell>
          <cell r="B754" t="str">
            <v>Demolicion de dala muro de tezon</v>
          </cell>
          <cell r="C754" t="str">
            <v>ML</v>
          </cell>
          <cell r="D754">
            <v>93.976200000000006</v>
          </cell>
          <cell r="E754"/>
          <cell r="F754">
            <v>108.07263</v>
          </cell>
        </row>
        <row r="755">
          <cell r="A755" t="str">
            <v>DEM21R</v>
          </cell>
          <cell r="B755" t="str">
            <v>Demolicion de dala muro de tezon con rotomartillo</v>
          </cell>
          <cell r="C755" t="str">
            <v>ML</v>
          </cell>
          <cell r="D755">
            <v>46.988100000000003</v>
          </cell>
          <cell r="E755"/>
          <cell r="F755">
            <v>54.036315000000002</v>
          </cell>
        </row>
        <row r="756">
          <cell r="A756" t="str">
            <v>DEM22</v>
          </cell>
          <cell r="B756" t="str">
            <v>Demolicion de enjarre con barra</v>
          </cell>
          <cell r="C756" t="str">
            <v>M2</v>
          </cell>
          <cell r="D756">
            <v>30.072384000000003</v>
          </cell>
          <cell r="E756"/>
          <cell r="F756">
            <v>34.583241600000001</v>
          </cell>
        </row>
        <row r="757">
          <cell r="A757" t="str">
            <v>DEM23</v>
          </cell>
          <cell r="B757" t="str">
            <v>Demolicion de firme de hormigon</v>
          </cell>
          <cell r="C757" t="str">
            <v>M2</v>
          </cell>
          <cell r="D757">
            <v>26.850342857142859</v>
          </cell>
          <cell r="E757"/>
          <cell r="F757">
            <v>30.877894285714287</v>
          </cell>
        </row>
        <row r="758">
          <cell r="A758" t="str">
            <v>DEM24</v>
          </cell>
          <cell r="B758" t="str">
            <v>Demolicion de firme de ladrillo</v>
          </cell>
          <cell r="C758" t="str">
            <v>M2</v>
          </cell>
          <cell r="D758">
            <v>30.072384000000003</v>
          </cell>
          <cell r="E758"/>
          <cell r="F758">
            <v>34.583241600000001</v>
          </cell>
        </row>
        <row r="759">
          <cell r="A759" t="str">
            <v>DEM25</v>
          </cell>
          <cell r="B759" t="str">
            <v>Demolicion de losa de concreto esp. 10 cms</v>
          </cell>
          <cell r="C759" t="str">
            <v>M2</v>
          </cell>
          <cell r="D759">
            <v>75.180959999999999</v>
          </cell>
          <cell r="E759"/>
          <cell r="F759">
            <v>86.458103999999992</v>
          </cell>
        </row>
        <row r="760">
          <cell r="A760" t="str">
            <v>DEM25A</v>
          </cell>
          <cell r="B760" t="str">
            <v>Demolicion de losa de concreto esp. 15 cms</v>
          </cell>
          <cell r="C760" t="str">
            <v>M2</v>
          </cell>
          <cell r="D760">
            <v>112.77144</v>
          </cell>
          <cell r="E760"/>
          <cell r="F760">
            <v>129.68715599999999</v>
          </cell>
        </row>
        <row r="761">
          <cell r="A761" t="str">
            <v>DEM25R</v>
          </cell>
          <cell r="B761" t="str">
            <v>Demolicion de losa de concreto esp. 10 cms con rotomartillo</v>
          </cell>
          <cell r="C761" t="str">
            <v>M2</v>
          </cell>
          <cell r="D761">
            <v>37.590479999999999</v>
          </cell>
          <cell r="E761"/>
          <cell r="F761">
            <v>43.229051999999996</v>
          </cell>
        </row>
        <row r="762">
          <cell r="A762" t="str">
            <v>DEM25AR</v>
          </cell>
          <cell r="B762" t="str">
            <v>Demolicion de losa de concreto esp. 15 cms con rotomartillo</v>
          </cell>
          <cell r="C762" t="str">
            <v>M2</v>
          </cell>
          <cell r="D762">
            <v>56.385719999999999</v>
          </cell>
          <cell r="E762"/>
          <cell r="F762">
            <v>64.843577999999994</v>
          </cell>
        </row>
        <row r="763">
          <cell r="A763" t="str">
            <v>DEM26</v>
          </cell>
          <cell r="B763" t="str">
            <v xml:space="preserve">Demolicion de losa de concreto esp. 5 cms </v>
          </cell>
          <cell r="C763" t="str">
            <v>M2</v>
          </cell>
          <cell r="D763">
            <v>31.325400000000002</v>
          </cell>
          <cell r="E763"/>
          <cell r="F763">
            <v>36.024209999999997</v>
          </cell>
        </row>
        <row r="764">
          <cell r="A764" t="str">
            <v>DEM26A</v>
          </cell>
          <cell r="B764" t="str">
            <v>Demolición de azulejo en muros</v>
          </cell>
          <cell r="C764" t="str">
            <v>M2</v>
          </cell>
          <cell r="D764">
            <v>31.325400000000002</v>
          </cell>
          <cell r="E764"/>
          <cell r="F764">
            <v>36.024209999999997</v>
          </cell>
        </row>
        <row r="765">
          <cell r="A765" t="str">
            <v>DEM27</v>
          </cell>
          <cell r="B765" t="str">
            <v>Demolicion de losa de concreto esp. 7 cms</v>
          </cell>
          <cell r="C765" t="str">
            <v>M2</v>
          </cell>
          <cell r="D765">
            <v>46.988100000000003</v>
          </cell>
          <cell r="E765"/>
          <cell r="F765">
            <v>54.036315000000002</v>
          </cell>
        </row>
        <row r="766">
          <cell r="A766" t="str">
            <v>DEM28</v>
          </cell>
          <cell r="B766" t="str">
            <v>Demolicion de machuelo de concreto</v>
          </cell>
          <cell r="C766" t="str">
            <v>ML</v>
          </cell>
          <cell r="D766">
            <v>75.180959999999999</v>
          </cell>
          <cell r="E766"/>
          <cell r="F766">
            <v>86.458103999999992</v>
          </cell>
        </row>
        <row r="767">
          <cell r="A767" t="str">
            <v>DEM29</v>
          </cell>
          <cell r="B767" t="str">
            <v>Demolicion de machuelo de ladrillo</v>
          </cell>
          <cell r="C767" t="str">
            <v>ML</v>
          </cell>
          <cell r="D767">
            <v>25.060320000000001</v>
          </cell>
          <cell r="E767"/>
          <cell r="F767">
            <v>28.819367999999997</v>
          </cell>
        </row>
        <row r="768">
          <cell r="A768" t="str">
            <v>DEM30</v>
          </cell>
          <cell r="B768" t="str">
            <v>Demolicion de muro de 20</v>
          </cell>
          <cell r="C768" t="str">
            <v>M2</v>
          </cell>
          <cell r="D768">
            <v>20.319178378378378</v>
          </cell>
          <cell r="E768"/>
          <cell r="F768">
            <v>23.367055135135132</v>
          </cell>
        </row>
        <row r="769">
          <cell r="A769" t="str">
            <v>DEM31</v>
          </cell>
          <cell r="B769" t="str">
            <v>Demolicion de muro de capuchino</v>
          </cell>
          <cell r="C769" t="str">
            <v>M2</v>
          </cell>
          <cell r="D769">
            <v>10.112058947368432</v>
          </cell>
          <cell r="E769"/>
          <cell r="F769">
            <v>11.628867789473695</v>
          </cell>
        </row>
        <row r="770">
          <cell r="A770" t="str">
            <v>DEM32</v>
          </cell>
          <cell r="B770" t="str">
            <v>Demolicion de muro de soga</v>
          </cell>
          <cell r="C770" t="str">
            <v>M2</v>
          </cell>
          <cell r="D770">
            <v>15.343053061224492</v>
          </cell>
          <cell r="E770"/>
          <cell r="F770">
            <v>17.644511020408164</v>
          </cell>
        </row>
        <row r="771">
          <cell r="A771" t="str">
            <v>DEM33</v>
          </cell>
          <cell r="B771" t="str">
            <v>Demolicion de muro de tezon</v>
          </cell>
          <cell r="C771" t="str">
            <v>M2</v>
          </cell>
          <cell r="D771">
            <v>23.494050000000001</v>
          </cell>
          <cell r="E771"/>
          <cell r="F771">
            <v>27.018157500000001</v>
          </cell>
        </row>
        <row r="772">
          <cell r="A772" t="str">
            <v>DEM34</v>
          </cell>
          <cell r="B772" t="str">
            <v>Demolicion de piso de cemento esp. 10 cms</v>
          </cell>
          <cell r="C772" t="str">
            <v>M2</v>
          </cell>
          <cell r="D772">
            <v>53.700685714285719</v>
          </cell>
          <cell r="E772"/>
          <cell r="F772">
            <v>61.755788571428575</v>
          </cell>
        </row>
        <row r="773">
          <cell r="A773" t="str">
            <v>DEM35</v>
          </cell>
          <cell r="B773" t="str">
            <v>Demolicion de piso de cemento esp. 5 cms</v>
          </cell>
          <cell r="C773" t="str">
            <v>M2</v>
          </cell>
          <cell r="D773">
            <v>26.850342857142863</v>
          </cell>
          <cell r="E773"/>
          <cell r="F773">
            <v>30.877894285714291</v>
          </cell>
        </row>
        <row r="774">
          <cell r="A774" t="str">
            <v>DEM36</v>
          </cell>
          <cell r="B774" t="str">
            <v>Demolicion de piso de cemento esp. 7 cms</v>
          </cell>
          <cell r="C774" t="str">
            <v>M2</v>
          </cell>
          <cell r="D774">
            <v>37.590480000000007</v>
          </cell>
          <cell r="E774"/>
          <cell r="F774">
            <v>43.229052000000003</v>
          </cell>
        </row>
        <row r="775">
          <cell r="A775" t="str">
            <v>DEM37</v>
          </cell>
          <cell r="B775" t="str">
            <v>Demolicion de registro sanitario</v>
          </cell>
          <cell r="C775" t="str">
            <v>PZA</v>
          </cell>
          <cell r="D775">
            <v>150.36192</v>
          </cell>
          <cell r="E775"/>
          <cell r="F775">
            <v>172.91620799999998</v>
          </cell>
        </row>
        <row r="776">
          <cell r="A776" t="str">
            <v>DEM38</v>
          </cell>
          <cell r="B776" t="str">
            <v>Demoler zavaleta</v>
          </cell>
          <cell r="C776" t="str">
            <v>ML</v>
          </cell>
          <cell r="D776">
            <v>25.060320000000001</v>
          </cell>
          <cell r="E776"/>
          <cell r="F776">
            <v>28.819367999999997</v>
          </cell>
        </row>
        <row r="777">
          <cell r="A777" t="str">
            <v>DEM39</v>
          </cell>
          <cell r="B777" t="str">
            <v>Demoler trabe de concreto</v>
          </cell>
          <cell r="C777" t="str">
            <v>ML</v>
          </cell>
          <cell r="D777">
            <v>150.36192</v>
          </cell>
          <cell r="E777"/>
          <cell r="F777">
            <v>172.91620799999998</v>
          </cell>
        </row>
        <row r="778">
          <cell r="A778" t="str">
            <v>DEM40</v>
          </cell>
          <cell r="B778" t="str">
            <v>Demolicion de hilada de ladrillo</v>
          </cell>
          <cell r="C778" t="str">
            <v>ML</v>
          </cell>
          <cell r="D778">
            <v>10.024128000000001</v>
          </cell>
          <cell r="E778"/>
          <cell r="F778">
            <v>11.5277472</v>
          </cell>
        </row>
        <row r="779">
          <cell r="A779" t="str">
            <v>DEM41</v>
          </cell>
          <cell r="B779" t="str">
            <v>Demoler enchape de viga</v>
          </cell>
          <cell r="C779" t="str">
            <v>ML</v>
          </cell>
          <cell r="D779">
            <v>21.480274285714287</v>
          </cell>
          <cell r="E779"/>
          <cell r="F779">
            <v>24.702315428571428</v>
          </cell>
        </row>
        <row r="780">
          <cell r="A780" t="str">
            <v>DEM42</v>
          </cell>
          <cell r="B780" t="str">
            <v>Demoler concreto armado en volumen</v>
          </cell>
          <cell r="C780" t="str">
            <v>M3</v>
          </cell>
          <cell r="D780">
            <v>751.80960000000005</v>
          </cell>
          <cell r="E780"/>
          <cell r="F780">
            <v>864.58104000000003</v>
          </cell>
        </row>
        <row r="781">
          <cell r="A781" t="str">
            <v>DEM43</v>
          </cell>
          <cell r="B781" t="str">
            <v>Demolicion de piso de mosaico incluyendo mortero</v>
          </cell>
          <cell r="C781" t="str">
            <v>M2</v>
          </cell>
          <cell r="D781">
            <v>15.168088421052621</v>
          </cell>
          <cell r="E781"/>
          <cell r="F781">
            <v>17.443301684210514</v>
          </cell>
        </row>
        <row r="782">
          <cell r="A782" t="str">
            <v>DEM44</v>
          </cell>
          <cell r="B782" t="str">
            <v>Demolicion de enladrillado, relleno y chaflanes de azotea</v>
          </cell>
          <cell r="C782" t="str">
            <v>M2</v>
          </cell>
          <cell r="D782">
            <v>16.853431578947347</v>
          </cell>
          <cell r="E782"/>
          <cell r="F782">
            <v>19.381446315789447</v>
          </cell>
        </row>
        <row r="783">
          <cell r="A783" t="str">
            <v>DENTAR</v>
          </cell>
          <cell r="B783" t="str">
            <v>Dentado de muro para crecimiento</v>
          </cell>
          <cell r="C783" t="str">
            <v>ML</v>
          </cell>
          <cell r="D783">
            <v>30.072384000000003</v>
          </cell>
          <cell r="E783"/>
          <cell r="F783">
            <v>34.583241600000001</v>
          </cell>
        </row>
        <row r="784">
          <cell r="A784" t="str">
            <v>DES01</v>
          </cell>
          <cell r="B784" t="str">
            <v>Descubrir tuberia por recubrimiento</v>
          </cell>
          <cell r="C784" t="str">
            <v>ML</v>
          </cell>
          <cell r="D784">
            <v>25.060320000000001</v>
          </cell>
          <cell r="E784"/>
          <cell r="F784">
            <v>28.819367999999997</v>
          </cell>
        </row>
        <row r="785">
          <cell r="A785" t="str">
            <v>DES02</v>
          </cell>
          <cell r="B785" t="str">
            <v>Descubrir varilla en dala, castillo o dado</v>
          </cell>
          <cell r="C785" t="str">
            <v>PZA</v>
          </cell>
          <cell r="D785">
            <v>25.060320000000001</v>
          </cell>
          <cell r="E785"/>
          <cell r="F785">
            <v>28.819367999999997</v>
          </cell>
        </row>
        <row r="786">
          <cell r="A786" t="str">
            <v>DES03</v>
          </cell>
          <cell r="B786" t="str">
            <v>Desmontar cesped con recuperacion</v>
          </cell>
          <cell r="C786" t="str">
            <v>M2</v>
          </cell>
          <cell r="D786">
            <v>15.036192000000002</v>
          </cell>
          <cell r="E786"/>
          <cell r="F786">
            <v>17.2916208</v>
          </cell>
        </row>
        <row r="787">
          <cell r="A787" t="str">
            <v>DES04</v>
          </cell>
          <cell r="B787" t="str">
            <v>Desmontar cristales con junquillo</v>
          </cell>
          <cell r="C787" t="str">
            <v>M2</v>
          </cell>
          <cell r="D787">
            <v>20.883600000000001</v>
          </cell>
          <cell r="E787"/>
          <cell r="F787">
            <v>24.01614</v>
          </cell>
        </row>
        <row r="788">
          <cell r="A788" t="str">
            <v>DES05</v>
          </cell>
          <cell r="B788" t="str">
            <v>Desmontar cristales con mastique</v>
          </cell>
          <cell r="C788" t="str">
            <v>M2</v>
          </cell>
          <cell r="D788">
            <v>25.060320000000001</v>
          </cell>
          <cell r="E788"/>
          <cell r="F788">
            <v>28.819367999999997</v>
          </cell>
        </row>
        <row r="789">
          <cell r="A789" t="str">
            <v>DES06</v>
          </cell>
          <cell r="B789" t="str">
            <v>Desmontar herreria demoliendo anclas</v>
          </cell>
          <cell r="C789" t="str">
            <v>M2</v>
          </cell>
          <cell r="D789">
            <v>37.590479999999999</v>
          </cell>
          <cell r="E789"/>
          <cell r="F789">
            <v>43.229051999999996</v>
          </cell>
        </row>
        <row r="790">
          <cell r="A790" t="str">
            <v>DES07</v>
          </cell>
          <cell r="B790" t="str">
            <v>Desmontar puerta de madera o aluminio con todo y marco</v>
          </cell>
          <cell r="C790" t="str">
            <v>PZA</v>
          </cell>
          <cell r="D790">
            <v>75.180959999999999</v>
          </cell>
          <cell r="E790"/>
          <cell r="F790">
            <v>86.458103999999992</v>
          </cell>
        </row>
        <row r="791">
          <cell r="A791" t="str">
            <v>DES08</v>
          </cell>
          <cell r="B791" t="str">
            <v>Desmontar ladrillo de azotea</v>
          </cell>
          <cell r="C791" t="str">
            <v>M2</v>
          </cell>
          <cell r="D791">
            <v>15.168088421052621</v>
          </cell>
          <cell r="E791"/>
          <cell r="F791">
            <v>17.443301684210514</v>
          </cell>
        </row>
        <row r="792">
          <cell r="A792" t="str">
            <v>DES09</v>
          </cell>
          <cell r="B792" t="str">
            <v>Despegar tecata impermeabilizante o mezcla</v>
          </cell>
          <cell r="C792" t="str">
            <v>M2</v>
          </cell>
          <cell r="D792">
            <v>15.036192000000002</v>
          </cell>
          <cell r="E792"/>
          <cell r="F792">
            <v>17.2916208</v>
          </cell>
        </row>
        <row r="793">
          <cell r="A793" t="str">
            <v>DES10</v>
          </cell>
          <cell r="B793" t="str">
            <v>Descimbrar losa</v>
          </cell>
          <cell r="C793" t="str">
            <v>M2</v>
          </cell>
          <cell r="D793">
            <v>15.036192000000002</v>
          </cell>
          <cell r="E793"/>
          <cell r="F793">
            <v>17.2916208</v>
          </cell>
        </row>
        <row r="794">
          <cell r="A794" t="str">
            <v>DES11</v>
          </cell>
          <cell r="B794" t="str">
            <v>Desmontar teja colocada en losas, incluye acomodo</v>
          </cell>
          <cell r="C794" t="str">
            <v>M2</v>
          </cell>
          <cell r="D794">
            <v>15.036192000000002</v>
          </cell>
          <cell r="E794"/>
          <cell r="F794">
            <v>17.2916208</v>
          </cell>
        </row>
        <row r="795">
          <cell r="A795" t="str">
            <v>DES12</v>
          </cell>
          <cell r="B795" t="str">
            <v xml:space="preserve">Desmontar empedrado </v>
          </cell>
          <cell r="C795" t="str">
            <v>M2</v>
          </cell>
          <cell r="D795">
            <v>12.134470736842111</v>
          </cell>
          <cell r="E795"/>
          <cell r="F795">
            <v>13.954641347368426</v>
          </cell>
        </row>
        <row r="796">
          <cell r="A796" t="str">
            <v>DES13</v>
          </cell>
          <cell r="B796" t="str">
            <v>Desmontaje de muebles sanitarios</v>
          </cell>
          <cell r="C796" t="str">
            <v>PZA</v>
          </cell>
          <cell r="D796">
            <v>125.30160000000001</v>
          </cell>
          <cell r="E796"/>
          <cell r="F796">
            <v>144.09683999999999</v>
          </cell>
        </row>
        <row r="797">
          <cell r="A797" t="str">
            <v>DES14</v>
          </cell>
          <cell r="B797" t="str">
            <v>Desapuntalar decklosa</v>
          </cell>
          <cell r="C797" t="str">
            <v>M2</v>
          </cell>
          <cell r="D797">
            <v>5.2758568421052638</v>
          </cell>
          <cell r="E797"/>
          <cell r="F797">
            <v>6.0672353684210529</v>
          </cell>
        </row>
        <row r="798">
          <cell r="A798" t="str">
            <v>DESBA</v>
          </cell>
          <cell r="B798" t="str">
            <v>Desbastar piso con maquina</v>
          </cell>
          <cell r="C798" t="str">
            <v>M2</v>
          </cell>
          <cell r="D798">
            <v>48.503845161290329</v>
          </cell>
          <cell r="E798"/>
          <cell r="F798">
            <v>55.779421935483875</v>
          </cell>
        </row>
        <row r="799">
          <cell r="A799" t="str">
            <v>DESPA1</v>
          </cell>
          <cell r="B799" t="str">
            <v>Despatillado de piso o azulejo</v>
          </cell>
          <cell r="C799" t="str">
            <v>ML</v>
          </cell>
          <cell r="D799">
            <v>62.650800000000004</v>
          </cell>
          <cell r="E799"/>
          <cell r="F799">
            <v>72.048419999999993</v>
          </cell>
        </row>
        <row r="800">
          <cell r="A800" t="str">
            <v>DESPA2</v>
          </cell>
          <cell r="B800" t="str">
            <v>Despatillado de piso o azulejo en cartabon</v>
          </cell>
          <cell r="C800" t="str">
            <v>ML</v>
          </cell>
          <cell r="D800">
            <v>62.650800000000004</v>
          </cell>
          <cell r="E800"/>
          <cell r="F800">
            <v>72.048419999999993</v>
          </cell>
        </row>
        <row r="801">
          <cell r="A801" t="str">
            <v>DESPA3</v>
          </cell>
          <cell r="B801" t="str">
            <v>Despalme de terreno con pala de 10 a 20 cms prof.</v>
          </cell>
          <cell r="C801" t="str">
            <v>M2</v>
          </cell>
          <cell r="D801">
            <v>37.590479999999999</v>
          </cell>
          <cell r="E801"/>
          <cell r="F801">
            <v>43.229051999999996</v>
          </cell>
        </row>
        <row r="802">
          <cell r="A802" t="str">
            <v>DESTAJ</v>
          </cell>
          <cell r="B802" t="str">
            <v>Destajos y nominas</v>
          </cell>
          <cell r="C802" t="str">
            <v>LOTE</v>
          </cell>
          <cell r="D802">
            <v>100</v>
          </cell>
          <cell r="E802"/>
          <cell r="F802">
            <v>100</v>
          </cell>
        </row>
        <row r="803">
          <cell r="A803" t="str">
            <v>DIAFE</v>
          </cell>
          <cell r="B803" t="str">
            <v>Dia festivo ( 1 oficial + 1 peon )</v>
          </cell>
          <cell r="C803" t="str">
            <v>JORNAL</v>
          </cell>
          <cell r="D803">
            <v>751.80960000000005</v>
          </cell>
          <cell r="E803"/>
          <cell r="F803"/>
        </row>
        <row r="804">
          <cell r="A804" t="str">
            <v>DOM</v>
          </cell>
          <cell r="B804" t="str">
            <v>Domingo trabajado</v>
          </cell>
          <cell r="C804" t="str">
            <v>LOTE</v>
          </cell>
          <cell r="D804">
            <v>100</v>
          </cell>
          <cell r="E804"/>
          <cell r="F804">
            <v>100</v>
          </cell>
        </row>
        <row r="805">
          <cell r="A805" t="str">
            <v>DUCTO</v>
          </cell>
          <cell r="B805" t="str">
            <v>Recibir ducto de aire en muro o boveda colando y resanando</v>
          </cell>
          <cell r="C805" t="str">
            <v>PZA</v>
          </cell>
          <cell r="D805">
            <v>250.60320000000002</v>
          </cell>
          <cell r="E805"/>
          <cell r="F805">
            <v>288.19367999999997</v>
          </cell>
        </row>
        <row r="806">
          <cell r="A806" t="str">
            <v>DUELA</v>
          </cell>
          <cell r="B806" t="str">
            <v>Instalacion de duela aparente lecho bajo de cubierta machihembrada</v>
          </cell>
          <cell r="C806" t="str">
            <v>M2</v>
          </cell>
          <cell r="D806">
            <v>48.535158166559071</v>
          </cell>
          <cell r="E806"/>
          <cell r="F806">
            <v>55.815431891542929</v>
          </cell>
        </row>
        <row r="807">
          <cell r="A807" t="str">
            <v>DUROCK</v>
          </cell>
          <cell r="B807" t="str">
            <v>Instalacion de bastidor de metal y hojas de durock a 2 rostros</v>
          </cell>
          <cell r="C807" t="str">
            <v>M2</v>
          </cell>
          <cell r="D807">
            <v>208.83600000000001</v>
          </cell>
          <cell r="E807"/>
          <cell r="F807">
            <v>208.83600000000001</v>
          </cell>
        </row>
        <row r="808">
          <cell r="A808" t="str">
            <v>DURM</v>
          </cell>
          <cell r="B808" t="str">
            <v>Acarreo, nivelacion, fijar y colocar durmiente de madera</v>
          </cell>
          <cell r="C808" t="str">
            <v>ML</v>
          </cell>
          <cell r="D808">
            <v>62.650800000000004</v>
          </cell>
          <cell r="E808"/>
          <cell r="F808">
            <v>72.048419999999993</v>
          </cell>
        </row>
        <row r="809">
          <cell r="A809" t="str">
            <v>EMP01</v>
          </cell>
          <cell r="B809" t="str">
            <v>Empedrado ( piedra bola 4" a 8 " )</v>
          </cell>
          <cell r="C809" t="str">
            <v>M2</v>
          </cell>
          <cell r="D809">
            <v>115.66301538461539</v>
          </cell>
          <cell r="E809"/>
          <cell r="F809">
            <v>133.01246769230769</v>
          </cell>
        </row>
        <row r="810">
          <cell r="A810" t="str">
            <v>EMP02</v>
          </cell>
          <cell r="B810" t="str">
            <v>Empedrado ( piedra castilla 4" a 8 " )</v>
          </cell>
          <cell r="C810" t="str">
            <v>M2</v>
          </cell>
          <cell r="D810">
            <v>115.66301538461539</v>
          </cell>
          <cell r="E810"/>
          <cell r="F810">
            <v>133.01246769230769</v>
          </cell>
        </row>
        <row r="811">
          <cell r="A811" t="str">
            <v>ENC01</v>
          </cell>
          <cell r="B811" t="str">
            <v>Enchape de bajante</v>
          </cell>
          <cell r="C811" t="str">
            <v>ML</v>
          </cell>
          <cell r="D811">
            <v>57.831507692307696</v>
          </cell>
          <cell r="E811">
            <v>1</v>
          </cell>
          <cell r="F811">
            <v>66.506233846153847</v>
          </cell>
        </row>
        <row r="812">
          <cell r="A812" t="str">
            <v>ENC02</v>
          </cell>
          <cell r="B812" t="str">
            <v xml:space="preserve">Enchape de muro </v>
          </cell>
          <cell r="C812" t="str">
            <v>M2</v>
          </cell>
          <cell r="D812">
            <v>50.120640000000002</v>
          </cell>
          <cell r="E812">
            <v>1</v>
          </cell>
          <cell r="F812">
            <v>57.638735999999994</v>
          </cell>
        </row>
        <row r="813">
          <cell r="A813" t="str">
            <v>ENC03</v>
          </cell>
          <cell r="B813" t="str">
            <v xml:space="preserve">Enchape de viga </v>
          </cell>
          <cell r="C813" t="str">
            <v>ML</v>
          </cell>
          <cell r="D813">
            <v>25.060320000000001</v>
          </cell>
          <cell r="E813">
            <v>1</v>
          </cell>
          <cell r="F813">
            <v>28.819367999999997</v>
          </cell>
        </row>
        <row r="814">
          <cell r="A814" t="str">
            <v>ENC04</v>
          </cell>
          <cell r="B814" t="str">
            <v>Enchape de muro con rajuela de piedra a 1 rostro</v>
          </cell>
          <cell r="C814" t="str">
            <v>M2</v>
          </cell>
          <cell r="D814">
            <v>93.976200000000006</v>
          </cell>
          <cell r="E814">
            <v>1</v>
          </cell>
          <cell r="F814">
            <v>108.07263</v>
          </cell>
        </row>
        <row r="815">
          <cell r="A815" t="str">
            <v>ENCAR</v>
          </cell>
          <cell r="B815" t="str">
            <v>Encartonado de piso</v>
          </cell>
          <cell r="C815" t="str">
            <v>M2</v>
          </cell>
          <cell r="D815">
            <v>3.0072384000000003</v>
          </cell>
          <cell r="E815"/>
          <cell r="F815">
            <v>3.4583241600000001</v>
          </cell>
        </row>
        <row r="816">
          <cell r="A816" t="str">
            <v>ENJ01</v>
          </cell>
          <cell r="B816" t="str">
            <v>Enjarre apalillado</v>
          </cell>
          <cell r="C816" t="str">
            <v>M2</v>
          </cell>
          <cell r="D816">
            <v>77.108676923076928</v>
          </cell>
          <cell r="E816">
            <v>1</v>
          </cell>
          <cell r="F816">
            <v>88.674978461538458</v>
          </cell>
        </row>
        <row r="817">
          <cell r="A817" t="str">
            <v>ENJ02</v>
          </cell>
          <cell r="B817" t="str">
            <v>Enjarre apalillado 2a h.</v>
          </cell>
          <cell r="C817" t="str">
            <v>M2</v>
          </cell>
          <cell r="D817">
            <v>88.674978461538458</v>
          </cell>
          <cell r="E817">
            <v>1</v>
          </cell>
          <cell r="F817">
            <v>101.97622523076922</v>
          </cell>
        </row>
        <row r="818">
          <cell r="A818" t="str">
            <v>ENJ03</v>
          </cell>
          <cell r="B818" t="str">
            <v>Enjarre apalillado en boveda</v>
          </cell>
          <cell r="C818" t="str">
            <v>M2</v>
          </cell>
          <cell r="D818">
            <v>93.976200000000006</v>
          </cell>
          <cell r="E818">
            <v>1</v>
          </cell>
          <cell r="F818">
            <v>108.07263</v>
          </cell>
        </row>
        <row r="819">
          <cell r="A819" t="str">
            <v>ENJ04</v>
          </cell>
          <cell r="B819" t="str">
            <v>Enjarre apalillado en boveda 2a h.</v>
          </cell>
          <cell r="C819" t="str">
            <v>M2</v>
          </cell>
          <cell r="D819">
            <v>108.07262999999999</v>
          </cell>
          <cell r="E819">
            <v>1</v>
          </cell>
          <cell r="F819">
            <v>124.28352449999998</v>
          </cell>
        </row>
        <row r="820">
          <cell r="A820" t="str">
            <v>ENJ05</v>
          </cell>
          <cell r="B820" t="str">
            <v>Enjarre apalillado en muro curvo</v>
          </cell>
          <cell r="C820" t="str">
            <v>M2</v>
          </cell>
          <cell r="D820">
            <v>105.51713684210527</v>
          </cell>
          <cell r="E820">
            <v>1</v>
          </cell>
          <cell r="F820">
            <v>121.34470736842106</v>
          </cell>
        </row>
        <row r="821">
          <cell r="A821" t="str">
            <v>ENJ06</v>
          </cell>
          <cell r="B821" t="str">
            <v>Enjarre apalillado en muro curvo 2a h.</v>
          </cell>
          <cell r="C821" t="str">
            <v>M2</v>
          </cell>
          <cell r="D821">
            <v>121.25961290322581</v>
          </cell>
          <cell r="E821">
            <v>1</v>
          </cell>
          <cell r="F821">
            <v>139.44855483870967</v>
          </cell>
        </row>
        <row r="822">
          <cell r="A822" t="str">
            <v>ENJ06-3</v>
          </cell>
          <cell r="B822" t="str">
            <v>Enjarre apalillado en muro curvo 3a h.</v>
          </cell>
          <cell r="C822" t="str">
            <v>M2</v>
          </cell>
          <cell r="D822">
            <v>139.44855483870967</v>
          </cell>
          <cell r="E822">
            <v>1</v>
          </cell>
          <cell r="F822">
            <v>160.36583806451611</v>
          </cell>
        </row>
        <row r="823">
          <cell r="A823" t="str">
            <v>ENJ07</v>
          </cell>
          <cell r="B823" t="str">
            <v>Enjarre de contrahuella escalones</v>
          </cell>
          <cell r="C823" t="str">
            <v>ML</v>
          </cell>
          <cell r="D823">
            <v>30.072384000000003</v>
          </cell>
          <cell r="E823">
            <v>1</v>
          </cell>
          <cell r="F823">
            <v>34.583241600000001</v>
          </cell>
        </row>
        <row r="824">
          <cell r="A824" t="str">
            <v>ENJ08</v>
          </cell>
          <cell r="B824" t="str">
            <v xml:space="preserve">Enjarre apalillado en losa inclinada </v>
          </cell>
          <cell r="C824" t="str">
            <v>M2</v>
          </cell>
          <cell r="D824">
            <v>105.51713684210527</v>
          </cell>
          <cell r="E824">
            <v>1</v>
          </cell>
          <cell r="F824">
            <v>121.34470736842106</v>
          </cell>
        </row>
        <row r="825">
          <cell r="A825" t="str">
            <v>ENJ09</v>
          </cell>
          <cell r="B825" t="str">
            <v>Enjarre apalillado en losa inclinada 2a h</v>
          </cell>
          <cell r="C825" t="str">
            <v>M2</v>
          </cell>
          <cell r="D825">
            <v>121.25961290322581</v>
          </cell>
          <cell r="E825">
            <v>1</v>
          </cell>
          <cell r="F825">
            <v>139.44855483870967</v>
          </cell>
        </row>
        <row r="826">
          <cell r="A826" t="str">
            <v>ENJ10</v>
          </cell>
          <cell r="B826" t="str">
            <v>Enjarre de losa inclinada pulido</v>
          </cell>
          <cell r="C826" t="str">
            <v>M2</v>
          </cell>
          <cell r="D826">
            <v>110.79299368421053</v>
          </cell>
          <cell r="E826">
            <v>1</v>
          </cell>
          <cell r="F826">
            <v>127.41194273684209</v>
          </cell>
        </row>
        <row r="827">
          <cell r="A827" t="str">
            <v>ENJ11</v>
          </cell>
          <cell r="B827" t="str">
            <v>Enjarre de losa inclinada pulido 2a h.</v>
          </cell>
          <cell r="C827" t="str">
            <v>M2</v>
          </cell>
          <cell r="D827">
            <v>127.33152282768778</v>
          </cell>
          <cell r="E827">
            <v>1</v>
          </cell>
          <cell r="F827">
            <v>146.43125125184093</v>
          </cell>
        </row>
        <row r="828">
          <cell r="A828" t="str">
            <v>ENJ12</v>
          </cell>
          <cell r="B828" t="str">
            <v>Enjarre de muro mamposteo incluye sarpeado cemento</v>
          </cell>
          <cell r="C828" t="str">
            <v>M2</v>
          </cell>
          <cell r="D828">
            <v>107.40137142857144</v>
          </cell>
          <cell r="E828">
            <v>1</v>
          </cell>
          <cell r="F828">
            <v>123.51157714285715</v>
          </cell>
        </row>
        <row r="829">
          <cell r="A829" t="str">
            <v>ENJ13</v>
          </cell>
          <cell r="B829" t="str">
            <v>Enjarre de pretil</v>
          </cell>
          <cell r="C829" t="str">
            <v>ML</v>
          </cell>
          <cell r="D829">
            <v>59.952918660287089</v>
          </cell>
          <cell r="E829">
            <v>1</v>
          </cell>
          <cell r="F829">
            <v>68.945856459330145</v>
          </cell>
        </row>
        <row r="830">
          <cell r="A830" t="str">
            <v>ENJ14</v>
          </cell>
          <cell r="B830" t="str">
            <v>Enjarre en muro de panel incluye sarpeo</v>
          </cell>
          <cell r="C830" t="str">
            <v>M2</v>
          </cell>
          <cell r="D830">
            <v>118.70677894736843</v>
          </cell>
          <cell r="E830">
            <v>1</v>
          </cell>
          <cell r="F830">
            <v>136.5127957894737</v>
          </cell>
        </row>
        <row r="831">
          <cell r="A831" t="str">
            <v>ENJ15</v>
          </cell>
          <cell r="B831" t="str">
            <v>Enjarre en boveda de panel incluye sarpeo</v>
          </cell>
          <cell r="C831" t="str">
            <v>M2</v>
          </cell>
          <cell r="D831">
            <v>136.58468246445497</v>
          </cell>
          <cell r="E831">
            <v>1</v>
          </cell>
          <cell r="F831">
            <v>157.0723848341232</v>
          </cell>
        </row>
        <row r="832">
          <cell r="A832" t="str">
            <v>ENJ16</v>
          </cell>
          <cell r="B832" t="str">
            <v xml:space="preserve">Enjarre pulido </v>
          </cell>
          <cell r="C832" t="str">
            <v>M2</v>
          </cell>
          <cell r="D832">
            <v>92.327494736842112</v>
          </cell>
          <cell r="E832">
            <v>1</v>
          </cell>
          <cell r="F832">
            <v>106.17661894736842</v>
          </cell>
        </row>
        <row r="833">
          <cell r="A833" t="str">
            <v>ENJ17</v>
          </cell>
          <cell r="B833" t="str">
            <v>Enjarre pulido 2a h.</v>
          </cell>
          <cell r="C833" t="str">
            <v>M2</v>
          </cell>
          <cell r="D833">
            <v>105.51713684210527</v>
          </cell>
          <cell r="E833">
            <v>1</v>
          </cell>
          <cell r="F833">
            <v>121.34470736842106</v>
          </cell>
        </row>
        <row r="834">
          <cell r="A834" t="str">
            <v>ENJ18</v>
          </cell>
          <cell r="B834" t="str">
            <v>Enjarre pulido en boveda</v>
          </cell>
          <cell r="C834" t="str">
            <v>M2</v>
          </cell>
          <cell r="D834">
            <v>93.976200000000006</v>
          </cell>
          <cell r="E834">
            <v>1</v>
          </cell>
          <cell r="F834">
            <v>108.07263</v>
          </cell>
        </row>
        <row r="835">
          <cell r="A835" t="str">
            <v>ENJ19</v>
          </cell>
          <cell r="B835" t="str">
            <v>Enjarre pulido en boveda 2a h.</v>
          </cell>
          <cell r="C835" t="str">
            <v>M2</v>
          </cell>
          <cell r="D835">
            <v>108.07262999999999</v>
          </cell>
          <cell r="E835">
            <v>1</v>
          </cell>
          <cell r="F835">
            <v>124.28352449999998</v>
          </cell>
        </row>
        <row r="836">
          <cell r="A836" t="str">
            <v>ENJ20</v>
          </cell>
          <cell r="B836" t="str">
            <v>Enjarre pulido en muro curvo</v>
          </cell>
          <cell r="C836" t="str">
            <v>M2</v>
          </cell>
          <cell r="D836">
            <v>107.91525358851675</v>
          </cell>
          <cell r="E836">
            <v>1</v>
          </cell>
          <cell r="F836">
            <v>124.10254162679425</v>
          </cell>
        </row>
        <row r="837">
          <cell r="A837" t="str">
            <v>ENJ21</v>
          </cell>
          <cell r="B837" t="str">
            <v>Enjarre pulido en muro curvo 2a h.</v>
          </cell>
          <cell r="C837" t="str">
            <v>M2</v>
          </cell>
          <cell r="D837">
            <v>124.04319081779053</v>
          </cell>
          <cell r="E837">
            <v>1</v>
          </cell>
          <cell r="F837">
            <v>142.64966944045909</v>
          </cell>
        </row>
        <row r="838">
          <cell r="A838" t="str">
            <v>ENJ22</v>
          </cell>
          <cell r="B838" t="str">
            <v>Enjarre rustico</v>
          </cell>
          <cell r="C838" t="str">
            <v>M2</v>
          </cell>
          <cell r="D838">
            <v>107.91525358851675</v>
          </cell>
          <cell r="E838">
            <v>1</v>
          </cell>
          <cell r="F838">
            <v>124.10254162679425</v>
          </cell>
        </row>
        <row r="839">
          <cell r="A839" t="str">
            <v>ENJ23</v>
          </cell>
          <cell r="B839" t="str">
            <v>Enjarre rustico 2a h.</v>
          </cell>
          <cell r="C839" t="str">
            <v>M2</v>
          </cell>
          <cell r="D839">
            <v>124.04319081779053</v>
          </cell>
          <cell r="E839">
            <v>1</v>
          </cell>
          <cell r="F839">
            <v>142.64966944045909</v>
          </cell>
        </row>
        <row r="840">
          <cell r="A840" t="str">
            <v>ENJ24</v>
          </cell>
          <cell r="B840" t="str">
            <v>Enjarre apalillado a 15 mts altura</v>
          </cell>
          <cell r="C840" t="str">
            <v>M2</v>
          </cell>
          <cell r="D840">
            <v>167.06880000000001</v>
          </cell>
          <cell r="E840">
            <v>1</v>
          </cell>
          <cell r="F840">
            <v>192.12912</v>
          </cell>
        </row>
        <row r="841">
          <cell r="A841" t="str">
            <v>ENJ25</v>
          </cell>
          <cell r="B841" t="str">
            <v>Enjarre repellado en muro con terminado pendiente</v>
          </cell>
          <cell r="C841" t="str">
            <v>M2</v>
          </cell>
          <cell r="D841">
            <v>76.715265306122447</v>
          </cell>
          <cell r="E841">
            <v>1</v>
          </cell>
          <cell r="F841">
            <v>88.222555102040801</v>
          </cell>
        </row>
        <row r="842">
          <cell r="A842" t="str">
            <v>ENJ252</v>
          </cell>
          <cell r="B842" t="str">
            <v>Enjarre repellado en muro con terminado pendiente 2a h</v>
          </cell>
          <cell r="C842" t="str">
            <v>M2</v>
          </cell>
          <cell r="D842">
            <v>88.222555102040815</v>
          </cell>
          <cell r="E842">
            <v>1</v>
          </cell>
          <cell r="F842">
            <v>101.45593836734693</v>
          </cell>
        </row>
        <row r="843">
          <cell r="A843" t="str">
            <v>ENJ253</v>
          </cell>
          <cell r="B843" t="str">
            <v>Enjarre repellado en muro con terminado pendiente 3a h</v>
          </cell>
          <cell r="C843" t="str">
            <v>M2</v>
          </cell>
          <cell r="D843">
            <v>99.729844897959197</v>
          </cell>
          <cell r="E843">
            <v>1</v>
          </cell>
          <cell r="F843">
            <v>114.68932163265306</v>
          </cell>
        </row>
        <row r="844">
          <cell r="A844" t="str">
            <v>ENJ254</v>
          </cell>
          <cell r="B844" t="str">
            <v>Enjarre repellado en muro con terminado pendiente 4a h</v>
          </cell>
          <cell r="C844" t="str">
            <v>M2</v>
          </cell>
          <cell r="D844">
            <v>111.23713469387754</v>
          </cell>
          <cell r="E844">
            <v>1</v>
          </cell>
          <cell r="F844">
            <v>127.92270489795915</v>
          </cell>
        </row>
        <row r="845">
          <cell r="A845" t="str">
            <v>ENJ26</v>
          </cell>
          <cell r="B845" t="str">
            <v>Enjarre repellado en boveda con terminado pendiente</v>
          </cell>
          <cell r="C845" t="str">
            <v>M2</v>
          </cell>
          <cell r="D845">
            <v>92.246576687116573</v>
          </cell>
          <cell r="E845">
            <v>1</v>
          </cell>
          <cell r="F845">
            <v>106.08356319018405</v>
          </cell>
        </row>
        <row r="846">
          <cell r="A846" t="str">
            <v>ENJ262</v>
          </cell>
          <cell r="B846" t="str">
            <v>Enjarre repellado en boveda con terminado pendiente 2a h</v>
          </cell>
          <cell r="C846" t="str">
            <v>M2</v>
          </cell>
          <cell r="D846">
            <v>106.08356319018404</v>
          </cell>
          <cell r="E846">
            <v>1</v>
          </cell>
          <cell r="F846">
            <v>121.99609766871163</v>
          </cell>
        </row>
        <row r="847">
          <cell r="A847" t="str">
            <v>ENJ3AH</v>
          </cell>
          <cell r="B847" t="str">
            <v>Enjarre apalillado a 3a h</v>
          </cell>
          <cell r="C847" t="str">
            <v>M2</v>
          </cell>
          <cell r="D847">
            <v>110.96743258928569</v>
          </cell>
          <cell r="E847">
            <v>1</v>
          </cell>
          <cell r="F847">
            <v>127.61254747767853</v>
          </cell>
        </row>
        <row r="848">
          <cell r="A848" t="str">
            <v>ENJ4AH</v>
          </cell>
          <cell r="B848" t="str">
            <v>Enjarre apalillado 4a h.</v>
          </cell>
          <cell r="C848" t="str">
            <v>M2</v>
          </cell>
          <cell r="D848">
            <v>127.61254747767853</v>
          </cell>
          <cell r="E848">
            <v>1</v>
          </cell>
          <cell r="F848">
            <v>146.75442959933031</v>
          </cell>
        </row>
        <row r="849">
          <cell r="A849" t="str">
            <v>ENJ5AH</v>
          </cell>
          <cell r="B849" t="str">
            <v>Enjarre apalillado 5a h.</v>
          </cell>
          <cell r="C849" t="str">
            <v>M2</v>
          </cell>
          <cell r="D849">
            <v>146.75442959933031</v>
          </cell>
          <cell r="E849">
            <v>1</v>
          </cell>
          <cell r="F849">
            <v>168.76759403922983</v>
          </cell>
        </row>
        <row r="850">
          <cell r="A850" t="str">
            <v>ENJAFB</v>
          </cell>
          <cell r="B850" t="str">
            <v>Enjarre de boveda terminado afinado con esponja</v>
          </cell>
          <cell r="C850" t="str">
            <v>M2</v>
          </cell>
          <cell r="D850">
            <v>103.11902009569378</v>
          </cell>
          <cell r="E850">
            <v>1</v>
          </cell>
          <cell r="F850">
            <v>118.58687311004785</v>
          </cell>
        </row>
        <row r="851">
          <cell r="A851" t="str">
            <v>ENJAFB2</v>
          </cell>
          <cell r="B851" t="str">
            <v>Enjarre de boveda terminado afinado con esponja 2a h</v>
          </cell>
          <cell r="C851" t="str">
            <v>M2</v>
          </cell>
          <cell r="D851">
            <v>118.59822222222222</v>
          </cell>
          <cell r="E851">
            <v>1</v>
          </cell>
          <cell r="F851">
            <v>136.38795555555555</v>
          </cell>
        </row>
        <row r="852">
          <cell r="A852" t="str">
            <v>ENJAFB3</v>
          </cell>
          <cell r="B852" t="str">
            <v>Enjarre de boveda terminado afinado con esponja 3a h</v>
          </cell>
          <cell r="C852" t="str">
            <v>M2</v>
          </cell>
          <cell r="D852">
            <v>136.36924921135648</v>
          </cell>
          <cell r="E852">
            <v>1</v>
          </cell>
          <cell r="F852">
            <v>156.82463659305992</v>
          </cell>
        </row>
        <row r="853">
          <cell r="A853" t="str">
            <v>ENJAFM</v>
          </cell>
          <cell r="B853" t="str">
            <v>Enjarre de muro terminado afinado con esponja</v>
          </cell>
          <cell r="C853" t="str">
            <v>M2</v>
          </cell>
          <cell r="D853">
            <v>92.327494736842112</v>
          </cell>
          <cell r="E853">
            <v>1</v>
          </cell>
          <cell r="F853">
            <v>106.17661894736842</v>
          </cell>
        </row>
        <row r="854">
          <cell r="A854" t="str">
            <v>ENJAFM2</v>
          </cell>
          <cell r="B854" t="str">
            <v>Enjarre de muro terminado afinado con esponja 2a h</v>
          </cell>
          <cell r="C854" t="str">
            <v>M2</v>
          </cell>
          <cell r="D854">
            <v>105.51713684210527</v>
          </cell>
          <cell r="E854">
            <v>1</v>
          </cell>
          <cell r="F854">
            <v>121.34470736842106</v>
          </cell>
        </row>
        <row r="855">
          <cell r="A855" t="str">
            <v>ENJAFM3</v>
          </cell>
          <cell r="B855" t="str">
            <v>Enjarre de muro terminado afinado con esponja 3a h</v>
          </cell>
          <cell r="C855" t="str">
            <v>M2</v>
          </cell>
          <cell r="D855">
            <v>118.70677894736843</v>
          </cell>
          <cell r="E855">
            <v>1</v>
          </cell>
          <cell r="F855">
            <v>136.5127957894737</v>
          </cell>
        </row>
        <row r="856">
          <cell r="A856" t="str">
            <v>ENJAFM4</v>
          </cell>
          <cell r="B856" t="str">
            <v>Enjarre de muro terminado afinado con esponja 4a h</v>
          </cell>
          <cell r="C856" t="str">
            <v>M2</v>
          </cell>
          <cell r="D856">
            <v>136.5135142816541</v>
          </cell>
          <cell r="E856">
            <v>1</v>
          </cell>
          <cell r="F856">
            <v>156.99054142390219</v>
          </cell>
        </row>
        <row r="857">
          <cell r="A857" t="str">
            <v>ENJAFM5</v>
          </cell>
          <cell r="B857" t="str">
            <v>Enjarre de muro terminado afinado con esponja 5a h</v>
          </cell>
          <cell r="C857" t="str">
            <v>M2</v>
          </cell>
          <cell r="D857">
            <v>156.99054142390219</v>
          </cell>
          <cell r="E857">
            <v>1</v>
          </cell>
          <cell r="F857">
            <v>180.53912263748751</v>
          </cell>
        </row>
        <row r="858">
          <cell r="A858" t="str">
            <v>ENJAFMJP</v>
          </cell>
          <cell r="B858" t="str">
            <v>Enjarre de muro terminado afinado con esponja PUERTA PLATA</v>
          </cell>
          <cell r="C858" t="str">
            <v>M2</v>
          </cell>
          <cell r="D858">
            <v>104.41800000000001</v>
          </cell>
          <cell r="E858">
            <v>1</v>
          </cell>
          <cell r="F858">
            <v>120.08069999999999</v>
          </cell>
        </row>
        <row r="859">
          <cell r="A859" t="str">
            <v>ENJAFM2JP</v>
          </cell>
          <cell r="B859" t="str">
            <v>Enjarre de muro terminado afinado con esponja 2a h PUERTA PLATA</v>
          </cell>
          <cell r="C859" t="str">
            <v>M2</v>
          </cell>
          <cell r="D859">
            <v>120.08070000000001</v>
          </cell>
          <cell r="E859">
            <v>1</v>
          </cell>
          <cell r="F859">
            <v>138.092805</v>
          </cell>
        </row>
        <row r="860">
          <cell r="A860" t="str">
            <v>ENJRYF</v>
          </cell>
          <cell r="B860" t="str">
            <v>Enjarre de fachadas terminado rayado</v>
          </cell>
          <cell r="C860" t="str">
            <v>M2</v>
          </cell>
          <cell r="D860">
            <v>102.28702040816327</v>
          </cell>
          <cell r="E860">
            <v>1</v>
          </cell>
          <cell r="F860">
            <v>117.63007346938775</v>
          </cell>
        </row>
        <row r="861">
          <cell r="A861" t="str">
            <v>ENJRYF2</v>
          </cell>
          <cell r="B861" t="str">
            <v>Enjarre de fachadas terminado rayado 2do nivel</v>
          </cell>
          <cell r="C861" t="str">
            <v>M2</v>
          </cell>
          <cell r="D861">
            <v>117.63007346938777</v>
          </cell>
          <cell r="E861">
            <v>1</v>
          </cell>
          <cell r="F861">
            <v>135.27458448979593</v>
          </cell>
        </row>
        <row r="862">
          <cell r="A862" t="str">
            <v>ENJRYF3</v>
          </cell>
          <cell r="B862" t="str">
            <v>Enjarre de fachadas terminado rayado 3er nivel</v>
          </cell>
          <cell r="C862" t="str">
            <v>M2</v>
          </cell>
          <cell r="D862">
            <v>135.2745844897959</v>
          </cell>
          <cell r="E862">
            <v>1</v>
          </cell>
          <cell r="F862">
            <v>155.56577216326528</v>
          </cell>
        </row>
        <row r="863">
          <cell r="A863" t="str">
            <v>ENJRYF4</v>
          </cell>
          <cell r="B863" t="str">
            <v>Enjarre de fachadas terminado rayado 4to nivel</v>
          </cell>
          <cell r="C863" t="str">
            <v>M2</v>
          </cell>
          <cell r="D863">
            <v>155.56577216326528</v>
          </cell>
          <cell r="E863">
            <v>1</v>
          </cell>
          <cell r="F863">
            <v>178.90063798775506</v>
          </cell>
        </row>
        <row r="864">
          <cell r="A864" t="str">
            <v>ENJ25JP</v>
          </cell>
          <cell r="B864" t="str">
            <v>Enjarre repellado en muro con terminado pendiente PUERTA PLATA</v>
          </cell>
          <cell r="C864" t="str">
            <v>M2</v>
          </cell>
          <cell r="D864">
            <v>88.866382978723394</v>
          </cell>
          <cell r="E864">
            <v>1</v>
          </cell>
          <cell r="F864">
            <v>102.1963404255319</v>
          </cell>
        </row>
        <row r="865">
          <cell r="A865" t="str">
            <v>ENJ252JP</v>
          </cell>
          <cell r="B865" t="str">
            <v>Enjarre repellado en muro con terminado pendiente 2ha alt PUERTA PLATA</v>
          </cell>
          <cell r="C865" t="str">
            <v>M2</v>
          </cell>
          <cell r="D865">
            <v>102.1963404255319</v>
          </cell>
          <cell r="E865">
            <v>1</v>
          </cell>
          <cell r="F865">
            <v>117.52579148936168</v>
          </cell>
        </row>
        <row r="866">
          <cell r="A866" t="str">
            <v>ENJ253JP</v>
          </cell>
          <cell r="B866" t="str">
            <v>Enjarre repellado en muro con terminado pendiente 3ha alt PUERTA PLATA</v>
          </cell>
          <cell r="C866" t="str">
            <v>M2</v>
          </cell>
          <cell r="D866">
            <v>117.52579148936168</v>
          </cell>
          <cell r="E866">
            <v>1</v>
          </cell>
          <cell r="F866">
            <v>135.15466021276592</v>
          </cell>
        </row>
        <row r="867">
          <cell r="A867" t="str">
            <v>ENJ26JP</v>
          </cell>
          <cell r="B867" t="str">
            <v>Enjarre repellado en boveda con terminado pendiente PUERTA PLATA</v>
          </cell>
          <cell r="C867" t="str">
            <v>M2</v>
          </cell>
          <cell r="D867">
            <v>104.41800000000001</v>
          </cell>
          <cell r="E867">
            <v>1</v>
          </cell>
          <cell r="F867">
            <v>120.08069999999999</v>
          </cell>
        </row>
        <row r="868">
          <cell r="A868" t="str">
            <v>ENJ262JP</v>
          </cell>
          <cell r="B868" t="str">
            <v>Enjarre repellado en boveda con terminado pendiente 2a h PUERTA PLATA</v>
          </cell>
          <cell r="C868" t="str">
            <v>M2</v>
          </cell>
          <cell r="D868">
            <v>120.08070000000001</v>
          </cell>
          <cell r="E868">
            <v>1</v>
          </cell>
          <cell r="F868">
            <v>138.092805</v>
          </cell>
        </row>
        <row r="869">
          <cell r="A869" t="str">
            <v>ENL01</v>
          </cell>
          <cell r="B869" t="str">
            <v>Enladrillado de azotea ordinario</v>
          </cell>
          <cell r="C869" t="str">
            <v>M2</v>
          </cell>
          <cell r="D869">
            <v>73.706823529411778</v>
          </cell>
          <cell r="E869">
            <v>1</v>
          </cell>
          <cell r="F869">
            <v>84.762847058823539</v>
          </cell>
        </row>
        <row r="870">
          <cell r="A870" t="str">
            <v>ENL02</v>
          </cell>
          <cell r="B870" t="str">
            <v>Enladrillado de azotea con crest</v>
          </cell>
          <cell r="C870" t="str">
            <v>M2</v>
          </cell>
          <cell r="D870">
            <v>81.013965517241388</v>
          </cell>
          <cell r="E870">
            <v>1</v>
          </cell>
          <cell r="F870">
            <v>93.166060344827585</v>
          </cell>
        </row>
        <row r="871">
          <cell r="A871" t="str">
            <v>ESC01</v>
          </cell>
          <cell r="B871" t="str">
            <v>Escalon colado con revoltura de concreto</v>
          </cell>
          <cell r="C871" t="str">
            <v>ML</v>
          </cell>
          <cell r="D871">
            <v>93.976200000000006</v>
          </cell>
          <cell r="E871">
            <v>1</v>
          </cell>
          <cell r="F871">
            <v>108.07263</v>
          </cell>
        </row>
        <row r="872">
          <cell r="A872" t="str">
            <v>ESC02</v>
          </cell>
          <cell r="B872" t="str">
            <v>Escalon curvo forjado con ladrillo</v>
          </cell>
          <cell r="C872" t="str">
            <v>ML</v>
          </cell>
          <cell r="D872">
            <v>93.976200000000006</v>
          </cell>
          <cell r="E872">
            <v>1</v>
          </cell>
          <cell r="F872">
            <v>108.07263</v>
          </cell>
        </row>
        <row r="873">
          <cell r="A873" t="str">
            <v>ESC03</v>
          </cell>
          <cell r="B873" t="str">
            <v>Escalon forjado con ladrillo</v>
          </cell>
          <cell r="C873" t="str">
            <v>ML</v>
          </cell>
          <cell r="D873">
            <v>83.534400000000005</v>
          </cell>
          <cell r="E873">
            <v>1</v>
          </cell>
          <cell r="F873">
            <v>96.06456</v>
          </cell>
        </row>
        <row r="874">
          <cell r="A874" t="str">
            <v>ESC04</v>
          </cell>
          <cell r="B874" t="str">
            <v>Escuadras de varilla</v>
          </cell>
          <cell r="C874" t="str">
            <v>PZA</v>
          </cell>
          <cell r="D874">
            <v>10.024128000000001</v>
          </cell>
          <cell r="E874"/>
          <cell r="F874">
            <v>11.5277472</v>
          </cell>
        </row>
        <row r="875">
          <cell r="A875" t="str">
            <v>ESC05</v>
          </cell>
          <cell r="B875" t="str">
            <v>Escalon forjado con piedra en huella y peralte</v>
          </cell>
          <cell r="C875" t="str">
            <v>ML</v>
          </cell>
          <cell r="D875">
            <v>250.60320000000002</v>
          </cell>
          <cell r="E875">
            <v>1</v>
          </cell>
          <cell r="F875">
            <v>288.19367999999997</v>
          </cell>
        </row>
        <row r="876">
          <cell r="A876" t="str">
            <v>ESQ01</v>
          </cell>
          <cell r="B876" t="str">
            <v>Esquina con muro de piedra</v>
          </cell>
          <cell r="C876" t="str">
            <v>ML</v>
          </cell>
          <cell r="D876">
            <v>250.60320000000002</v>
          </cell>
          <cell r="E876"/>
          <cell r="F876">
            <v>288.19367999999997</v>
          </cell>
        </row>
        <row r="877">
          <cell r="A877" t="str">
            <v>ESQ02</v>
          </cell>
          <cell r="B877" t="str">
            <v>Esquina de muro de piedra RV</v>
          </cell>
          <cell r="C877" t="str">
            <v>ML</v>
          </cell>
          <cell r="D877">
            <v>250</v>
          </cell>
          <cell r="E877"/>
          <cell r="F877"/>
        </row>
        <row r="878">
          <cell r="A878" t="str">
            <v>EST01</v>
          </cell>
          <cell r="B878" t="str">
            <v>Estrias en enjarre</v>
          </cell>
          <cell r="C878" t="str">
            <v>ML</v>
          </cell>
          <cell r="D878">
            <v>41.767200000000003</v>
          </cell>
          <cell r="E878"/>
          <cell r="F878">
            <v>48.03228</v>
          </cell>
        </row>
        <row r="879">
          <cell r="A879" t="str">
            <v>EST02</v>
          </cell>
          <cell r="B879" t="str">
            <v>Estrias en piso</v>
          </cell>
          <cell r="C879" t="str">
            <v>ML</v>
          </cell>
          <cell r="D879">
            <v>10.514819580419582</v>
          </cell>
          <cell r="E879"/>
          <cell r="F879">
            <v>12.092042517482518</v>
          </cell>
        </row>
        <row r="880">
          <cell r="A880" t="str">
            <v>EST03</v>
          </cell>
          <cell r="B880" t="str">
            <v>Estriado de piso en losa colada para rampa</v>
          </cell>
          <cell r="C880" t="str">
            <v>M2</v>
          </cell>
          <cell r="D880">
            <v>191.84933971291866</v>
          </cell>
          <cell r="E880"/>
          <cell r="F880">
            <v>220.62674066985645</v>
          </cell>
        </row>
        <row r="881">
          <cell r="A881" t="str">
            <v>EXC01</v>
          </cell>
          <cell r="B881" t="str">
            <v>Excavacion de cepa para drenaje/cimiento</v>
          </cell>
          <cell r="C881" t="str">
            <v>M3</v>
          </cell>
          <cell r="D881">
            <v>179.85875598086128</v>
          </cell>
          <cell r="E881"/>
          <cell r="F881">
            <v>206.83756937799046</v>
          </cell>
        </row>
        <row r="882">
          <cell r="A882" t="str">
            <v>EXC02</v>
          </cell>
          <cell r="B882" t="str">
            <v>Excavacion para zapata o registro</v>
          </cell>
          <cell r="C882" t="str">
            <v>M3</v>
          </cell>
          <cell r="D882">
            <v>179.85875598086128</v>
          </cell>
          <cell r="E882"/>
          <cell r="F882">
            <v>206.83756937799046</v>
          </cell>
        </row>
        <row r="883">
          <cell r="A883" t="str">
            <v>EXC03</v>
          </cell>
          <cell r="B883" t="str">
            <v>Excavacion terreno A 0.00-1.50 prof.</v>
          </cell>
          <cell r="C883" t="str">
            <v>M3</v>
          </cell>
          <cell r="D883">
            <v>179.85875598086128</v>
          </cell>
          <cell r="E883"/>
          <cell r="F883">
            <v>206.83756937799046</v>
          </cell>
        </row>
        <row r="884">
          <cell r="A884" t="str">
            <v>EXC04</v>
          </cell>
          <cell r="B884" t="str">
            <v>Excavacion terreno A1.50- 3.00 prof.</v>
          </cell>
          <cell r="C884" t="str">
            <v>M3</v>
          </cell>
          <cell r="D884">
            <v>206.83756937799046</v>
          </cell>
          <cell r="E884"/>
          <cell r="F884">
            <v>237.863204784689</v>
          </cell>
        </row>
        <row r="885">
          <cell r="A885" t="str">
            <v>EXC05</v>
          </cell>
          <cell r="B885" t="str">
            <v>Excavacion terreno B 0.00-1.50 prof.</v>
          </cell>
          <cell r="C885" t="str">
            <v>M3</v>
          </cell>
          <cell r="D885">
            <v>300.72384</v>
          </cell>
          <cell r="E885"/>
          <cell r="F885">
            <v>345.83241599999997</v>
          </cell>
        </row>
        <row r="886">
          <cell r="A886" t="str">
            <v>EXC06</v>
          </cell>
          <cell r="B886" t="str">
            <v>Excavacion terreno B 1.50- 3.00 prof.</v>
          </cell>
          <cell r="C886" t="str">
            <v>M3</v>
          </cell>
          <cell r="D886">
            <v>345.83241599999997</v>
          </cell>
          <cell r="E886"/>
          <cell r="F886">
            <v>397.70727839999995</v>
          </cell>
        </row>
        <row r="887">
          <cell r="A887" t="str">
            <v>EXC07</v>
          </cell>
          <cell r="B887" t="str">
            <v>Excavacion terreno C 0.00-1.50  prof.</v>
          </cell>
          <cell r="C887" t="str">
            <v>M3</v>
          </cell>
          <cell r="D887">
            <v>359.71751196172255</v>
          </cell>
          <cell r="E887"/>
          <cell r="F887">
            <v>413.67513875598092</v>
          </cell>
        </row>
        <row r="888">
          <cell r="A888" t="str">
            <v>EXC08</v>
          </cell>
          <cell r="B888" t="str">
            <v>Excavacion terreno C 1.50-3.00 prof.</v>
          </cell>
          <cell r="C888" t="str">
            <v>M3</v>
          </cell>
          <cell r="D888">
            <v>413.67513875598092</v>
          </cell>
          <cell r="E888"/>
          <cell r="F888">
            <v>475.72640956937801</v>
          </cell>
        </row>
        <row r="889">
          <cell r="A889" t="str">
            <v>EXC09</v>
          </cell>
          <cell r="B889" t="str">
            <v>Excavacion superficial de terrenos</v>
          </cell>
          <cell r="C889" t="str">
            <v>M3</v>
          </cell>
          <cell r="D889">
            <v>139.22399999999999</v>
          </cell>
          <cell r="E889"/>
          <cell r="F889">
            <v>160.10759999999996</v>
          </cell>
        </row>
        <row r="890">
          <cell r="A890" t="str">
            <v>EXC10</v>
          </cell>
          <cell r="B890" t="str">
            <v>Excavacion de terreno con piedra</v>
          </cell>
          <cell r="C890" t="str">
            <v>M3</v>
          </cell>
          <cell r="D890">
            <v>359.71751196172255</v>
          </cell>
          <cell r="E890"/>
          <cell r="F890">
            <v>413.67513875598092</v>
          </cell>
        </row>
        <row r="891">
          <cell r="A891" t="str">
            <v>FIR01</v>
          </cell>
          <cell r="B891" t="str">
            <v>Firme de hormigon en entrepiso espesor promedio 7 cms</v>
          </cell>
          <cell r="C891" t="str">
            <v>M2</v>
          </cell>
          <cell r="D891">
            <v>43.207448275862077</v>
          </cell>
          <cell r="E891">
            <v>1</v>
          </cell>
          <cell r="F891">
            <v>49.688565517241386</v>
          </cell>
        </row>
        <row r="892">
          <cell r="A892" t="str">
            <v>FIR02</v>
          </cell>
          <cell r="B892" t="str">
            <v>Firme de hormigon en piso espesor promedio 7 cms</v>
          </cell>
          <cell r="C892" t="str">
            <v>M2</v>
          </cell>
          <cell r="D892">
            <v>37.590479999999999</v>
          </cell>
          <cell r="E892">
            <v>1</v>
          </cell>
          <cell r="F892">
            <v>43.229051999999996</v>
          </cell>
        </row>
        <row r="893">
          <cell r="A893" t="str">
            <v>FIR03</v>
          </cell>
          <cell r="B893" t="str">
            <v>Firme de ladrillo</v>
          </cell>
          <cell r="C893" t="str">
            <v>M2</v>
          </cell>
          <cell r="D893">
            <v>48.19292307692308</v>
          </cell>
          <cell r="E893">
            <v>1</v>
          </cell>
          <cell r="F893">
            <v>55.421861538461535</v>
          </cell>
        </row>
        <row r="894">
          <cell r="A894" t="str">
            <v>FLECHA</v>
          </cell>
          <cell r="B894" t="str">
            <v>Flecha de estacionamiento pintada</v>
          </cell>
          <cell r="C894" t="str">
            <v>PZA</v>
          </cell>
          <cell r="D894">
            <v>125.30160000000001</v>
          </cell>
          <cell r="E894"/>
          <cell r="F894">
            <v>144.09683999999999</v>
          </cell>
        </row>
        <row r="895">
          <cell r="A895" t="str">
            <v>FLETE</v>
          </cell>
          <cell r="B895" t="str">
            <v>Flete de escombro, basura o material</v>
          </cell>
          <cell r="C895" t="str">
            <v>VIAJE</v>
          </cell>
          <cell r="D895">
            <v>5</v>
          </cell>
          <cell r="E895"/>
          <cell r="F895">
            <v>5.75</v>
          </cell>
        </row>
        <row r="896">
          <cell r="A896" t="str">
            <v>FLOR</v>
          </cell>
          <cell r="B896" t="str">
            <v>Flor de teja en esquina incluye cortes y figurado en curva</v>
          </cell>
          <cell r="C896" t="str">
            <v>PZA</v>
          </cell>
          <cell r="D896">
            <v>150</v>
          </cell>
          <cell r="E896"/>
          <cell r="F896">
            <v>172.5</v>
          </cell>
        </row>
        <row r="897">
          <cell r="A897" t="str">
            <v>FONDEO</v>
          </cell>
          <cell r="B897" t="str">
            <v>Fondeo de muro aparente de ladrillo</v>
          </cell>
          <cell r="C897" t="str">
            <v>M2</v>
          </cell>
          <cell r="D897">
            <v>17.985875598086128</v>
          </cell>
          <cell r="E897"/>
          <cell r="F897">
            <v>20.683756937799046</v>
          </cell>
        </row>
        <row r="898">
          <cell r="A898" t="str">
            <v>FUERA</v>
          </cell>
          <cell r="B898" t="str">
            <v>Labores fuera de turno</v>
          </cell>
          <cell r="C898" t="str">
            <v>LOTE</v>
          </cell>
          <cell r="D898">
            <v>100</v>
          </cell>
          <cell r="E898"/>
          <cell r="F898">
            <v>100</v>
          </cell>
        </row>
        <row r="899">
          <cell r="A899" t="str">
            <v>GALL1</v>
          </cell>
          <cell r="B899" t="str">
            <v xml:space="preserve">Gallada de material o escombro </v>
          </cell>
          <cell r="C899" t="str">
            <v>VIAJE</v>
          </cell>
          <cell r="D899">
            <v>417.67200000000003</v>
          </cell>
          <cell r="E899"/>
          <cell r="F899">
            <v>480.32279999999997</v>
          </cell>
        </row>
        <row r="900">
          <cell r="A900" t="str">
            <v>GAR01</v>
          </cell>
          <cell r="B900" t="str">
            <v>Gargola hecha en obra</v>
          </cell>
          <cell r="C900" t="str">
            <v>PZA</v>
          </cell>
          <cell r="D900">
            <v>375.90480000000002</v>
          </cell>
          <cell r="E900"/>
          <cell r="F900">
            <v>432.29052000000001</v>
          </cell>
        </row>
        <row r="901">
          <cell r="A901" t="str">
            <v>GAR02</v>
          </cell>
          <cell r="B901" t="str">
            <v>Gargola instalar prefabricada</v>
          </cell>
          <cell r="C901" t="str">
            <v>PZA</v>
          </cell>
          <cell r="D901">
            <v>125.30160000000001</v>
          </cell>
          <cell r="E901"/>
          <cell r="F901">
            <v>144.09683999999999</v>
          </cell>
        </row>
        <row r="902">
          <cell r="A902" t="str">
            <v>GOT01</v>
          </cell>
          <cell r="B902" t="str">
            <v>Gotero abultado</v>
          </cell>
          <cell r="C902" t="str">
            <v>ML</v>
          </cell>
          <cell r="D902">
            <v>93.976200000000006</v>
          </cell>
          <cell r="E902">
            <v>1</v>
          </cell>
          <cell r="F902">
            <v>108.07263</v>
          </cell>
        </row>
        <row r="903">
          <cell r="A903" t="str">
            <v>GOT02</v>
          </cell>
          <cell r="B903" t="str">
            <v>Gotero embutido</v>
          </cell>
          <cell r="C903" t="str">
            <v>ML</v>
          </cell>
          <cell r="D903">
            <v>75.180959999999999</v>
          </cell>
          <cell r="E903"/>
          <cell r="F903">
            <v>86.458103999999992</v>
          </cell>
        </row>
        <row r="904">
          <cell r="A904" t="str">
            <v>GOT03</v>
          </cell>
          <cell r="B904" t="str">
            <v>Gotero teja de barro</v>
          </cell>
          <cell r="C904" t="str">
            <v>ML</v>
          </cell>
          <cell r="D904">
            <v>50.120640000000002</v>
          </cell>
          <cell r="E904"/>
          <cell r="F904">
            <v>57.638735999999994</v>
          </cell>
        </row>
        <row r="905">
          <cell r="A905" t="str">
            <v>GRA01</v>
          </cell>
          <cell r="B905" t="str">
            <v>Gradinado de piso de cantera</v>
          </cell>
          <cell r="C905" t="str">
            <v>M2</v>
          </cell>
          <cell r="D905">
            <v>150.36192</v>
          </cell>
          <cell r="E905"/>
          <cell r="F905">
            <v>172.91620799999998</v>
          </cell>
        </row>
        <row r="906">
          <cell r="A906" t="str">
            <v>GRAP1</v>
          </cell>
          <cell r="B906" t="str">
            <v>Grapas en columnas metalicas o vigueria</v>
          </cell>
          <cell r="C906" t="str">
            <v>PZA</v>
          </cell>
          <cell r="D906">
            <v>10.024128000000001</v>
          </cell>
          <cell r="E906"/>
          <cell r="F906">
            <v>11.5277472</v>
          </cell>
        </row>
        <row r="907">
          <cell r="A907" t="str">
            <v>GROUT</v>
          </cell>
          <cell r="B907" t="str">
            <v>Cimbrar y colar placa y dado con festergrout</v>
          </cell>
          <cell r="C907" t="str">
            <v>PZA</v>
          </cell>
          <cell r="D907">
            <v>150.36192</v>
          </cell>
          <cell r="E907"/>
          <cell r="F907">
            <v>172.91620799999998</v>
          </cell>
        </row>
        <row r="908">
          <cell r="A908" t="str">
            <v>HAB01</v>
          </cell>
          <cell r="B908" t="str">
            <v>Habilitar cimbra para castillo o dala</v>
          </cell>
          <cell r="C908" t="str">
            <v>ML</v>
          </cell>
          <cell r="D908">
            <v>30.072384000000003</v>
          </cell>
          <cell r="E908"/>
          <cell r="F908">
            <v>34.583241600000001</v>
          </cell>
        </row>
        <row r="909">
          <cell r="A909" t="str">
            <v>HAB02</v>
          </cell>
          <cell r="B909" t="str">
            <v xml:space="preserve">Habilitar cimbra para columna o dado </v>
          </cell>
          <cell r="C909" t="str">
            <v>ML</v>
          </cell>
          <cell r="D909">
            <v>50.120640000000002</v>
          </cell>
          <cell r="E909"/>
          <cell r="F909">
            <v>57.638735999999994</v>
          </cell>
        </row>
        <row r="910">
          <cell r="A910" t="str">
            <v>HAB03</v>
          </cell>
          <cell r="B910" t="str">
            <v>Habilitar cimbra para losa</v>
          </cell>
          <cell r="C910" t="str">
            <v>M2</v>
          </cell>
          <cell r="D910">
            <v>37.590479999999999</v>
          </cell>
          <cell r="E910"/>
          <cell r="F910">
            <v>43.229051999999996</v>
          </cell>
        </row>
        <row r="911">
          <cell r="A911" t="str">
            <v>HEC01</v>
          </cell>
          <cell r="B911" t="str">
            <v>Hechura de mezcla y revoltura</v>
          </cell>
          <cell r="C911" t="str">
            <v>%</v>
          </cell>
          <cell r="D911">
            <v>0</v>
          </cell>
          <cell r="E911"/>
          <cell r="F911">
            <v>0</v>
          </cell>
        </row>
        <row r="912">
          <cell r="A912" t="str">
            <v>HEDO</v>
          </cell>
          <cell r="B912" t="str">
            <v>Horas extras dobles oficial</v>
          </cell>
          <cell r="C912" t="str">
            <v>HE</v>
          </cell>
          <cell r="D912">
            <v>152.095</v>
          </cell>
          <cell r="E912"/>
          <cell r="F912">
            <v>0</v>
          </cell>
        </row>
        <row r="913">
          <cell r="A913" t="str">
            <v>HEDP</v>
          </cell>
          <cell r="B913" t="str">
            <v>Horas extras dobles peon</v>
          </cell>
          <cell r="C913" t="str">
            <v>HE</v>
          </cell>
          <cell r="D913">
            <v>84.495000000000005</v>
          </cell>
          <cell r="E913"/>
          <cell r="F913">
            <v>62.2</v>
          </cell>
        </row>
        <row r="914">
          <cell r="A914" t="str">
            <v>HEDPA</v>
          </cell>
          <cell r="B914" t="str">
            <v>Horas extras dobles oficial y peon</v>
          </cell>
          <cell r="C914" t="str">
            <v>HE</v>
          </cell>
          <cell r="D914">
            <v>187.95240000000001</v>
          </cell>
          <cell r="E914"/>
          <cell r="F914">
            <v>0</v>
          </cell>
        </row>
        <row r="915">
          <cell r="A915" t="str">
            <v>HERRE</v>
          </cell>
          <cell r="B915" t="str">
            <v>Recibir herreria ventanas o puertas</v>
          </cell>
          <cell r="C915" t="str">
            <v>M2</v>
          </cell>
          <cell r="D915">
            <v>187.95240000000001</v>
          </cell>
          <cell r="E915"/>
          <cell r="F915">
            <v>216.14526000000001</v>
          </cell>
        </row>
        <row r="916">
          <cell r="A916" t="str">
            <v>HETO</v>
          </cell>
          <cell r="B916" t="str">
            <v>Horas extras triples oficial</v>
          </cell>
          <cell r="C916" t="str">
            <v>HE</v>
          </cell>
          <cell r="D916">
            <v>228.14249999999998</v>
          </cell>
          <cell r="E916"/>
          <cell r="F916">
            <v>0</v>
          </cell>
        </row>
        <row r="917">
          <cell r="A917" t="str">
            <v>HETP</v>
          </cell>
          <cell r="B917" t="str">
            <v>Horas extras triples peon</v>
          </cell>
          <cell r="C917" t="str">
            <v>HE</v>
          </cell>
          <cell r="D917">
            <v>126.74250000000001</v>
          </cell>
          <cell r="E917"/>
          <cell r="F917">
            <v>93.300000000000011</v>
          </cell>
        </row>
        <row r="918">
          <cell r="A918" t="str">
            <v>HETPA</v>
          </cell>
          <cell r="B918" t="str">
            <v>Horas extras triples oficial y peon</v>
          </cell>
          <cell r="C918" t="str">
            <v>HE</v>
          </cell>
          <cell r="D918">
            <v>281.92860000000002</v>
          </cell>
          <cell r="E918"/>
          <cell r="F918">
            <v>0</v>
          </cell>
        </row>
        <row r="919">
          <cell r="A919" t="str">
            <v>HIL20</v>
          </cell>
          <cell r="B919" t="str">
            <v>Hilada de ladrillo de 20</v>
          </cell>
          <cell r="C919" t="str">
            <v>ML</v>
          </cell>
          <cell r="D919">
            <v>37.590479999999999</v>
          </cell>
          <cell r="E919">
            <v>1</v>
          </cell>
          <cell r="F919">
            <v>43.229051999999996</v>
          </cell>
        </row>
        <row r="920">
          <cell r="A920" t="str">
            <v>HILCA</v>
          </cell>
          <cell r="B920" t="str">
            <v>Hilada de ladrillo de capuchino</v>
          </cell>
          <cell r="C920" t="str">
            <v>ML</v>
          </cell>
          <cell r="D920">
            <v>21.480274285714287</v>
          </cell>
          <cell r="E920">
            <v>1</v>
          </cell>
          <cell r="F920">
            <v>24.702315428571428</v>
          </cell>
        </row>
        <row r="921">
          <cell r="A921" t="str">
            <v>HILSO</v>
          </cell>
          <cell r="B921" t="str">
            <v>Hilada de ladrillo de soga</v>
          </cell>
          <cell r="C921" t="str">
            <v>ML</v>
          </cell>
          <cell r="D921">
            <v>16.706880000000002</v>
          </cell>
          <cell r="E921">
            <v>1</v>
          </cell>
          <cell r="F921">
            <v>19.212911999999999</v>
          </cell>
        </row>
        <row r="922">
          <cell r="A922" t="str">
            <v>HILTE</v>
          </cell>
          <cell r="B922" t="str">
            <v>Hilada de ladrillo de tezon</v>
          </cell>
          <cell r="C922" t="str">
            <v>ML</v>
          </cell>
          <cell r="D922">
            <v>21.480274285714287</v>
          </cell>
          <cell r="E922">
            <v>1</v>
          </cell>
          <cell r="F922">
            <v>24.702315428571428</v>
          </cell>
        </row>
        <row r="923">
          <cell r="A923" t="str">
            <v>HILTEJ</v>
          </cell>
          <cell r="B923" t="str">
            <v>Hilada de teja al inicio losa con mortero</v>
          </cell>
          <cell r="C923" t="str">
            <v>ML</v>
          </cell>
          <cell r="D923">
            <v>25.060320000000001</v>
          </cell>
          <cell r="E923">
            <v>1</v>
          </cell>
          <cell r="F923">
            <v>28.819367999999997</v>
          </cell>
        </row>
        <row r="924">
          <cell r="A924" t="str">
            <v>HILLA</v>
          </cell>
          <cell r="B924" t="str">
            <v>Hilada de ladrillo de azotea</v>
          </cell>
          <cell r="C924" t="str">
            <v>ML</v>
          </cell>
          <cell r="D924">
            <v>16.706880000000002</v>
          </cell>
          <cell r="E924">
            <v>1</v>
          </cell>
          <cell r="F924">
            <v>19.212911999999999</v>
          </cell>
        </row>
        <row r="925">
          <cell r="A925" t="str">
            <v>HOR01</v>
          </cell>
          <cell r="B925" t="str">
            <v>Hormigon en azotea esp. 15-30 cms. prom.</v>
          </cell>
          <cell r="C925" t="str">
            <v>M2</v>
          </cell>
          <cell r="D925">
            <v>75.180959999999999</v>
          </cell>
          <cell r="E925">
            <v>1</v>
          </cell>
          <cell r="F925">
            <v>86.458103999999992</v>
          </cell>
        </row>
        <row r="926">
          <cell r="A926" t="str">
            <v>HOR02</v>
          </cell>
          <cell r="B926" t="str">
            <v>Hormigon premezclado hasta 20 cms espesor</v>
          </cell>
          <cell r="C926" t="str">
            <v>M2</v>
          </cell>
          <cell r="D926">
            <v>30.072384000000003</v>
          </cell>
          <cell r="E926"/>
          <cell r="F926">
            <v>34.583241600000001</v>
          </cell>
        </row>
        <row r="927">
          <cell r="A927" t="str">
            <v>HUEMP</v>
          </cell>
          <cell r="B927" t="str">
            <v>Hueco para micropilote</v>
          </cell>
          <cell r="C927" t="str">
            <v>ML</v>
          </cell>
          <cell r="D927">
            <v>82.798414096916304</v>
          </cell>
          <cell r="E927"/>
          <cell r="F927">
            <v>95.218176211453738</v>
          </cell>
        </row>
        <row r="928">
          <cell r="A928" t="str">
            <v>HUPOL</v>
          </cell>
          <cell r="B928" t="str">
            <v>Hueco para anclaje de polines de crucetas</v>
          </cell>
          <cell r="C928" t="str">
            <v>PZA</v>
          </cell>
          <cell r="D928">
            <v>24.251922580645164</v>
          </cell>
          <cell r="E928"/>
          <cell r="F928">
            <v>27.889710967741937</v>
          </cell>
        </row>
        <row r="929">
          <cell r="A929" t="str">
            <v>IMP01</v>
          </cell>
          <cell r="B929" t="str">
            <v>Impermeabilizar azotea, 2 capas membrana</v>
          </cell>
          <cell r="C929" t="str">
            <v>M2</v>
          </cell>
          <cell r="D929">
            <v>39.568926315789476</v>
          </cell>
          <cell r="E929"/>
          <cell r="F929">
            <v>45.50426526315789</v>
          </cell>
        </row>
        <row r="930">
          <cell r="A930" t="str">
            <v>IMP02</v>
          </cell>
          <cell r="B930" t="str">
            <v>Impermeabilizar dala</v>
          </cell>
          <cell r="C930" t="str">
            <v>ML</v>
          </cell>
          <cell r="D930">
            <v>15.036192000000002</v>
          </cell>
          <cell r="E930"/>
          <cell r="F930">
            <v>17.2916208</v>
          </cell>
        </row>
        <row r="931">
          <cell r="A931" t="str">
            <v>IMP03</v>
          </cell>
          <cell r="B931" t="str">
            <v>Impermeabilizar muro de enrase o divisorio</v>
          </cell>
          <cell r="C931" t="str">
            <v>M2</v>
          </cell>
          <cell r="D931">
            <v>18.79524</v>
          </cell>
          <cell r="E931"/>
          <cell r="F931">
            <v>21.614525999999998</v>
          </cell>
        </row>
        <row r="932">
          <cell r="A932" t="str">
            <v>IMP04</v>
          </cell>
          <cell r="B932" t="str">
            <v>Impermeabilizar piso, 2 capas membrana</v>
          </cell>
          <cell r="C932" t="str">
            <v>M2</v>
          </cell>
          <cell r="D932">
            <v>37.590479999999999</v>
          </cell>
          <cell r="E932"/>
          <cell r="F932">
            <v>43.229051999999996</v>
          </cell>
        </row>
        <row r="933">
          <cell r="A933" t="str">
            <v>INSADO</v>
          </cell>
          <cell r="B933" t="str">
            <v>Instalacion de adocreto junteado con color</v>
          </cell>
          <cell r="C933" t="str">
            <v>M2</v>
          </cell>
          <cell r="D933">
            <v>88.448188235294126</v>
          </cell>
          <cell r="E933"/>
          <cell r="F933">
            <v>101.71541647058824</v>
          </cell>
        </row>
        <row r="934">
          <cell r="A934" t="str">
            <v>INS01</v>
          </cell>
          <cell r="B934" t="str">
            <v>Instalacion de azulejo</v>
          </cell>
          <cell r="C934" t="str">
            <v>M2</v>
          </cell>
          <cell r="D934">
            <v>115.30822085889572</v>
          </cell>
          <cell r="E934"/>
          <cell r="F934">
            <v>132.60445398773007</v>
          </cell>
        </row>
        <row r="935">
          <cell r="A935" t="str">
            <v>INS02</v>
          </cell>
          <cell r="B935" t="str">
            <v>Instalacion de keralita</v>
          </cell>
          <cell r="C935" t="str">
            <v>M2</v>
          </cell>
          <cell r="D935">
            <v>93.976200000000006</v>
          </cell>
          <cell r="E935"/>
          <cell r="F935">
            <v>108.07263</v>
          </cell>
        </row>
        <row r="936">
          <cell r="A936" t="str">
            <v>INS03</v>
          </cell>
          <cell r="B936" t="str">
            <v>Instalacion de lavadero</v>
          </cell>
          <cell r="C936" t="str">
            <v>PZA</v>
          </cell>
          <cell r="D936">
            <v>442.24094117647064</v>
          </cell>
          <cell r="E936"/>
          <cell r="F936">
            <v>508.5770823529412</v>
          </cell>
        </row>
        <row r="937">
          <cell r="A937" t="str">
            <v>INS04</v>
          </cell>
          <cell r="B937" t="str">
            <v>Instalacion de teja</v>
          </cell>
          <cell r="C937" t="str">
            <v>M2</v>
          </cell>
          <cell r="D937">
            <v>68.346327272727279</v>
          </cell>
          <cell r="E937"/>
          <cell r="F937">
            <v>78.598276363636359</v>
          </cell>
        </row>
        <row r="938">
          <cell r="A938" t="str">
            <v>INS04A</v>
          </cell>
          <cell r="B938" t="str">
            <v>Instalacion de teja con cama inferior pegada con crest</v>
          </cell>
          <cell r="C938" t="str">
            <v>M2</v>
          </cell>
          <cell r="D938">
            <v>84.950237288135597</v>
          </cell>
          <cell r="E938"/>
          <cell r="F938">
            <v>97.692772881355936</v>
          </cell>
        </row>
        <row r="939">
          <cell r="A939" t="str">
            <v>INS05</v>
          </cell>
          <cell r="B939" t="str">
            <v>Instalacion de tiratrim</v>
          </cell>
          <cell r="C939" t="str">
            <v>ML</v>
          </cell>
          <cell r="D939">
            <v>21</v>
          </cell>
          <cell r="E939"/>
          <cell r="F939">
            <v>24.15</v>
          </cell>
        </row>
        <row r="940">
          <cell r="A940" t="str">
            <v>INS06</v>
          </cell>
          <cell r="B940" t="str">
            <v>Instalacion de tubo drenaje de 4,6 y 8 "</v>
          </cell>
          <cell r="C940" t="str">
            <v>ML</v>
          </cell>
          <cell r="D940">
            <v>37.590479999999999</v>
          </cell>
          <cell r="E940"/>
          <cell r="F940">
            <v>43.229051999999996</v>
          </cell>
        </row>
        <row r="941">
          <cell r="A941" t="str">
            <v>INS07</v>
          </cell>
          <cell r="B941" t="str">
            <v>Instalacion de vitropiso</v>
          </cell>
          <cell r="C941" t="str">
            <v>M2</v>
          </cell>
          <cell r="D941">
            <v>93.976200000000006</v>
          </cell>
          <cell r="E941"/>
          <cell r="F941">
            <v>108.07263</v>
          </cell>
        </row>
        <row r="942">
          <cell r="A942" t="str">
            <v>INS07C</v>
          </cell>
          <cell r="B942" t="str">
            <v>Instalaciones de vitropiso en casa habitacion</v>
          </cell>
          <cell r="C942" t="str">
            <v>M2</v>
          </cell>
          <cell r="D942">
            <v>45</v>
          </cell>
          <cell r="E942"/>
          <cell r="F942">
            <v>51.749999999999993</v>
          </cell>
        </row>
        <row r="943">
          <cell r="A943" t="str">
            <v>INS0750</v>
          </cell>
          <cell r="B943" t="str">
            <v>Instalacion de piso de 50 x 50</v>
          </cell>
          <cell r="C943" t="str">
            <v>M2</v>
          </cell>
          <cell r="D943">
            <v>120.28953600000001</v>
          </cell>
          <cell r="E943"/>
          <cell r="F943">
            <v>138.3329664</v>
          </cell>
        </row>
        <row r="944">
          <cell r="A944" t="str">
            <v>INS08</v>
          </cell>
          <cell r="B944" t="str">
            <v>Instalar adoquin en piso, incluye cama y acarreos</v>
          </cell>
          <cell r="C944" t="str">
            <v>M2</v>
          </cell>
          <cell r="D944">
            <v>107.40137142857144</v>
          </cell>
          <cell r="E944"/>
          <cell r="F944">
            <v>123.51157714285715</v>
          </cell>
        </row>
        <row r="945">
          <cell r="A945" t="str">
            <v>INS09</v>
          </cell>
          <cell r="B945" t="str">
            <v>Instalar azulejo de alberca</v>
          </cell>
          <cell r="C945" t="str">
            <v>M2</v>
          </cell>
          <cell r="D945">
            <v>75.180959999999999</v>
          </cell>
          <cell r="E945"/>
          <cell r="F945">
            <v>86.458103999999992</v>
          </cell>
        </row>
        <row r="946">
          <cell r="A946" t="str">
            <v>INS10</v>
          </cell>
          <cell r="B946" t="str">
            <v>Instalar cantera blanco limon junteada</v>
          </cell>
          <cell r="C946" t="str">
            <v>M2</v>
          </cell>
          <cell r="D946">
            <v>187.95240000000001</v>
          </cell>
          <cell r="E946"/>
          <cell r="F946">
            <v>216.14526000000001</v>
          </cell>
        </row>
        <row r="947">
          <cell r="A947" t="str">
            <v>INS11</v>
          </cell>
          <cell r="B947" t="str">
            <v>Instalar cantera sangre de pichón junteada</v>
          </cell>
          <cell r="C947" t="str">
            <v>M2</v>
          </cell>
          <cell r="D947">
            <v>187.95240000000001</v>
          </cell>
          <cell r="E947"/>
          <cell r="F947">
            <v>216.14526000000001</v>
          </cell>
        </row>
        <row r="948">
          <cell r="A948" t="str">
            <v>INS12</v>
          </cell>
          <cell r="B948" t="str">
            <v>Instalar marmol 30 x 30</v>
          </cell>
          <cell r="C948" t="str">
            <v>M2</v>
          </cell>
          <cell r="D948">
            <v>125.30160000000001</v>
          </cell>
          <cell r="E948"/>
          <cell r="F948">
            <v>144.09683999999999</v>
          </cell>
        </row>
        <row r="949">
          <cell r="A949" t="str">
            <v>INS13</v>
          </cell>
          <cell r="B949" t="str">
            <v>Instalar panel W en bovedas</v>
          </cell>
          <cell r="C949" t="str">
            <v>M2</v>
          </cell>
          <cell r="D949">
            <v>57.831507692307696</v>
          </cell>
          <cell r="E949"/>
          <cell r="F949">
            <v>66.506233846153847</v>
          </cell>
        </row>
        <row r="950">
          <cell r="A950" t="str">
            <v>INS14</v>
          </cell>
          <cell r="B950" t="str">
            <v>Instalar panel W en muro</v>
          </cell>
          <cell r="C950" t="str">
            <v>M2</v>
          </cell>
          <cell r="D950">
            <v>50.120640000000002</v>
          </cell>
          <cell r="E950"/>
          <cell r="F950">
            <v>57.638735999999994</v>
          </cell>
        </row>
        <row r="951">
          <cell r="A951" t="str">
            <v>INS15</v>
          </cell>
          <cell r="B951" t="str">
            <v>Instalar piedrita bola en cenefas</v>
          </cell>
          <cell r="C951" t="str">
            <v>ML</v>
          </cell>
          <cell r="D951">
            <v>187.95240000000001</v>
          </cell>
          <cell r="E951"/>
          <cell r="F951">
            <v>216.14526000000001</v>
          </cell>
        </row>
        <row r="952">
          <cell r="A952" t="str">
            <v>INS16</v>
          </cell>
          <cell r="B952" t="str">
            <v>Instalar piso de barro</v>
          </cell>
          <cell r="C952" t="str">
            <v>M2</v>
          </cell>
          <cell r="D952">
            <v>125.30160000000001</v>
          </cell>
          <cell r="E952"/>
          <cell r="F952">
            <v>144.09683999999999</v>
          </cell>
        </row>
        <row r="953">
          <cell r="A953" t="str">
            <v>INS17</v>
          </cell>
          <cell r="B953" t="str">
            <v>Instalar piso y azulejo en cartabon</v>
          </cell>
          <cell r="C953" t="str">
            <v>M2</v>
          </cell>
          <cell r="D953">
            <v>93.976200000000006</v>
          </cell>
          <cell r="E953"/>
          <cell r="F953">
            <v>108.07263</v>
          </cell>
        </row>
        <row r="954">
          <cell r="A954" t="str">
            <v>INS18</v>
          </cell>
          <cell r="B954" t="str">
            <v>Instalar piedrita de rajuela a canto en juntas de piso</v>
          </cell>
          <cell r="C954" t="str">
            <v>ML</v>
          </cell>
          <cell r="D954">
            <v>375.90480000000002</v>
          </cell>
          <cell r="E954"/>
          <cell r="F954">
            <v>432.29052000000001</v>
          </cell>
        </row>
        <row r="955">
          <cell r="A955" t="str">
            <v>INS19</v>
          </cell>
          <cell r="B955" t="str">
            <v xml:space="preserve">Instalacion de loseta de vinil en pisos </v>
          </cell>
          <cell r="C955" t="str">
            <v>M2</v>
          </cell>
          <cell r="D955">
            <v>53.700685714285719</v>
          </cell>
          <cell r="E955"/>
          <cell r="F955">
            <v>61.755788571428575</v>
          </cell>
        </row>
        <row r="956">
          <cell r="A956" t="str">
            <v>INS20</v>
          </cell>
          <cell r="B956" t="str">
            <v>Instalacion de piso san andres medidas variables</v>
          </cell>
          <cell r="C956" t="str">
            <v>M2</v>
          </cell>
          <cell r="D956">
            <v>200</v>
          </cell>
          <cell r="E956"/>
          <cell r="F956"/>
        </row>
        <row r="957">
          <cell r="A957" t="str">
            <v>INS21</v>
          </cell>
          <cell r="B957" t="str">
            <v>Instalacion de piedra laja de cubrecanto 60 cms ancho para bancas</v>
          </cell>
          <cell r="C957" t="str">
            <v>ML</v>
          </cell>
          <cell r="D957">
            <v>600</v>
          </cell>
          <cell r="E957"/>
          <cell r="F957"/>
        </row>
        <row r="958">
          <cell r="A958" t="str">
            <v>INS22</v>
          </cell>
          <cell r="B958" t="str">
            <v>Corte, base de cemento y pegado de piso san andres 20 x 20</v>
          </cell>
          <cell r="C958" t="str">
            <v>M2</v>
          </cell>
          <cell r="D958">
            <v>320</v>
          </cell>
          <cell r="E958"/>
          <cell r="F958"/>
        </row>
        <row r="959">
          <cell r="A959" t="str">
            <v>JAB01</v>
          </cell>
          <cell r="B959" t="str">
            <v>Jaboneras con azulejo</v>
          </cell>
          <cell r="C959" t="str">
            <v>PZA</v>
          </cell>
          <cell r="D959">
            <v>300.72384</v>
          </cell>
          <cell r="E959"/>
          <cell r="F959">
            <v>345.83241599999997</v>
          </cell>
        </row>
        <row r="960">
          <cell r="A960" t="str">
            <v>JUNT1</v>
          </cell>
          <cell r="B960" t="str">
            <v>Junta de dilatacion en azotea</v>
          </cell>
          <cell r="C960" t="str">
            <v>ML</v>
          </cell>
          <cell r="D960">
            <v>31.588638655462187</v>
          </cell>
          <cell r="E960"/>
          <cell r="F960">
            <v>36.326934453781512</v>
          </cell>
        </row>
        <row r="961">
          <cell r="A961" t="str">
            <v>JUNT2</v>
          </cell>
          <cell r="B961" t="str">
            <v xml:space="preserve">Junteo de ladrillo cuarteron con color </v>
          </cell>
          <cell r="C961" t="str">
            <v>M2</v>
          </cell>
          <cell r="D961">
            <v>65.948210526315791</v>
          </cell>
          <cell r="E961"/>
          <cell r="F961">
            <v>75.840442105263151</v>
          </cell>
        </row>
        <row r="962">
          <cell r="A962" t="str">
            <v>JUNT3</v>
          </cell>
          <cell r="B962" t="str">
            <v>Junteo de ladrillo peron colocando alambre recocido</v>
          </cell>
          <cell r="C962" t="str">
            <v>M2</v>
          </cell>
          <cell r="D962">
            <v>39.568926315789476</v>
          </cell>
          <cell r="E962"/>
          <cell r="F962">
            <v>45.50426526315789</v>
          </cell>
        </row>
        <row r="963">
          <cell r="A963" t="str">
            <v>LAVP</v>
          </cell>
          <cell r="B963" t="str">
            <v>Lavado de piso con acido muriatico p/porosidad</v>
          </cell>
          <cell r="C963" t="str">
            <v>M2</v>
          </cell>
          <cell r="D963">
            <v>25.060320000000001</v>
          </cell>
          <cell r="E963"/>
          <cell r="F963">
            <v>28.819367999999997</v>
          </cell>
        </row>
        <row r="964">
          <cell r="A964" t="str">
            <v>LEC01</v>
          </cell>
          <cell r="B964" t="str">
            <v>Lechadeado de boveda</v>
          </cell>
          <cell r="C964" t="str">
            <v>M2</v>
          </cell>
          <cell r="D964">
            <v>7.1600914285714294</v>
          </cell>
          <cell r="E964">
            <v>1</v>
          </cell>
          <cell r="F964">
            <v>8.2341051428571426</v>
          </cell>
        </row>
        <row r="965">
          <cell r="A965" t="str">
            <v>LEC02</v>
          </cell>
          <cell r="B965" t="str">
            <v>Lechadeo de ladrillo azotea</v>
          </cell>
          <cell r="C965" t="str">
            <v>M2</v>
          </cell>
          <cell r="D965">
            <v>7.1600914285714294</v>
          </cell>
          <cell r="E965">
            <v>1</v>
          </cell>
          <cell r="F965">
            <v>8.2341051428571426</v>
          </cell>
        </row>
        <row r="966">
          <cell r="A966" t="str">
            <v>LEC03</v>
          </cell>
          <cell r="B966" t="str">
            <v>Lechadeo de firme</v>
          </cell>
          <cell r="C966" t="str">
            <v>M2</v>
          </cell>
          <cell r="D966">
            <v>7.1600914285714294</v>
          </cell>
          <cell r="E966">
            <v>1</v>
          </cell>
          <cell r="F966">
            <v>8.2341051428571426</v>
          </cell>
        </row>
        <row r="967">
          <cell r="A967" t="str">
            <v>LEC04</v>
          </cell>
          <cell r="B967" t="str">
            <v>Lechadeo sobre ladrillo azotea ya lechadeado</v>
          </cell>
          <cell r="C967" t="str">
            <v>M2</v>
          </cell>
          <cell r="D967">
            <v>8.3534400000000009</v>
          </cell>
          <cell r="E967">
            <v>1</v>
          </cell>
          <cell r="F967">
            <v>9.6064559999999997</v>
          </cell>
        </row>
        <row r="968">
          <cell r="A968" t="str">
            <v>LEC05</v>
          </cell>
          <cell r="B968" t="str">
            <v>Lechada de cemento en terraplen afinado</v>
          </cell>
          <cell r="C968" t="str">
            <v>M2</v>
          </cell>
          <cell r="D968">
            <v>6.0144768000000006</v>
          </cell>
          <cell r="E968">
            <v>1</v>
          </cell>
          <cell r="F968">
            <v>6.9166483200000002</v>
          </cell>
        </row>
        <row r="969">
          <cell r="A969" t="str">
            <v>LEC06</v>
          </cell>
          <cell r="B969" t="str">
            <v>Lechadeo de terminado ladrillo de azotea</v>
          </cell>
          <cell r="C969" t="str">
            <v>M2</v>
          </cell>
          <cell r="D969">
            <v>25.060320000000001</v>
          </cell>
          <cell r="E969">
            <v>1</v>
          </cell>
          <cell r="F969">
            <v>28.819367999999997</v>
          </cell>
        </row>
        <row r="970">
          <cell r="A970" t="str">
            <v>LIJ01</v>
          </cell>
          <cell r="B970" t="str">
            <v>Lijar muro, lavar con thinner y mano extra</v>
          </cell>
          <cell r="C970" t="str">
            <v>M2</v>
          </cell>
          <cell r="D970">
            <v>3</v>
          </cell>
          <cell r="E970"/>
          <cell r="F970">
            <v>3.4499999999999997</v>
          </cell>
        </row>
        <row r="971">
          <cell r="A971" t="str">
            <v>LOS10</v>
          </cell>
          <cell r="B971" t="str">
            <v>Colado de losa esp. 10 cms rev. hecho/obra</v>
          </cell>
          <cell r="C971" t="str">
            <v>M2</v>
          </cell>
          <cell r="D971">
            <v>88.448188235294126</v>
          </cell>
          <cell r="E971">
            <v>1</v>
          </cell>
          <cell r="F971">
            <v>101.71541647058824</v>
          </cell>
        </row>
        <row r="972">
          <cell r="A972" t="str">
            <v>LOS11</v>
          </cell>
          <cell r="B972" t="str">
            <v>Colado de losa esp. 10 cms rev. premezclada</v>
          </cell>
          <cell r="C972" t="str">
            <v>M2</v>
          </cell>
          <cell r="D972">
            <v>37.590479999999999</v>
          </cell>
          <cell r="E972"/>
          <cell r="F972">
            <v>43.229051999999996</v>
          </cell>
        </row>
        <row r="973">
          <cell r="A973" t="str">
            <v>LOS12</v>
          </cell>
          <cell r="B973" t="str">
            <v>Colado de losa esp. 12 cms rev. hecho/obra</v>
          </cell>
          <cell r="C973" t="str">
            <v>M2</v>
          </cell>
          <cell r="D973">
            <v>105.88867605633804</v>
          </cell>
          <cell r="E973">
            <v>1</v>
          </cell>
          <cell r="F973">
            <v>121.77197746478873</v>
          </cell>
        </row>
        <row r="974">
          <cell r="A974" t="str">
            <v>LOS13</v>
          </cell>
          <cell r="B974" t="str">
            <v>Colado de losa esp. 12 cms rev. premezclada</v>
          </cell>
          <cell r="C974" t="str">
            <v>M2</v>
          </cell>
          <cell r="D974">
            <v>41.082491803278693</v>
          </cell>
          <cell r="E974"/>
          <cell r="F974">
            <v>47.24486557377049</v>
          </cell>
        </row>
        <row r="975">
          <cell r="A975" t="str">
            <v>LOS14</v>
          </cell>
          <cell r="B975" t="str">
            <v>Colado de losa esp. 15 cms rev. hecho/obra</v>
          </cell>
          <cell r="C975" t="str">
            <v>M2</v>
          </cell>
          <cell r="D975">
            <v>131.89642105263158</v>
          </cell>
          <cell r="E975">
            <v>1</v>
          </cell>
          <cell r="F975">
            <v>151.6808842105263</v>
          </cell>
        </row>
        <row r="976">
          <cell r="A976" t="str">
            <v>LOS15</v>
          </cell>
          <cell r="B976" t="str">
            <v>Colado de losa esp. 15 cms rev. premezclada</v>
          </cell>
          <cell r="C976" t="str">
            <v>M2</v>
          </cell>
          <cell r="D976">
            <v>46.988100000000003</v>
          </cell>
          <cell r="E976"/>
          <cell r="F976">
            <v>54.036315000000002</v>
          </cell>
        </row>
        <row r="977">
          <cell r="A977" t="str">
            <v>LOS16</v>
          </cell>
          <cell r="B977" t="str">
            <v>Colado de losa esp. 20 cms rev. hecho/obra</v>
          </cell>
          <cell r="C977" t="str">
            <v>M2</v>
          </cell>
          <cell r="D977">
            <v>176.89637647058825</v>
          </cell>
          <cell r="E977">
            <v>1</v>
          </cell>
          <cell r="F977">
            <v>203.43083294117648</v>
          </cell>
        </row>
        <row r="978">
          <cell r="A978" t="str">
            <v>LOS17</v>
          </cell>
          <cell r="B978" t="str">
            <v>Colado de losa esp. 20 cms rev. premezclada</v>
          </cell>
          <cell r="C978" t="str">
            <v>M2</v>
          </cell>
          <cell r="D978">
            <v>55.28011764705883</v>
          </cell>
          <cell r="E978"/>
          <cell r="F978">
            <v>63.572135294117651</v>
          </cell>
        </row>
        <row r="979">
          <cell r="A979" t="str">
            <v>LOTE</v>
          </cell>
          <cell r="B979" t="str">
            <v>Lote</v>
          </cell>
          <cell r="C979" t="str">
            <v>LOTE</v>
          </cell>
          <cell r="D979">
            <v>100</v>
          </cell>
          <cell r="E979"/>
          <cell r="F979">
            <v>100</v>
          </cell>
        </row>
        <row r="980">
          <cell r="A980" t="str">
            <v>LOTE150</v>
          </cell>
          <cell r="B980" t="str">
            <v>Lote</v>
          </cell>
          <cell r="C980" t="str">
            <v>LOTE</v>
          </cell>
          <cell r="D980">
            <v>150</v>
          </cell>
          <cell r="E980"/>
          <cell r="F980">
            <v>150</v>
          </cell>
        </row>
        <row r="981">
          <cell r="A981" t="str">
            <v>LOTE10</v>
          </cell>
          <cell r="B981" t="str">
            <v>Lote</v>
          </cell>
          <cell r="C981" t="str">
            <v>LOTE</v>
          </cell>
          <cell r="D981">
            <v>1000</v>
          </cell>
          <cell r="E981"/>
          <cell r="F981">
            <v>1000</v>
          </cell>
        </row>
        <row r="982">
          <cell r="A982" t="str">
            <v>LOTE11</v>
          </cell>
          <cell r="B982" t="str">
            <v>Lote</v>
          </cell>
          <cell r="C982" t="str">
            <v>LOTE</v>
          </cell>
          <cell r="D982">
            <v>1100</v>
          </cell>
          <cell r="E982"/>
          <cell r="F982">
            <v>1100</v>
          </cell>
        </row>
        <row r="983">
          <cell r="A983" t="str">
            <v>LOTE12</v>
          </cell>
          <cell r="B983" t="str">
            <v>Lote</v>
          </cell>
          <cell r="C983" t="str">
            <v>LOTE</v>
          </cell>
          <cell r="D983">
            <v>1200</v>
          </cell>
          <cell r="E983"/>
          <cell r="F983">
            <v>1200</v>
          </cell>
        </row>
        <row r="984">
          <cell r="A984" t="str">
            <v>LOTE13</v>
          </cell>
          <cell r="B984" t="str">
            <v>Lote</v>
          </cell>
          <cell r="C984" t="str">
            <v>LOTE</v>
          </cell>
          <cell r="D984">
            <v>1300</v>
          </cell>
          <cell r="E984"/>
          <cell r="F984">
            <v>1300</v>
          </cell>
        </row>
        <row r="985">
          <cell r="A985" t="str">
            <v>LOTE14</v>
          </cell>
          <cell r="B985" t="str">
            <v>Lote</v>
          </cell>
          <cell r="C985" t="str">
            <v>LOTE</v>
          </cell>
          <cell r="D985">
            <v>1400</v>
          </cell>
          <cell r="E985"/>
          <cell r="F985">
            <v>1400</v>
          </cell>
        </row>
        <row r="986">
          <cell r="A986" t="str">
            <v>LOTE15</v>
          </cell>
          <cell r="B986" t="str">
            <v>Lote</v>
          </cell>
          <cell r="C986" t="str">
            <v>LOTE</v>
          </cell>
          <cell r="D986">
            <v>1500</v>
          </cell>
          <cell r="E986"/>
          <cell r="F986">
            <v>1500</v>
          </cell>
        </row>
        <row r="987">
          <cell r="A987" t="str">
            <v>LOTE16</v>
          </cell>
          <cell r="B987" t="str">
            <v>Lote</v>
          </cell>
          <cell r="C987" t="str">
            <v>LOTE</v>
          </cell>
          <cell r="D987">
            <v>1600</v>
          </cell>
          <cell r="E987"/>
          <cell r="F987">
            <v>1600</v>
          </cell>
        </row>
        <row r="988">
          <cell r="A988" t="str">
            <v>LOTE17</v>
          </cell>
          <cell r="B988" t="str">
            <v>Lote</v>
          </cell>
          <cell r="C988" t="str">
            <v>LOTE</v>
          </cell>
          <cell r="D988">
            <v>1700</v>
          </cell>
          <cell r="E988"/>
          <cell r="F988">
            <v>1700</v>
          </cell>
        </row>
        <row r="989">
          <cell r="A989" t="str">
            <v>LOTE18</v>
          </cell>
          <cell r="B989" t="str">
            <v>Lote</v>
          </cell>
          <cell r="C989" t="str">
            <v>LOTE</v>
          </cell>
          <cell r="D989">
            <v>1800</v>
          </cell>
          <cell r="E989"/>
          <cell r="F989">
            <v>1800</v>
          </cell>
        </row>
        <row r="990">
          <cell r="A990" t="str">
            <v>LOTE19</v>
          </cell>
          <cell r="B990" t="str">
            <v>Lote</v>
          </cell>
          <cell r="C990" t="str">
            <v>LOTE</v>
          </cell>
          <cell r="D990">
            <v>1900</v>
          </cell>
          <cell r="E990"/>
          <cell r="F990">
            <v>1900</v>
          </cell>
        </row>
        <row r="991">
          <cell r="A991" t="str">
            <v>LOTE2</v>
          </cell>
          <cell r="B991" t="str">
            <v>Lote</v>
          </cell>
          <cell r="C991" t="str">
            <v>LOTE</v>
          </cell>
          <cell r="D991">
            <v>200</v>
          </cell>
          <cell r="E991"/>
          <cell r="F991">
            <v>200</v>
          </cell>
        </row>
        <row r="992">
          <cell r="A992" t="str">
            <v>LOTE20</v>
          </cell>
          <cell r="B992" t="str">
            <v>Lote</v>
          </cell>
          <cell r="C992" t="str">
            <v>LOTE</v>
          </cell>
          <cell r="D992">
            <v>2000</v>
          </cell>
          <cell r="E992"/>
          <cell r="F992">
            <v>2000</v>
          </cell>
        </row>
        <row r="993">
          <cell r="A993" t="str">
            <v>LOTE21</v>
          </cell>
          <cell r="B993" t="str">
            <v>Lote</v>
          </cell>
          <cell r="C993" t="str">
            <v>LOTE</v>
          </cell>
          <cell r="D993">
            <v>2100</v>
          </cell>
          <cell r="E993"/>
          <cell r="F993">
            <v>2100</v>
          </cell>
        </row>
        <row r="994">
          <cell r="A994" t="str">
            <v>LOTE22</v>
          </cell>
          <cell r="B994" t="str">
            <v>Lote</v>
          </cell>
          <cell r="C994" t="str">
            <v>LOTE</v>
          </cell>
          <cell r="D994">
            <v>2200</v>
          </cell>
          <cell r="E994"/>
          <cell r="F994">
            <v>2200</v>
          </cell>
        </row>
        <row r="995">
          <cell r="A995" t="str">
            <v>LOTE23</v>
          </cell>
          <cell r="B995" t="str">
            <v>Lote</v>
          </cell>
          <cell r="C995" t="str">
            <v>LOTE</v>
          </cell>
          <cell r="D995">
            <v>2300</v>
          </cell>
          <cell r="E995"/>
          <cell r="F995">
            <v>2300</v>
          </cell>
        </row>
        <row r="996">
          <cell r="A996" t="str">
            <v>LOTE24</v>
          </cell>
          <cell r="B996" t="str">
            <v>Lote</v>
          </cell>
          <cell r="C996" t="str">
            <v>LOTE</v>
          </cell>
          <cell r="D996">
            <v>2400</v>
          </cell>
          <cell r="E996"/>
          <cell r="F996">
            <v>2400</v>
          </cell>
        </row>
        <row r="997">
          <cell r="A997" t="str">
            <v>LOTE25</v>
          </cell>
          <cell r="B997" t="str">
            <v>Lote</v>
          </cell>
          <cell r="C997" t="str">
            <v>LOTE</v>
          </cell>
          <cell r="D997">
            <v>2500</v>
          </cell>
          <cell r="E997"/>
          <cell r="F997">
            <v>2500</v>
          </cell>
        </row>
        <row r="998">
          <cell r="A998" t="str">
            <v>LOTE26</v>
          </cell>
          <cell r="B998" t="str">
            <v>Lote</v>
          </cell>
          <cell r="C998" t="str">
            <v>LOTE</v>
          </cell>
          <cell r="D998">
            <v>2600</v>
          </cell>
          <cell r="E998"/>
          <cell r="F998">
            <v>2600</v>
          </cell>
        </row>
        <row r="999">
          <cell r="A999" t="str">
            <v>LOTE27</v>
          </cell>
          <cell r="B999" t="str">
            <v>Lote</v>
          </cell>
          <cell r="C999" t="str">
            <v>LOTE</v>
          </cell>
          <cell r="D999">
            <v>2700</v>
          </cell>
          <cell r="E999"/>
          <cell r="F999">
            <v>2700</v>
          </cell>
        </row>
        <row r="1000">
          <cell r="A1000" t="str">
            <v>LOTE28</v>
          </cell>
          <cell r="B1000" t="str">
            <v>Lote</v>
          </cell>
          <cell r="C1000" t="str">
            <v>LOTE</v>
          </cell>
          <cell r="D1000">
            <v>2800</v>
          </cell>
          <cell r="E1000"/>
          <cell r="F1000">
            <v>2800</v>
          </cell>
        </row>
        <row r="1001">
          <cell r="A1001" t="str">
            <v>LOTE29</v>
          </cell>
          <cell r="B1001" t="str">
            <v>Lote</v>
          </cell>
          <cell r="C1001" t="str">
            <v>LOTE</v>
          </cell>
          <cell r="D1001">
            <v>2900</v>
          </cell>
          <cell r="E1001"/>
          <cell r="F1001">
            <v>2900</v>
          </cell>
        </row>
        <row r="1002">
          <cell r="A1002" t="str">
            <v>LOTE3</v>
          </cell>
          <cell r="B1002" t="str">
            <v>Lote</v>
          </cell>
          <cell r="C1002" t="str">
            <v>LOTE</v>
          </cell>
          <cell r="D1002">
            <v>300</v>
          </cell>
          <cell r="E1002"/>
          <cell r="F1002">
            <v>300</v>
          </cell>
        </row>
        <row r="1003">
          <cell r="A1003" t="str">
            <v>LOTE30</v>
          </cell>
          <cell r="B1003" t="str">
            <v>Lote</v>
          </cell>
          <cell r="C1003" t="str">
            <v>LOTE</v>
          </cell>
          <cell r="D1003">
            <v>3000</v>
          </cell>
          <cell r="E1003"/>
          <cell r="F1003">
            <v>3000</v>
          </cell>
        </row>
        <row r="1004">
          <cell r="A1004" t="str">
            <v>LOTE4</v>
          </cell>
          <cell r="B1004" t="str">
            <v>Lote</v>
          </cell>
          <cell r="C1004" t="str">
            <v>LOTE</v>
          </cell>
          <cell r="D1004">
            <v>400</v>
          </cell>
          <cell r="E1004"/>
          <cell r="F1004">
            <v>400</v>
          </cell>
        </row>
        <row r="1005">
          <cell r="A1005" t="str">
            <v>LOTE5</v>
          </cell>
          <cell r="B1005" t="str">
            <v>Lote</v>
          </cell>
          <cell r="C1005" t="str">
            <v>LOTE</v>
          </cell>
          <cell r="D1005">
            <v>500</v>
          </cell>
          <cell r="E1005"/>
          <cell r="F1005">
            <v>500</v>
          </cell>
        </row>
        <row r="1006">
          <cell r="A1006" t="str">
            <v>LOTE6</v>
          </cell>
          <cell r="B1006" t="str">
            <v>Lote</v>
          </cell>
          <cell r="C1006" t="str">
            <v>LOTE</v>
          </cell>
          <cell r="D1006">
            <v>600</v>
          </cell>
          <cell r="E1006"/>
          <cell r="F1006">
            <v>600</v>
          </cell>
        </row>
        <row r="1007">
          <cell r="A1007" t="str">
            <v>LOTE7</v>
          </cell>
          <cell r="B1007" t="str">
            <v>Lote</v>
          </cell>
          <cell r="C1007" t="str">
            <v>LOTE</v>
          </cell>
          <cell r="D1007">
            <v>700</v>
          </cell>
          <cell r="E1007"/>
          <cell r="F1007">
            <v>700</v>
          </cell>
        </row>
        <row r="1008">
          <cell r="A1008" t="str">
            <v>LOTE8</v>
          </cell>
          <cell r="B1008" t="str">
            <v>Lote</v>
          </cell>
          <cell r="C1008" t="str">
            <v>LOTE</v>
          </cell>
          <cell r="D1008">
            <v>800</v>
          </cell>
          <cell r="E1008"/>
          <cell r="F1008">
            <v>800</v>
          </cell>
        </row>
        <row r="1009">
          <cell r="A1009" t="str">
            <v>LOTE9</v>
          </cell>
          <cell r="B1009" t="str">
            <v>Lote</v>
          </cell>
          <cell r="C1009" t="str">
            <v>LOTE</v>
          </cell>
          <cell r="D1009">
            <v>900</v>
          </cell>
          <cell r="E1009"/>
          <cell r="F1009">
            <v>900</v>
          </cell>
        </row>
        <row r="1010">
          <cell r="A1010" t="str">
            <v>MSCUR1</v>
          </cell>
          <cell r="B1010" t="str">
            <v xml:space="preserve">Muro de soga curvo </v>
          </cell>
          <cell r="C1010" t="str">
            <v>M2</v>
          </cell>
          <cell r="D1010">
            <v>123.24747540983608</v>
          </cell>
          <cell r="E1010">
            <v>1</v>
          </cell>
          <cell r="F1010">
            <v>141.73459672131148</v>
          </cell>
        </row>
        <row r="1011">
          <cell r="A1011" t="str">
            <v>MSCUR2</v>
          </cell>
          <cell r="B1011" t="str">
            <v>Muro de soga curvo  2a h</v>
          </cell>
          <cell r="C1011" t="str">
            <v>M2</v>
          </cell>
          <cell r="D1011">
            <v>141.73459672131148</v>
          </cell>
          <cell r="E1011">
            <v>1</v>
          </cell>
          <cell r="F1011">
            <v>162.99478622950818</v>
          </cell>
        </row>
        <row r="1012">
          <cell r="A1012" t="str">
            <v>M201</v>
          </cell>
          <cell r="B1012" t="str">
            <v>Muro de 20 de ladrillo</v>
          </cell>
          <cell r="C1012" t="str">
            <v>M2</v>
          </cell>
          <cell r="D1012">
            <v>123.24747540983608</v>
          </cell>
          <cell r="E1012">
            <v>1</v>
          </cell>
          <cell r="F1012">
            <v>141.73459672131148</v>
          </cell>
        </row>
        <row r="1013">
          <cell r="A1013" t="str">
            <v>M202</v>
          </cell>
          <cell r="B1013" t="str">
            <v>Muro de 20 de ladrillo 2a h.</v>
          </cell>
          <cell r="C1013" t="str">
            <v>M2</v>
          </cell>
          <cell r="D1013">
            <v>141.73459672131148</v>
          </cell>
          <cell r="E1013">
            <v>1</v>
          </cell>
          <cell r="F1013">
            <v>162.99478622950818</v>
          </cell>
        </row>
        <row r="1014">
          <cell r="A1014" t="str">
            <v>M203</v>
          </cell>
          <cell r="B1014" t="str">
            <v>Muro de 20 en limpio 1 rostro</v>
          </cell>
          <cell r="C1014" t="str">
            <v>M2</v>
          </cell>
          <cell r="D1014">
            <v>162.99478622950818</v>
          </cell>
          <cell r="E1014">
            <v>1</v>
          </cell>
          <cell r="F1014">
            <v>187.44400416393438</v>
          </cell>
        </row>
        <row r="1015">
          <cell r="A1015" t="str">
            <v>M201R2</v>
          </cell>
          <cell r="B1015" t="str">
            <v>Muro de 20 1 rostro a 2a h</v>
          </cell>
          <cell r="C1015" t="str">
            <v>M2</v>
          </cell>
          <cell r="D1015">
            <v>182.01706105263156</v>
          </cell>
          <cell r="E1015">
            <v>1</v>
          </cell>
          <cell r="F1015">
            <v>209.31962021052627</v>
          </cell>
        </row>
        <row r="1016">
          <cell r="A1016" t="str">
            <v>M203A</v>
          </cell>
          <cell r="B1016" t="str">
            <v>Muro de 20 de ladrillo 3a h</v>
          </cell>
          <cell r="C1016" t="str">
            <v>M2</v>
          </cell>
          <cell r="D1016">
            <v>141.73459672131148</v>
          </cell>
          <cell r="E1016">
            <v>1</v>
          </cell>
          <cell r="F1016">
            <v>162.99478622950818</v>
          </cell>
        </row>
        <row r="1017">
          <cell r="A1017" t="str">
            <v>M204</v>
          </cell>
          <cell r="B1017" t="str">
            <v>Muro de 20 en limpio 2 rostros</v>
          </cell>
          <cell r="C1017" t="str">
            <v>M2</v>
          </cell>
          <cell r="D1017">
            <v>197.8446315789474</v>
          </cell>
          <cell r="E1017">
            <v>1</v>
          </cell>
          <cell r="F1017">
            <v>227.52132631578948</v>
          </cell>
        </row>
        <row r="1018">
          <cell r="A1018" t="str">
            <v>M25</v>
          </cell>
          <cell r="B1018" t="str">
            <v>Muro de 25 cms de espesor</v>
          </cell>
          <cell r="C1018" t="str">
            <v>M2</v>
          </cell>
          <cell r="D1018">
            <v>145.98244660194175</v>
          </cell>
          <cell r="E1018">
            <v>1</v>
          </cell>
          <cell r="F1018">
            <v>167.87981359223301</v>
          </cell>
        </row>
        <row r="1019">
          <cell r="A1019" t="str">
            <v>M252</v>
          </cell>
          <cell r="B1019" t="str">
            <v>Muro de 25 cms de espesor  a 2a h</v>
          </cell>
          <cell r="C1019" t="str">
            <v>M2</v>
          </cell>
          <cell r="D1019">
            <v>167.87981359223301</v>
          </cell>
          <cell r="E1019">
            <v>1</v>
          </cell>
          <cell r="F1019">
            <v>193.06178563106795</v>
          </cell>
        </row>
        <row r="1020">
          <cell r="A1020" t="str">
            <v>M253</v>
          </cell>
          <cell r="B1020" t="str">
            <v>Muro de 25 cms de espesor  a 3a h</v>
          </cell>
          <cell r="C1020" t="str">
            <v>M2</v>
          </cell>
          <cell r="D1020">
            <v>193.06178563106795</v>
          </cell>
          <cell r="E1020">
            <v>1</v>
          </cell>
          <cell r="F1020">
            <v>222.02105347572811</v>
          </cell>
        </row>
        <row r="1021">
          <cell r="A1021" t="str">
            <v>M254</v>
          </cell>
          <cell r="B1021" t="str">
            <v>Muro de 25 cms de espesor  a 4a h</v>
          </cell>
          <cell r="C1021" t="str">
            <v>M2</v>
          </cell>
          <cell r="D1021">
            <v>222.02105347572808</v>
          </cell>
          <cell r="E1021">
            <v>1</v>
          </cell>
          <cell r="F1021">
            <v>255.32421149708728</v>
          </cell>
        </row>
        <row r="1022">
          <cell r="A1022" t="str">
            <v>M255</v>
          </cell>
          <cell r="B1022" t="str">
            <v>Muro de 25 cms de espesor  a 5a h</v>
          </cell>
          <cell r="C1022" t="str">
            <v>M2</v>
          </cell>
          <cell r="D1022">
            <v>255.32421149708728</v>
          </cell>
          <cell r="E1022">
            <v>1</v>
          </cell>
          <cell r="F1022">
            <v>293.62284322165033</v>
          </cell>
        </row>
        <row r="1023">
          <cell r="A1023" t="str">
            <v>M301R</v>
          </cell>
          <cell r="B1023" t="str">
            <v>Muro de 30 cms espesor 1 rostro</v>
          </cell>
          <cell r="C1023" t="str">
            <v>M2</v>
          </cell>
          <cell r="D1023">
            <v>233.48124223602485</v>
          </cell>
          <cell r="E1023">
            <v>1</v>
          </cell>
          <cell r="F1023">
            <v>268.50342857142857</v>
          </cell>
        </row>
        <row r="1024">
          <cell r="A1024" t="str">
            <v>M301R2</v>
          </cell>
          <cell r="B1024" t="str">
            <v>Muro de 30 cms espesor 1 rostro 2a h</v>
          </cell>
          <cell r="C1024" t="str">
            <v>M2</v>
          </cell>
          <cell r="D1024">
            <v>268.50342857142857</v>
          </cell>
          <cell r="E1024">
            <v>1</v>
          </cell>
          <cell r="F1024">
            <v>308.77894285714285</v>
          </cell>
        </row>
        <row r="1025">
          <cell r="A1025" t="str">
            <v>M301R3</v>
          </cell>
          <cell r="B1025" t="str">
            <v>Muro de 30 cms espesor 1 rostro 3a h</v>
          </cell>
          <cell r="C1025" t="str">
            <v>M2</v>
          </cell>
          <cell r="D1025">
            <v>308.77894285714279</v>
          </cell>
          <cell r="E1025">
            <v>1</v>
          </cell>
          <cell r="F1025">
            <v>355.09578428571416</v>
          </cell>
        </row>
        <row r="1026">
          <cell r="A1026" t="str">
            <v>M35</v>
          </cell>
          <cell r="B1026" t="str">
            <v xml:space="preserve">Muro de 35 cms de espesor </v>
          </cell>
          <cell r="C1026" t="str">
            <v>M2</v>
          </cell>
          <cell r="D1026">
            <v>187.95240000000001</v>
          </cell>
          <cell r="E1026">
            <v>1</v>
          </cell>
          <cell r="F1026">
            <v>216.14526000000001</v>
          </cell>
        </row>
        <row r="1027">
          <cell r="A1027" t="str">
            <v>MACH1</v>
          </cell>
          <cell r="B1027" t="str">
            <v>Machuelo forjado con ladrillo</v>
          </cell>
          <cell r="C1027" t="str">
            <v>ML</v>
          </cell>
          <cell r="D1027">
            <v>62.650800000000004</v>
          </cell>
          <cell r="E1027">
            <v>1</v>
          </cell>
          <cell r="F1027">
            <v>72.048419999999993</v>
          </cell>
        </row>
        <row r="1028">
          <cell r="A1028" t="str">
            <v>MACH2</v>
          </cell>
          <cell r="B1028" t="str">
            <v>barrenos, armar, cimbrar, colar y perfilar machuelo 20 X 20</v>
          </cell>
          <cell r="C1028" t="str">
            <v>ML</v>
          </cell>
          <cell r="D1028">
            <v>230.61644171779145</v>
          </cell>
          <cell r="E1028"/>
          <cell r="F1028">
            <v>265.20890797546014</v>
          </cell>
        </row>
        <row r="1029">
          <cell r="A1029" t="str">
            <v>MACH3</v>
          </cell>
          <cell r="B1029" t="str">
            <v>barrenos, colocar varillin , cimbrar, colar y perfilar machuelo 10 x 10</v>
          </cell>
          <cell r="C1029" t="str">
            <v>ML</v>
          </cell>
          <cell r="D1029">
            <v>125.30160000000001</v>
          </cell>
          <cell r="E1029"/>
          <cell r="F1029">
            <v>144.09683999999999</v>
          </cell>
        </row>
        <row r="1030">
          <cell r="A1030" t="str">
            <v>MALLA</v>
          </cell>
          <cell r="B1030" t="str">
            <v>Corte y colocacion de malla lack en piso</v>
          </cell>
          <cell r="C1030" t="str">
            <v>M2</v>
          </cell>
          <cell r="D1030">
            <v>15.036192000000002</v>
          </cell>
          <cell r="E1030"/>
          <cell r="F1030">
            <v>17.2916208</v>
          </cell>
        </row>
        <row r="1031">
          <cell r="A1031" t="str">
            <v>MAM01</v>
          </cell>
          <cell r="B1031" t="str">
            <v>Mamposteo 1 rostro de 0.00-1.50</v>
          </cell>
          <cell r="C1031" t="str">
            <v>M3</v>
          </cell>
          <cell r="D1031">
            <v>523.41174683544307</v>
          </cell>
          <cell r="E1031">
            <v>1</v>
          </cell>
          <cell r="F1031">
            <v>601.92350886075951</v>
          </cell>
        </row>
        <row r="1032">
          <cell r="A1032" t="str">
            <v>MAM02</v>
          </cell>
          <cell r="B1032" t="str">
            <v>Mamposteo 1 rostro de 1.50-3.00</v>
          </cell>
          <cell r="C1032" t="str">
            <v>M3</v>
          </cell>
          <cell r="D1032">
            <v>661.5924480000001</v>
          </cell>
          <cell r="E1032">
            <v>1</v>
          </cell>
          <cell r="F1032">
            <v>760.83131520000006</v>
          </cell>
        </row>
        <row r="1033">
          <cell r="A1033" t="str">
            <v>MAM02a</v>
          </cell>
          <cell r="B1033" t="str">
            <v>Mamposteo 1 rostro de 3.00-5.70</v>
          </cell>
          <cell r="C1033" t="str">
            <v>M3</v>
          </cell>
          <cell r="D1033">
            <v>835.34400000000016</v>
          </cell>
          <cell r="E1033">
            <v>1</v>
          </cell>
          <cell r="F1033">
            <v>960.64560000000006</v>
          </cell>
        </row>
        <row r="1034">
          <cell r="A1034" t="str">
            <v>MAM03</v>
          </cell>
          <cell r="B1034" t="str">
            <v>Mamposteo 2 rostros de 0.00-1.50</v>
          </cell>
          <cell r="C1034" t="str">
            <v>M3</v>
          </cell>
          <cell r="D1034">
            <v>972.93007058823548</v>
          </cell>
          <cell r="E1034">
            <v>1</v>
          </cell>
          <cell r="F1034">
            <v>1118.8695811764708</v>
          </cell>
        </row>
        <row r="1035">
          <cell r="A1035" t="str">
            <v>MAM03a</v>
          </cell>
          <cell r="B1035" t="str">
            <v>Mamposteo 2 rostros de 0.00-1.50</v>
          </cell>
          <cell r="C1035" t="str">
            <v>M3</v>
          </cell>
          <cell r="D1035">
            <v>787.61005714285727</v>
          </cell>
          <cell r="E1035">
            <v>1</v>
          </cell>
          <cell r="F1035">
            <v>905.75156571428579</v>
          </cell>
        </row>
        <row r="1036">
          <cell r="A1036" t="str">
            <v>MAM03a2</v>
          </cell>
          <cell r="B1036" t="str">
            <v>Mamposteo 2 rostros de 1.50-3.00</v>
          </cell>
          <cell r="C1036" t="str">
            <v>M3</v>
          </cell>
          <cell r="D1036">
            <v>908.78083516483525</v>
          </cell>
          <cell r="E1036">
            <v>1</v>
          </cell>
          <cell r="F1036">
            <v>1045.0979604395604</v>
          </cell>
        </row>
        <row r="1037">
          <cell r="A1037" t="str">
            <v>MAM04</v>
          </cell>
          <cell r="B1037" t="str">
            <v>Mamposteo 2 rostros de 1.50-3.00</v>
          </cell>
          <cell r="C1037" t="str">
            <v>M3</v>
          </cell>
          <cell r="D1037">
            <v>1234.3142686567164</v>
          </cell>
          <cell r="E1037">
            <v>1</v>
          </cell>
          <cell r="F1037">
            <v>1419.4614089552238</v>
          </cell>
        </row>
        <row r="1038">
          <cell r="A1038" t="str">
            <v>MAM05</v>
          </cell>
          <cell r="B1038" t="str">
            <v>Mamposteo en sucio de 0.00-1.50</v>
          </cell>
          <cell r="C1038" t="str">
            <v>M3</v>
          </cell>
          <cell r="D1038">
            <v>413.49528000000004</v>
          </cell>
          <cell r="E1038">
            <v>1</v>
          </cell>
          <cell r="F1038">
            <v>475.51957199999998</v>
          </cell>
        </row>
        <row r="1039">
          <cell r="A1039" t="str">
            <v>MAM06</v>
          </cell>
          <cell r="B1039" t="str">
            <v>Mamposteo en sucio de 1.50-3.00</v>
          </cell>
          <cell r="C1039" t="str">
            <v>M3</v>
          </cell>
          <cell r="D1039">
            <v>486.46503529411774</v>
          </cell>
          <cell r="E1039">
            <v>1</v>
          </cell>
          <cell r="F1039">
            <v>559.43479058823539</v>
          </cell>
        </row>
        <row r="1040">
          <cell r="A1040" t="str">
            <v>MAM07</v>
          </cell>
          <cell r="B1040" t="str">
            <v>Mamposteo a 1 rostro con junta cerrada</v>
          </cell>
          <cell r="C1040" t="str">
            <v>M3</v>
          </cell>
          <cell r="D1040">
            <v>1759.5543829787239</v>
          </cell>
          <cell r="E1040">
            <v>1</v>
          </cell>
          <cell r="F1040">
            <v>2023.4875404255324</v>
          </cell>
        </row>
        <row r="1041">
          <cell r="A1041" t="str">
            <v>MAM08</v>
          </cell>
          <cell r="B1041" t="str">
            <v>Mamposteo a 2 rostros con junta cerrada</v>
          </cell>
          <cell r="C1041" t="str">
            <v>M3</v>
          </cell>
          <cell r="D1041">
            <v>2667.7114838709681</v>
          </cell>
          <cell r="E1041">
            <v>1</v>
          </cell>
          <cell r="F1041">
            <v>3067.8682064516129</v>
          </cell>
        </row>
        <row r="1042">
          <cell r="A1042" t="str">
            <v>MAMRV</v>
          </cell>
          <cell r="B1042" t="str">
            <v>Mamposteo muro de piedra a 2 rostros rancho viejo de 0.00 a 2.00</v>
          </cell>
          <cell r="C1042" t="str">
            <v>M3</v>
          </cell>
          <cell r="D1042">
            <v>1153.082208588957</v>
          </cell>
          <cell r="E1042">
            <v>1</v>
          </cell>
          <cell r="F1042">
            <v>1326.0445398773004</v>
          </cell>
        </row>
        <row r="1043">
          <cell r="A1043" t="str">
            <v>MAMRV2</v>
          </cell>
          <cell r="B1043" t="str">
            <v>Mamposteo muro de piedra a 2 rostros rancho viejo de 2.00 a 4.00</v>
          </cell>
          <cell r="C1043" t="str">
            <v>M3</v>
          </cell>
          <cell r="D1043">
            <v>1441.3527607361962</v>
          </cell>
          <cell r="E1043">
            <v>1</v>
          </cell>
          <cell r="F1043">
            <v>1657.5556748466254</v>
          </cell>
        </row>
        <row r="1044">
          <cell r="A1044" t="str">
            <v>MAMP1R0-2</v>
          </cell>
          <cell r="B1044" t="str">
            <v>Muro de piedra en limpio a 1 rostro de 0.00 a 2.00 alto</v>
          </cell>
          <cell r="C1044" t="str">
            <v>M3</v>
          </cell>
          <cell r="D1044">
            <v>2000</v>
          </cell>
          <cell r="E1044"/>
          <cell r="F1044"/>
        </row>
        <row r="1045">
          <cell r="A1045" t="str">
            <v>MAMP1R2-4</v>
          </cell>
          <cell r="B1045" t="str">
            <v>Muro de piedra en limpio a 1 rostro de 2.00 a 4.00 alto</v>
          </cell>
          <cell r="C1045" t="str">
            <v>M3</v>
          </cell>
          <cell r="D1045">
            <v>2340</v>
          </cell>
          <cell r="E1045"/>
          <cell r="F1045"/>
        </row>
        <row r="1046">
          <cell r="A1046" t="str">
            <v>MAMP1R4-6</v>
          </cell>
          <cell r="B1046" t="str">
            <v>Muro de piedra en limpio a 1 rostro de 4.00 a 6.00 alto</v>
          </cell>
          <cell r="C1046" t="str">
            <v>M3</v>
          </cell>
          <cell r="D1046">
            <v>2660</v>
          </cell>
          <cell r="E1046"/>
          <cell r="F1046"/>
        </row>
        <row r="1047">
          <cell r="A1047" t="str">
            <v>MAMP2R0-2</v>
          </cell>
          <cell r="B1047" t="str">
            <v>Muro de piedra en limpio a 2 rostros de 0.00 a 2.00 alto</v>
          </cell>
          <cell r="C1047" t="str">
            <v>M3</v>
          </cell>
          <cell r="D1047">
            <v>2300</v>
          </cell>
          <cell r="E1047"/>
          <cell r="F1047"/>
        </row>
        <row r="1048">
          <cell r="A1048" t="str">
            <v>MAMP2R2-4</v>
          </cell>
          <cell r="B1048" t="str">
            <v>Muro de piedra en limpio a 2 rostros de 2.00 a 4.00 alto</v>
          </cell>
          <cell r="C1048" t="str">
            <v>M3</v>
          </cell>
          <cell r="D1048">
            <v>2660</v>
          </cell>
          <cell r="E1048"/>
          <cell r="F1048"/>
        </row>
        <row r="1049">
          <cell r="A1049" t="str">
            <v>MAMP2R4-6</v>
          </cell>
          <cell r="B1049" t="str">
            <v>Muro de piedra en limpio a 2 rostros de 4.00 a 6.00 alto</v>
          </cell>
          <cell r="C1049" t="str">
            <v>M3</v>
          </cell>
          <cell r="D1049">
            <v>3000</v>
          </cell>
          <cell r="E1049"/>
          <cell r="F1049"/>
        </row>
        <row r="1050">
          <cell r="A1050" t="str">
            <v>MANDO</v>
          </cell>
          <cell r="B1050" t="str">
            <v>Mando intermedio de personal</v>
          </cell>
          <cell r="C1050" t="str">
            <v>LOTE</v>
          </cell>
          <cell r="D1050">
            <v>751.80960000000005</v>
          </cell>
          <cell r="E1050"/>
          <cell r="F1050">
            <v>864.58104000000003</v>
          </cell>
        </row>
        <row r="1051">
          <cell r="A1051" t="str">
            <v>MART1</v>
          </cell>
          <cell r="B1051" t="str">
            <v>Martelinado de piso concreto</v>
          </cell>
          <cell r="C1051" t="str">
            <v>M2</v>
          </cell>
          <cell r="D1051">
            <v>300.72384</v>
          </cell>
          <cell r="E1051"/>
          <cell r="F1051">
            <v>345.83241599999997</v>
          </cell>
        </row>
        <row r="1052">
          <cell r="A1052" t="str">
            <v>MART2</v>
          </cell>
          <cell r="B1052" t="str">
            <v>Martelinado de escalones de concreto</v>
          </cell>
          <cell r="C1052" t="str">
            <v>ML</v>
          </cell>
          <cell r="D1052">
            <v>214.80274285714287</v>
          </cell>
          <cell r="E1052"/>
          <cell r="F1052">
            <v>247.0231542857143</v>
          </cell>
        </row>
        <row r="1053">
          <cell r="A1053" t="str">
            <v>MB203</v>
          </cell>
          <cell r="B1053" t="str">
            <v>Muro de 20 de block a 3a h</v>
          </cell>
          <cell r="C1053" t="str">
            <v>M2</v>
          </cell>
          <cell r="D1053">
            <v>139.22399999999999</v>
          </cell>
          <cell r="E1053">
            <v>1</v>
          </cell>
          <cell r="F1053">
            <v>160.10759999999996</v>
          </cell>
        </row>
        <row r="1054">
          <cell r="A1054" t="str">
            <v>MBO01</v>
          </cell>
          <cell r="B1054" t="str">
            <v>Muro de 20 de block</v>
          </cell>
          <cell r="C1054" t="str">
            <v>M2</v>
          </cell>
          <cell r="D1054">
            <v>107.40137142857144</v>
          </cell>
          <cell r="E1054">
            <v>1</v>
          </cell>
          <cell r="F1054">
            <v>123.51157714285715</v>
          </cell>
        </row>
        <row r="1055">
          <cell r="A1055" t="str">
            <v>MBO02</v>
          </cell>
          <cell r="B1055" t="str">
            <v>Muro de 20 de block 2a h.</v>
          </cell>
          <cell r="C1055" t="str">
            <v>M2</v>
          </cell>
          <cell r="D1055">
            <v>123.24747540983608</v>
          </cell>
          <cell r="E1055">
            <v>1</v>
          </cell>
          <cell r="F1055">
            <v>141.73459672131148</v>
          </cell>
        </row>
        <row r="1056">
          <cell r="A1056" t="str">
            <v>MBO03</v>
          </cell>
          <cell r="B1056" t="str">
            <v>Muro de capuchino de block</v>
          </cell>
          <cell r="C1056" t="str">
            <v>M2</v>
          </cell>
          <cell r="D1056">
            <v>75.180959999999999</v>
          </cell>
          <cell r="E1056">
            <v>1</v>
          </cell>
          <cell r="F1056">
            <v>86.458103999999992</v>
          </cell>
        </row>
        <row r="1057">
          <cell r="A1057" t="str">
            <v>MBO04</v>
          </cell>
          <cell r="B1057" t="str">
            <v>Muro de capuchino de block 2a h.</v>
          </cell>
          <cell r="C1057" t="str">
            <v>M2</v>
          </cell>
          <cell r="D1057">
            <v>86.458103999999992</v>
          </cell>
          <cell r="E1057">
            <v>1</v>
          </cell>
          <cell r="F1057">
            <v>99.426819599999988</v>
          </cell>
        </row>
        <row r="1058">
          <cell r="A1058" t="str">
            <v>MBO05</v>
          </cell>
          <cell r="B1058" t="str">
            <v>Muro de soga de block</v>
          </cell>
          <cell r="C1058" t="str">
            <v>M2</v>
          </cell>
          <cell r="D1058">
            <v>100.24128</v>
          </cell>
          <cell r="E1058">
            <v>1</v>
          </cell>
          <cell r="F1058">
            <v>115.27747199999999</v>
          </cell>
        </row>
        <row r="1059">
          <cell r="A1059" t="str">
            <v>MBO06</v>
          </cell>
          <cell r="B1059" t="str">
            <v>Muro de soga de block 2a h.</v>
          </cell>
          <cell r="C1059" t="str">
            <v>M2</v>
          </cell>
          <cell r="D1059">
            <v>115.27747199999999</v>
          </cell>
          <cell r="E1059">
            <v>1</v>
          </cell>
          <cell r="F1059">
            <v>132.56909279999996</v>
          </cell>
        </row>
        <row r="1060">
          <cell r="A1060" t="str">
            <v>MBO07</v>
          </cell>
          <cell r="B1060" t="str">
            <v>Muro de tezon de block</v>
          </cell>
          <cell r="C1060" t="str">
            <v>M2</v>
          </cell>
          <cell r="D1060">
            <v>139.22399999999999</v>
          </cell>
          <cell r="E1060">
            <v>1</v>
          </cell>
          <cell r="F1060">
            <v>160.10759999999996</v>
          </cell>
        </row>
        <row r="1061">
          <cell r="A1061" t="str">
            <v>MBO08</v>
          </cell>
          <cell r="B1061" t="str">
            <v>Muro de tezon de block 2a h.</v>
          </cell>
          <cell r="C1061" t="str">
            <v>M2</v>
          </cell>
          <cell r="D1061">
            <v>160.10759999999999</v>
          </cell>
          <cell r="E1061">
            <v>1</v>
          </cell>
          <cell r="F1061">
            <v>184.12373999999997</v>
          </cell>
        </row>
        <row r="1062">
          <cell r="A1062" t="str">
            <v>MBSO3</v>
          </cell>
          <cell r="B1062" t="str">
            <v>Muro de soga de block a 3a h</v>
          </cell>
          <cell r="C1062" t="str">
            <v>M2</v>
          </cell>
          <cell r="D1062">
            <v>130.31366400000002</v>
          </cell>
          <cell r="E1062">
            <v>1</v>
          </cell>
          <cell r="F1062">
            <v>149.8607136</v>
          </cell>
        </row>
        <row r="1063">
          <cell r="A1063" t="str">
            <v>MBSO4</v>
          </cell>
          <cell r="B1063" t="str">
            <v>Muro de soga de block a 4a h</v>
          </cell>
          <cell r="C1063" t="str">
            <v>M2</v>
          </cell>
          <cell r="D1063">
            <v>145.34985600000002</v>
          </cell>
          <cell r="E1063">
            <v>1</v>
          </cell>
          <cell r="F1063">
            <v>167.1523344</v>
          </cell>
        </row>
        <row r="1064">
          <cell r="A1064" t="str">
            <v>MBSO5</v>
          </cell>
          <cell r="B1064" t="str">
            <v>Muro de soga de block a 5a h</v>
          </cell>
          <cell r="C1064" t="str">
            <v>M2</v>
          </cell>
          <cell r="D1064">
            <v>160.38604800000002</v>
          </cell>
          <cell r="E1064">
            <v>1</v>
          </cell>
          <cell r="F1064">
            <v>184.4439552</v>
          </cell>
        </row>
        <row r="1065">
          <cell r="A1065" t="str">
            <v>MBTE3</v>
          </cell>
          <cell r="B1065" t="str">
            <v>Muro de tezon de block a 3a h</v>
          </cell>
          <cell r="C1065" t="str">
            <v>M2</v>
          </cell>
          <cell r="D1065">
            <v>163.43686956521742</v>
          </cell>
          <cell r="E1065">
            <v>1</v>
          </cell>
          <cell r="F1065">
            <v>187.95240000000001</v>
          </cell>
        </row>
        <row r="1066">
          <cell r="A1066" t="str">
            <v>MBTE4</v>
          </cell>
          <cell r="B1066" t="str">
            <v>Muro de tezon de block a 4a h</v>
          </cell>
          <cell r="C1066" t="str">
            <v>M2</v>
          </cell>
          <cell r="D1066">
            <v>187.95240000000001</v>
          </cell>
          <cell r="E1066">
            <v>1</v>
          </cell>
          <cell r="F1066">
            <v>216.14526000000001</v>
          </cell>
        </row>
        <row r="1067">
          <cell r="A1067" t="str">
            <v>MBTE5</v>
          </cell>
          <cell r="B1067" t="str">
            <v>Muro de tezon de block a 5a h</v>
          </cell>
          <cell r="C1067" t="str">
            <v>M2</v>
          </cell>
          <cell r="D1067">
            <v>216.14525999999998</v>
          </cell>
          <cell r="E1067">
            <v>1</v>
          </cell>
          <cell r="F1067">
            <v>248.56704899999997</v>
          </cell>
        </row>
        <row r="1068">
          <cell r="A1068" t="str">
            <v>MBHA</v>
          </cell>
          <cell r="B1068" t="str">
            <v>Muro de block hueco aparente con colado de escalerillas verticales</v>
          </cell>
          <cell r="C1068" t="str">
            <v>M2</v>
          </cell>
          <cell r="D1068">
            <v>139.22399999999999</v>
          </cell>
          <cell r="E1068">
            <v>1</v>
          </cell>
          <cell r="F1068">
            <v>160.10759999999996</v>
          </cell>
        </row>
        <row r="1069">
          <cell r="A1069" t="str">
            <v>MBHA2</v>
          </cell>
          <cell r="B1069" t="str">
            <v>Muro de block hueco aparente con colado de escalerillas verticales 2a h</v>
          </cell>
          <cell r="C1069" t="str">
            <v>M2</v>
          </cell>
          <cell r="D1069">
            <v>160.10759999999999</v>
          </cell>
          <cell r="E1069">
            <v>1</v>
          </cell>
          <cell r="F1069">
            <v>184.12373999999997</v>
          </cell>
        </row>
        <row r="1070">
          <cell r="A1070" t="str">
            <v>MPIÑASO</v>
          </cell>
          <cell r="B1070" t="str">
            <v xml:space="preserve">Muro de piña de soga </v>
          </cell>
          <cell r="C1070" t="str">
            <v>M2</v>
          </cell>
          <cell r="D1070">
            <v>79.137852631578951</v>
          </cell>
          <cell r="E1070">
            <v>1</v>
          </cell>
          <cell r="F1070">
            <v>91.008530526315781</v>
          </cell>
        </row>
        <row r="1071">
          <cell r="A1071" t="str">
            <v>MCA1</v>
          </cell>
          <cell r="B1071" t="str">
            <v>Muro de capuchino de ladrillo</v>
          </cell>
          <cell r="C1071" t="str">
            <v>M2</v>
          </cell>
          <cell r="D1071">
            <v>75.180959999999999</v>
          </cell>
          <cell r="E1071">
            <v>1</v>
          </cell>
          <cell r="F1071">
            <v>86.458103999999992</v>
          </cell>
        </row>
        <row r="1072">
          <cell r="A1072" t="str">
            <v>MCA2</v>
          </cell>
          <cell r="B1072" t="str">
            <v>Muro de capuchino de ladrillo 2a h.</v>
          </cell>
          <cell r="C1072" t="str">
            <v>M2</v>
          </cell>
          <cell r="D1072">
            <v>86.458103999999992</v>
          </cell>
          <cell r="E1072">
            <v>1</v>
          </cell>
          <cell r="F1072">
            <v>99.426819599999988</v>
          </cell>
        </row>
        <row r="1073">
          <cell r="A1073" t="str">
            <v>MPREF</v>
          </cell>
          <cell r="B1073" t="str">
            <v>Colocacion de muro de concreto prefabricado a nivel</v>
          </cell>
          <cell r="C1073" t="str">
            <v>M2</v>
          </cell>
          <cell r="D1073">
            <v>75.180959999999999</v>
          </cell>
          <cell r="E1073">
            <v>1</v>
          </cell>
          <cell r="F1073">
            <v>86.458103999999992</v>
          </cell>
        </row>
        <row r="1074">
          <cell r="A1074" t="str">
            <v>MED01</v>
          </cell>
          <cell r="B1074" t="str">
            <v>Media caña  de cemento blanco y marmolina</v>
          </cell>
          <cell r="C1074" t="str">
            <v>ML</v>
          </cell>
          <cell r="D1074">
            <v>18.79524</v>
          </cell>
          <cell r="E1074">
            <v>1</v>
          </cell>
          <cell r="F1074">
            <v>21.614525999999998</v>
          </cell>
        </row>
        <row r="1075">
          <cell r="A1075" t="str">
            <v>MED02</v>
          </cell>
          <cell r="B1075" t="str">
            <v>Media caña con resina quimica del oeste</v>
          </cell>
          <cell r="C1075" t="str">
            <v>ML</v>
          </cell>
          <cell r="D1075">
            <v>15.662700000000001</v>
          </cell>
          <cell r="E1075">
            <v>1</v>
          </cell>
          <cell r="F1075">
            <v>18.012104999999998</v>
          </cell>
        </row>
        <row r="1076">
          <cell r="A1076" t="str">
            <v>MET01</v>
          </cell>
          <cell r="B1076" t="str">
            <v>Colocacion de metal desplegado</v>
          </cell>
          <cell r="C1076" t="str">
            <v>ML</v>
          </cell>
          <cell r="D1076">
            <v>25.060320000000001</v>
          </cell>
          <cell r="E1076"/>
          <cell r="F1076">
            <v>28.819367999999997</v>
          </cell>
        </row>
        <row r="1077">
          <cell r="A1077" t="str">
            <v>MHUA</v>
          </cell>
          <cell r="B1077" t="str">
            <v>Muro huacaleado en pozo de absorcion</v>
          </cell>
          <cell r="C1077" t="str">
            <v>M2</v>
          </cell>
          <cell r="D1077">
            <v>75.180959999999999</v>
          </cell>
          <cell r="E1077">
            <v>1</v>
          </cell>
          <cell r="F1077">
            <v>86.458103999999992</v>
          </cell>
        </row>
        <row r="1078">
          <cell r="A1078" t="str">
            <v>MOC20</v>
          </cell>
          <cell r="B1078" t="str">
            <v>Mocheta de 20</v>
          </cell>
          <cell r="C1078" t="str">
            <v>ML</v>
          </cell>
          <cell r="D1078">
            <v>231.32603076923078</v>
          </cell>
          <cell r="E1078">
            <v>1</v>
          </cell>
          <cell r="F1078">
            <v>266.02493538461539</v>
          </cell>
        </row>
        <row r="1079">
          <cell r="A1079" t="str">
            <v>MOCCA</v>
          </cell>
          <cell r="B1079" t="str">
            <v>Mocheta de capuchino</v>
          </cell>
          <cell r="C1079" t="str">
            <v>ML</v>
          </cell>
          <cell r="D1079">
            <v>158.2757052631579</v>
          </cell>
          <cell r="E1079">
            <v>1</v>
          </cell>
          <cell r="F1079">
            <v>182.01706105263156</v>
          </cell>
        </row>
        <row r="1080">
          <cell r="A1080" t="str">
            <v>MOCSO</v>
          </cell>
          <cell r="B1080" t="str">
            <v>Mocheta de soga</v>
          </cell>
          <cell r="C1080" t="str">
            <v>ML</v>
          </cell>
          <cell r="D1080">
            <v>158.2757052631579</v>
          </cell>
          <cell r="E1080">
            <v>1</v>
          </cell>
          <cell r="F1080">
            <v>182.01706105263156</v>
          </cell>
        </row>
        <row r="1081">
          <cell r="A1081" t="str">
            <v>MOCTE</v>
          </cell>
          <cell r="B1081" t="str">
            <v>Mocheta de tezon</v>
          </cell>
          <cell r="C1081" t="str">
            <v>ML</v>
          </cell>
          <cell r="D1081">
            <v>250.60320000000002</v>
          </cell>
          <cell r="E1081">
            <v>1</v>
          </cell>
          <cell r="F1081">
            <v>288.19367999999997</v>
          </cell>
        </row>
        <row r="1082">
          <cell r="A1082" t="str">
            <v>MOJ01</v>
          </cell>
          <cell r="B1082" t="str">
            <v>Mojonera de 30 x 30 x 40 c/varilla terminada</v>
          </cell>
          <cell r="C1082" t="str">
            <v>PZA</v>
          </cell>
          <cell r="D1082">
            <v>93.976200000000006</v>
          </cell>
          <cell r="E1082"/>
          <cell r="F1082">
            <v>108.07263</v>
          </cell>
        </row>
        <row r="1083">
          <cell r="A1083" t="str">
            <v>MOL01</v>
          </cell>
          <cell r="B1083" t="str">
            <v>Moldura altura hasta 40 cms, incluye cercha</v>
          </cell>
          <cell r="C1083" t="str">
            <v>ML</v>
          </cell>
          <cell r="D1083">
            <v>501.20640000000003</v>
          </cell>
          <cell r="E1083"/>
          <cell r="F1083">
            <v>576.38735999999994</v>
          </cell>
        </row>
        <row r="1084">
          <cell r="A1084" t="str">
            <v>MOL02</v>
          </cell>
          <cell r="B1084" t="str">
            <v>Moldura en esquina ( remate ), altura hasta 40 cms</v>
          </cell>
          <cell r="C1084" t="str">
            <v>ML</v>
          </cell>
          <cell r="D1084">
            <v>501.20640000000003</v>
          </cell>
          <cell r="E1084"/>
          <cell r="F1084">
            <v>576.38735999999994</v>
          </cell>
        </row>
        <row r="1085">
          <cell r="A1085" t="str">
            <v>MOL03</v>
          </cell>
          <cell r="B1085" t="str">
            <v>Moldura 10-15 cms espesor c/media caña</v>
          </cell>
          <cell r="C1085" t="str">
            <v>ML</v>
          </cell>
          <cell r="D1085">
            <v>150.36192</v>
          </cell>
          <cell r="E1085"/>
          <cell r="F1085">
            <v>172.91620799999998</v>
          </cell>
        </row>
        <row r="1086">
          <cell r="A1086" t="str">
            <v>MSO1</v>
          </cell>
          <cell r="B1086" t="str">
            <v>Muro de soga de ladrillo</v>
          </cell>
          <cell r="C1086" t="str">
            <v>M2</v>
          </cell>
          <cell r="D1086">
            <v>100.24128</v>
          </cell>
          <cell r="E1086">
            <v>1</v>
          </cell>
          <cell r="F1086">
            <v>115.27747199999999</v>
          </cell>
        </row>
        <row r="1087">
          <cell r="A1087" t="str">
            <v>MSO2</v>
          </cell>
          <cell r="B1087" t="str">
            <v>Muro de soga de ladrillo 2a h.</v>
          </cell>
          <cell r="C1087" t="str">
            <v>M2</v>
          </cell>
          <cell r="D1087">
            <v>115.277472</v>
          </cell>
          <cell r="E1087">
            <v>1</v>
          </cell>
          <cell r="F1087">
            <v>132.56909279999999</v>
          </cell>
        </row>
        <row r="1088">
          <cell r="A1088" t="str">
            <v>MSO3</v>
          </cell>
          <cell r="B1088" t="str">
            <v>Muro de soga en limpio 1 rostro</v>
          </cell>
          <cell r="C1088" t="str">
            <v>M2</v>
          </cell>
          <cell r="D1088">
            <v>118.70677894736843</v>
          </cell>
          <cell r="E1088">
            <v>1</v>
          </cell>
          <cell r="F1088">
            <v>136.5127957894737</v>
          </cell>
        </row>
        <row r="1089">
          <cell r="A1089" t="str">
            <v>MSO32a</v>
          </cell>
          <cell r="B1089" t="str">
            <v>Muro de soga en limpio 1 rostro a 2a h</v>
          </cell>
          <cell r="C1089" t="str">
            <v>M2</v>
          </cell>
          <cell r="D1089">
            <v>136.51279578947367</v>
          </cell>
          <cell r="E1089">
            <v>1</v>
          </cell>
          <cell r="F1089">
            <v>156.98971515789472</v>
          </cell>
        </row>
        <row r="1090">
          <cell r="A1090" t="str">
            <v>MSO33a</v>
          </cell>
          <cell r="B1090" t="str">
            <v>Muro de soga en limpio 1 rostro a 3a h</v>
          </cell>
          <cell r="C1090" t="str">
            <v>M2</v>
          </cell>
          <cell r="D1090">
            <v>156.98971515789472</v>
          </cell>
          <cell r="E1090">
            <v>1</v>
          </cell>
          <cell r="F1090">
            <v>180.53817243157891</v>
          </cell>
        </row>
        <row r="1091">
          <cell r="A1091" t="str">
            <v>MSO34a</v>
          </cell>
          <cell r="B1091" t="str">
            <v>Muro de soga en limpio 1 rostro a 4a h</v>
          </cell>
          <cell r="C1091" t="str">
            <v>M2</v>
          </cell>
          <cell r="D1091">
            <v>180.53817243157891</v>
          </cell>
          <cell r="E1091">
            <v>1</v>
          </cell>
          <cell r="F1091">
            <v>207.61889829631573</v>
          </cell>
        </row>
        <row r="1092">
          <cell r="A1092" t="str">
            <v>MSO4</v>
          </cell>
          <cell r="B1092" t="str">
            <v>Muro de soga en limpio 2 rostros</v>
          </cell>
          <cell r="C1092" t="str">
            <v>M2</v>
          </cell>
          <cell r="D1092">
            <v>150.36192</v>
          </cell>
          <cell r="E1092">
            <v>1</v>
          </cell>
          <cell r="F1092">
            <v>172.91620799999998</v>
          </cell>
        </row>
        <row r="1093">
          <cell r="A1093" t="str">
            <v>MSO2R</v>
          </cell>
          <cell r="B1093" t="str">
            <v>Muro de soga a 2 rostros en limpio</v>
          </cell>
          <cell r="C1093" t="str">
            <v>M2</v>
          </cell>
          <cell r="D1093">
            <v>171.46534736842105</v>
          </cell>
          <cell r="E1093">
            <v>1</v>
          </cell>
          <cell r="F1093">
            <v>197.18514947368419</v>
          </cell>
        </row>
        <row r="1094">
          <cell r="A1094" t="str">
            <v>MSO2R2</v>
          </cell>
          <cell r="B1094" t="str">
            <v>Muro de soga a 2 rostros en limpio en 2a h</v>
          </cell>
          <cell r="C1094" t="str">
            <v>M2</v>
          </cell>
          <cell r="D1094">
            <v>197.8446315789474</v>
          </cell>
          <cell r="E1094">
            <v>1</v>
          </cell>
          <cell r="F1094">
            <v>227.52132631578948</v>
          </cell>
        </row>
        <row r="1095">
          <cell r="A1095" t="str">
            <v>M262R</v>
          </cell>
          <cell r="B1095" t="str">
            <v>Muro de 26 cms espesor a 2 rostros en limpio</v>
          </cell>
          <cell r="C1095" t="str">
            <v>M2</v>
          </cell>
          <cell r="D1095">
            <v>237.41355789473687</v>
          </cell>
          <cell r="E1095">
            <v>1</v>
          </cell>
          <cell r="F1095">
            <v>273.0255915789474</v>
          </cell>
        </row>
        <row r="1096">
          <cell r="A1096" t="str">
            <v>M262R2</v>
          </cell>
          <cell r="B1096" t="str">
            <v>Muro de 26 cms espesor a 2 rostros en limpio en 2a h</v>
          </cell>
          <cell r="C1096" t="str">
            <v>M2</v>
          </cell>
          <cell r="D1096">
            <v>274.3445557894737</v>
          </cell>
          <cell r="E1096">
            <v>1</v>
          </cell>
          <cell r="F1096">
            <v>315.49623915789471</v>
          </cell>
        </row>
        <row r="1097">
          <cell r="A1097" t="str">
            <v>MTEZ1</v>
          </cell>
          <cell r="B1097" t="str">
            <v>Muro de tezon de ladrillo</v>
          </cell>
          <cell r="C1097" t="str">
            <v>M2</v>
          </cell>
          <cell r="D1097">
            <v>139.22399999999999</v>
          </cell>
          <cell r="E1097">
            <v>1</v>
          </cell>
          <cell r="F1097">
            <v>160.10759999999996</v>
          </cell>
        </row>
        <row r="1098">
          <cell r="A1098" t="str">
            <v>MTEZ2</v>
          </cell>
          <cell r="B1098" t="str">
            <v>Muro de tezon de ladrillo 2a h.</v>
          </cell>
          <cell r="C1098" t="str">
            <v>M2</v>
          </cell>
          <cell r="D1098">
            <v>160.10759999999999</v>
          </cell>
          <cell r="E1098">
            <v>1</v>
          </cell>
          <cell r="F1098">
            <v>184.12373999999997</v>
          </cell>
        </row>
        <row r="1099">
          <cell r="A1099" t="str">
            <v>MUSOG</v>
          </cell>
          <cell r="B1099" t="str">
            <v>Murete de soga de nivelacion en cimentaciones</v>
          </cell>
          <cell r="C1099" t="str">
            <v>ML</v>
          </cell>
          <cell r="D1099">
            <v>53.700685714285719</v>
          </cell>
          <cell r="E1099">
            <v>1</v>
          </cell>
          <cell r="F1099">
            <v>61.755788571428575</v>
          </cell>
        </row>
        <row r="1100">
          <cell r="A1100" t="str">
            <v>MUTEZ</v>
          </cell>
          <cell r="B1100" t="str">
            <v>Murete de tezon de nivelacion en cimentaciones</v>
          </cell>
          <cell r="C1100" t="str">
            <v>ML</v>
          </cell>
          <cell r="D1100">
            <v>107.40137142857144</v>
          </cell>
          <cell r="E1100">
            <v>1</v>
          </cell>
          <cell r="F1100">
            <v>123.51157714285715</v>
          </cell>
        </row>
        <row r="1101">
          <cell r="A1101" t="str">
            <v>NIV01</v>
          </cell>
          <cell r="B1101" t="str">
            <v>Nivelacion de dado con pasta cemento</v>
          </cell>
          <cell r="C1101" t="str">
            <v>PZA</v>
          </cell>
          <cell r="D1101">
            <v>93.976200000000006</v>
          </cell>
          <cell r="E1101"/>
          <cell r="F1101">
            <v>108.07263</v>
          </cell>
        </row>
        <row r="1102">
          <cell r="A1102" t="str">
            <v>NIV02</v>
          </cell>
          <cell r="B1102" t="str">
            <v>Nivelacion de muro de mamposteo esp. 80 cms</v>
          </cell>
          <cell r="C1102" t="str">
            <v>ML</v>
          </cell>
          <cell r="D1102">
            <v>68.346327272727279</v>
          </cell>
          <cell r="E1102">
            <v>1</v>
          </cell>
          <cell r="F1102">
            <v>78.598276363636359</v>
          </cell>
        </row>
        <row r="1103">
          <cell r="A1103" t="str">
            <v>NIV03</v>
          </cell>
          <cell r="B1103" t="str">
            <v>Nivelar muro de ladrillo</v>
          </cell>
          <cell r="C1103" t="str">
            <v>ML</v>
          </cell>
          <cell r="D1103">
            <v>37.590479999999999</v>
          </cell>
          <cell r="E1103"/>
          <cell r="F1103">
            <v>43.229051999999996</v>
          </cell>
        </row>
        <row r="1104">
          <cell r="A1104" t="str">
            <v>NIV04</v>
          </cell>
          <cell r="B1104" t="str">
            <v>Nivelar y recibir centro carga, resanado</v>
          </cell>
          <cell r="C1104" t="str">
            <v>PZA</v>
          </cell>
          <cell r="D1104">
            <v>250.60320000000002</v>
          </cell>
          <cell r="E1104"/>
          <cell r="F1104">
            <v>288.19367999999997</v>
          </cell>
        </row>
        <row r="1105">
          <cell r="A1105" t="str">
            <v>NIV05</v>
          </cell>
          <cell r="B1105" t="str">
            <v>Nivelacion de tierra para piso de 5-15 esp.</v>
          </cell>
          <cell r="C1105" t="str">
            <v>M2</v>
          </cell>
          <cell r="D1105">
            <v>21.480274285714287</v>
          </cell>
          <cell r="E1105"/>
          <cell r="F1105">
            <v>24.702315428571428</v>
          </cell>
        </row>
        <row r="1106">
          <cell r="A1106" t="str">
            <v>NIV06</v>
          </cell>
          <cell r="B1106" t="str">
            <v>Nivelacion de pisos con pasta para instalar vitropiso</v>
          </cell>
          <cell r="C1106" t="str">
            <v>M2</v>
          </cell>
          <cell r="D1106">
            <v>21.103427368421055</v>
          </cell>
          <cell r="E1106"/>
          <cell r="F1106">
            <v>24.268941473684212</v>
          </cell>
        </row>
        <row r="1107">
          <cell r="A1107" t="str">
            <v>NIV20</v>
          </cell>
          <cell r="B1107" t="str">
            <v>Nivelacion de muro de 20 sobre dala intermedia</v>
          </cell>
          <cell r="C1107" t="str">
            <v>ML</v>
          </cell>
          <cell r="D1107">
            <v>93.976200000000006</v>
          </cell>
          <cell r="E1107">
            <v>1</v>
          </cell>
          <cell r="F1107">
            <v>108.07263</v>
          </cell>
        </row>
        <row r="1108">
          <cell r="A1108" t="str">
            <v>NIVSOG</v>
          </cell>
          <cell r="B1108" t="str">
            <v>Nivelacion de muro de soga sobre dala intermedia</v>
          </cell>
          <cell r="C1108" t="str">
            <v>ML</v>
          </cell>
          <cell r="D1108">
            <v>53.700685714285719</v>
          </cell>
          <cell r="E1108">
            <v>1</v>
          </cell>
          <cell r="F1108">
            <v>61.755788571428575</v>
          </cell>
        </row>
        <row r="1109">
          <cell r="A1109" t="str">
            <v>NOCT</v>
          </cell>
          <cell r="B1109" t="str">
            <v>Trabajo nocturno</v>
          </cell>
          <cell r="C1109" t="str">
            <v>LOTE</v>
          </cell>
          <cell r="D1109">
            <v>100</v>
          </cell>
          <cell r="E1109"/>
          <cell r="F1109">
            <v>100</v>
          </cell>
        </row>
        <row r="1110">
          <cell r="A1110" t="str">
            <v>NUCKET</v>
          </cell>
          <cell r="B1110" t="str">
            <v>Nucket aplicado en resanes de piso</v>
          </cell>
          <cell r="C1110" t="str">
            <v>PZA</v>
          </cell>
          <cell r="D1110">
            <v>57.831507692307696</v>
          </cell>
          <cell r="E1110"/>
          <cell r="F1110">
            <v>66.506233846153847</v>
          </cell>
        </row>
        <row r="1111">
          <cell r="A1111" t="str">
            <v>OFI01</v>
          </cell>
          <cell r="B1111" t="str">
            <v>Oficial por el dia</v>
          </cell>
          <cell r="C1111" t="str">
            <v>JORNAL</v>
          </cell>
          <cell r="D1111">
            <v>608.38</v>
          </cell>
          <cell r="E1111"/>
          <cell r="F1111"/>
        </row>
        <row r="1112">
          <cell r="A1112" t="str">
            <v>ORE01</v>
          </cell>
          <cell r="B1112" t="str">
            <v>Orejas de varillas para macizos acuñado</v>
          </cell>
          <cell r="C1112" t="str">
            <v>PZA</v>
          </cell>
          <cell r="D1112">
            <v>13.669265454545455</v>
          </cell>
          <cell r="E1112"/>
          <cell r="F1112">
            <v>15.719655272727271</v>
          </cell>
        </row>
        <row r="1113">
          <cell r="A1113" t="str">
            <v>OVA01</v>
          </cell>
          <cell r="B1113" t="str">
            <v>Recibir ovalines por debajo de losa</v>
          </cell>
          <cell r="C1113" t="str">
            <v>PZA</v>
          </cell>
          <cell r="D1113">
            <v>75.180959999999999</v>
          </cell>
          <cell r="E1113"/>
          <cell r="F1113">
            <v>86.458103999999992</v>
          </cell>
        </row>
        <row r="1114">
          <cell r="A1114" t="str">
            <v>PALMA</v>
          </cell>
          <cell r="B1114" t="str">
            <v>Derribar palma con todo y raiz alt. 10.00 mts</v>
          </cell>
          <cell r="C1114" t="str">
            <v>PZA</v>
          </cell>
          <cell r="D1114">
            <v>751.80960000000005</v>
          </cell>
          <cell r="E1114"/>
          <cell r="F1114">
            <v>864.58104000000003</v>
          </cell>
        </row>
        <row r="1115">
          <cell r="A1115" t="str">
            <v>PAS01</v>
          </cell>
          <cell r="B1115" t="str">
            <v>Pasada de boveda</v>
          </cell>
          <cell r="C1115" t="str">
            <v>PZA</v>
          </cell>
          <cell r="D1115">
            <v>93.976200000000006</v>
          </cell>
          <cell r="E1115"/>
          <cell r="F1115">
            <v>108.07263</v>
          </cell>
        </row>
        <row r="1116">
          <cell r="A1116" t="str">
            <v>PAS02</v>
          </cell>
          <cell r="B1116" t="str">
            <v>Pasada de cimiento</v>
          </cell>
          <cell r="C1116" t="str">
            <v>PZA</v>
          </cell>
          <cell r="D1116">
            <v>250.60320000000002</v>
          </cell>
          <cell r="E1116"/>
          <cell r="F1116">
            <v>288.19367999999997</v>
          </cell>
        </row>
        <row r="1117">
          <cell r="A1117" t="str">
            <v>PAS03</v>
          </cell>
          <cell r="B1117" t="str">
            <v>Pasada de muro o registro (p/tuberia)</v>
          </cell>
          <cell r="C1117" t="str">
            <v>PZA</v>
          </cell>
          <cell r="D1117">
            <v>41.767200000000003</v>
          </cell>
          <cell r="E1117"/>
          <cell r="F1117">
            <v>48.03228</v>
          </cell>
        </row>
        <row r="1118">
          <cell r="A1118" t="str">
            <v>PAS04</v>
          </cell>
          <cell r="B1118" t="str">
            <v>Pasada de concreto</v>
          </cell>
          <cell r="C1118" t="str">
            <v>PZA</v>
          </cell>
          <cell r="D1118">
            <v>95.924669856459332</v>
          </cell>
          <cell r="E1118"/>
          <cell r="F1118">
            <v>110.31337033492822</v>
          </cell>
        </row>
        <row r="1119">
          <cell r="A1119" t="str">
            <v>PAS05</v>
          </cell>
          <cell r="B1119" t="str">
            <v>Pasada de dala o castillo por ranuras de instalaciones</v>
          </cell>
          <cell r="C1119" t="str">
            <v>PZA</v>
          </cell>
          <cell r="D1119">
            <v>41.767200000000003</v>
          </cell>
          <cell r="E1119"/>
          <cell r="F1119">
            <v>48.03228</v>
          </cell>
        </row>
        <row r="1120">
          <cell r="A1120" t="str">
            <v>PEO01</v>
          </cell>
          <cell r="B1120" t="str">
            <v>Peon por el dia</v>
          </cell>
          <cell r="C1120" t="str">
            <v>JORNAL</v>
          </cell>
          <cell r="D1120">
            <v>337.98</v>
          </cell>
          <cell r="E1120"/>
          <cell r="F1120">
            <v>248.8</v>
          </cell>
        </row>
        <row r="1121">
          <cell r="A1121" t="str">
            <v>PEOTEJ</v>
          </cell>
          <cell r="B1121" t="str">
            <v>Peon por el dia</v>
          </cell>
          <cell r="C1121" t="str">
            <v>JORNAL</v>
          </cell>
          <cell r="D1121">
            <v>250</v>
          </cell>
          <cell r="E1121"/>
          <cell r="F1121">
            <v>250</v>
          </cell>
        </row>
        <row r="1122">
          <cell r="A1122" t="str">
            <v>PER01</v>
          </cell>
          <cell r="B1122" t="str">
            <v>Perfilar dala o castillo con mortero cemento</v>
          </cell>
          <cell r="C1122" t="str">
            <v>ML</v>
          </cell>
          <cell r="D1122">
            <v>37.590479999999999</v>
          </cell>
          <cell r="E1122"/>
          <cell r="F1122">
            <v>43.229051999999996</v>
          </cell>
        </row>
        <row r="1123">
          <cell r="A1123" t="str">
            <v>PER02</v>
          </cell>
          <cell r="B1123" t="str">
            <v>Perfilar caja de luz chalupa con mezcla o yeso</v>
          </cell>
          <cell r="C1123" t="str">
            <v>PZA</v>
          </cell>
          <cell r="D1123">
            <v>50.120640000000002</v>
          </cell>
          <cell r="E1123"/>
          <cell r="F1123">
            <v>57.638735999999994</v>
          </cell>
        </row>
        <row r="1124">
          <cell r="A1124" t="str">
            <v>PER03</v>
          </cell>
          <cell r="B1124" t="str">
            <v>Perfilar caja de luz en boveda tipo MAGG</v>
          </cell>
          <cell r="C1124" t="str">
            <v>PZA</v>
          </cell>
          <cell r="D1124">
            <v>79.137852631578951</v>
          </cell>
          <cell r="E1124"/>
          <cell r="F1124">
            <v>91.008530526315781</v>
          </cell>
        </row>
        <row r="1125">
          <cell r="A1125" t="str">
            <v>PER04</v>
          </cell>
          <cell r="B1125" t="str">
            <v>Perfilar losa de concreto</v>
          </cell>
          <cell r="C1125" t="str">
            <v>M2</v>
          </cell>
          <cell r="D1125">
            <v>37.590479999999999</v>
          </cell>
          <cell r="E1125"/>
          <cell r="F1125">
            <v>43.229051999999996</v>
          </cell>
        </row>
        <row r="1126">
          <cell r="A1126" t="str">
            <v>PIC01</v>
          </cell>
          <cell r="B1126" t="str">
            <v>Picar piso para desplante de dala</v>
          </cell>
          <cell r="C1126" t="str">
            <v>ML</v>
          </cell>
          <cell r="D1126">
            <v>16.706880000000002</v>
          </cell>
          <cell r="E1126"/>
          <cell r="F1126">
            <v>19.212911999999999</v>
          </cell>
        </row>
        <row r="1127">
          <cell r="A1127" t="str">
            <v>PIC02</v>
          </cell>
          <cell r="B1127" t="str">
            <v>Picar piso,boveda o muro p/media caña</v>
          </cell>
          <cell r="C1127" t="str">
            <v>ML</v>
          </cell>
          <cell r="D1127">
            <v>15.036192000000002</v>
          </cell>
          <cell r="E1127"/>
          <cell r="F1127">
            <v>17.2916208</v>
          </cell>
        </row>
        <row r="1128">
          <cell r="A1128" t="str">
            <v>PIC03</v>
          </cell>
          <cell r="B1128" t="str">
            <v>Picar columna, dala o trabe</v>
          </cell>
          <cell r="C1128" t="str">
            <v>ML</v>
          </cell>
          <cell r="D1128">
            <v>25.060320000000001</v>
          </cell>
          <cell r="E1128"/>
          <cell r="F1128">
            <v>28.819367999999997</v>
          </cell>
        </row>
        <row r="1129">
          <cell r="A1129" t="str">
            <v>PIC04</v>
          </cell>
          <cell r="B1129" t="str">
            <v>Picar piso para preparar superficie</v>
          </cell>
          <cell r="C1129" t="str">
            <v>M2</v>
          </cell>
          <cell r="D1129">
            <v>50.120640000000002</v>
          </cell>
          <cell r="E1129"/>
          <cell r="F1129">
            <v>57.638735999999994</v>
          </cell>
        </row>
        <row r="1130">
          <cell r="A1130" t="str">
            <v>PIN.30</v>
          </cell>
          <cell r="B1130" t="str">
            <v xml:space="preserve">Preparacion y pintura de postes de malla y </v>
          </cell>
          <cell r="C1130" t="str">
            <v>PZA</v>
          </cell>
          <cell r="D1130">
            <v>31.5</v>
          </cell>
          <cell r="F1130">
            <v>36.224999999999994</v>
          </cell>
        </row>
        <row r="1131">
          <cell r="A1131" t="str">
            <v>PIN01</v>
          </cell>
          <cell r="B1131" t="str">
            <v>Preparacion y pintura de muros,bovedas o pisos</v>
          </cell>
          <cell r="C1131" t="str">
            <v>M2</v>
          </cell>
          <cell r="D1131">
            <v>15</v>
          </cell>
          <cell r="E1131"/>
          <cell r="F1131">
            <v>17.25</v>
          </cell>
        </row>
        <row r="1132">
          <cell r="A1132" t="str">
            <v>PIN01-1</v>
          </cell>
          <cell r="B1132" t="str">
            <v>Preparacion y pintura de muros,bovedas o pisos</v>
          </cell>
          <cell r="C1132" t="str">
            <v>M2</v>
          </cell>
          <cell r="D1132">
            <v>15</v>
          </cell>
          <cell r="E1132"/>
          <cell r="F1132">
            <v>17.25</v>
          </cell>
        </row>
        <row r="1133">
          <cell r="A1133" t="str">
            <v>PIN02</v>
          </cell>
          <cell r="B1133" t="str">
            <v>Trazo y pintura de zoclos y cenefas</v>
          </cell>
          <cell r="C1133" t="str">
            <v>ML</v>
          </cell>
          <cell r="D1133">
            <v>5.25</v>
          </cell>
          <cell r="E1133"/>
          <cell r="F1133">
            <v>6.0374999999999996</v>
          </cell>
        </row>
        <row r="1134">
          <cell r="A1134" t="str">
            <v>PIN03</v>
          </cell>
          <cell r="B1134" t="str">
            <v>Pintura de tuberia con esmalte</v>
          </cell>
          <cell r="C1134" t="str">
            <v>ML</v>
          </cell>
          <cell r="D1134">
            <v>5.25</v>
          </cell>
          <cell r="E1134"/>
          <cell r="F1134"/>
        </row>
        <row r="1135">
          <cell r="A1135" t="str">
            <v>PIN04</v>
          </cell>
          <cell r="B1135" t="str">
            <v>Trazo y pintura de lineas de trafico en piso</v>
          </cell>
          <cell r="C1135" t="str">
            <v>ML</v>
          </cell>
          <cell r="D1135">
            <v>5.25</v>
          </cell>
          <cell r="E1135"/>
          <cell r="F1135">
            <v>6.0374999999999996</v>
          </cell>
        </row>
        <row r="1136">
          <cell r="A1136" t="str">
            <v>PIN05</v>
          </cell>
          <cell r="B1136" t="str">
            <v>Lijar muros, lavar con thinner y mano extra</v>
          </cell>
          <cell r="C1136" t="str">
            <v>M2</v>
          </cell>
          <cell r="D1136">
            <v>5.25</v>
          </cell>
          <cell r="E1136"/>
          <cell r="F1136">
            <v>6.0374999999999996</v>
          </cell>
        </row>
        <row r="1137">
          <cell r="A1137" t="str">
            <v>PIN06</v>
          </cell>
          <cell r="B1137" t="str">
            <v>Preparacion y pintura de estructuras de fierro</v>
          </cell>
          <cell r="C1137" t="str">
            <v>ML</v>
          </cell>
          <cell r="D1137">
            <v>5.7750000000000004</v>
          </cell>
          <cell r="E1137"/>
          <cell r="F1137">
            <v>6.6412500000000003</v>
          </cell>
        </row>
        <row r="1138">
          <cell r="A1138" t="str">
            <v>PIN07</v>
          </cell>
          <cell r="B1138" t="str">
            <v>Lijar muros y correr plaste, resane gral.</v>
          </cell>
          <cell r="C1138" t="str">
            <v>M2</v>
          </cell>
          <cell r="D1138">
            <v>5.25</v>
          </cell>
          <cell r="E1138"/>
          <cell r="F1138">
            <v>6.0374999999999996</v>
          </cell>
        </row>
        <row r="1139">
          <cell r="A1139" t="str">
            <v>PIN08</v>
          </cell>
          <cell r="B1139" t="str">
            <v>Trazo y pintura numeros estacionamiento</v>
          </cell>
          <cell r="C1139" t="str">
            <v>PZA</v>
          </cell>
          <cell r="D1139">
            <v>21</v>
          </cell>
          <cell r="E1139"/>
          <cell r="F1139">
            <v>24.15</v>
          </cell>
        </row>
        <row r="1140">
          <cell r="A1140" t="str">
            <v>PIN09</v>
          </cell>
          <cell r="B1140" t="str">
            <v>Pintura de tapas hidrantes contra incendio</v>
          </cell>
          <cell r="C1140" t="str">
            <v>PZA</v>
          </cell>
          <cell r="D1140">
            <v>36.75</v>
          </cell>
          <cell r="E1140"/>
          <cell r="F1140">
            <v>42.262499999999996</v>
          </cell>
        </row>
        <row r="1141">
          <cell r="A1141" t="str">
            <v>PIN10</v>
          </cell>
          <cell r="B1141" t="str">
            <v>Aplicar terracota en azotea a 2 manos</v>
          </cell>
          <cell r="C1141" t="str">
            <v>M2</v>
          </cell>
          <cell r="D1141">
            <v>12</v>
          </cell>
          <cell r="E1141"/>
          <cell r="F1141">
            <v>13.799999999999999</v>
          </cell>
        </row>
        <row r="1142">
          <cell r="A1142" t="str">
            <v>PIN11</v>
          </cell>
          <cell r="B1142" t="str">
            <v>Pintura de numeros de lockers</v>
          </cell>
          <cell r="C1142" t="str">
            <v>PZA</v>
          </cell>
          <cell r="D1142">
            <v>5.7750000000000004</v>
          </cell>
          <cell r="E1142"/>
          <cell r="F1142">
            <v>6.6412500000000003</v>
          </cell>
        </row>
        <row r="1143">
          <cell r="A1143" t="str">
            <v>PIN12</v>
          </cell>
          <cell r="B1143" t="str">
            <v>Preparacion y pintura de lamparas</v>
          </cell>
          <cell r="C1143" t="str">
            <v>PZA</v>
          </cell>
          <cell r="D1143">
            <v>21</v>
          </cell>
          <cell r="E1143"/>
          <cell r="F1143">
            <v>24.15</v>
          </cell>
        </row>
        <row r="1144">
          <cell r="A1144" t="str">
            <v>PINSOLE</v>
          </cell>
          <cell r="B1144" t="str">
            <v>Pintura de soleras de tension</v>
          </cell>
          <cell r="C1144" t="str">
            <v>ML</v>
          </cell>
          <cell r="D1144">
            <v>11.8125</v>
          </cell>
          <cell r="F1144">
            <v>13.584375</v>
          </cell>
        </row>
        <row r="1145">
          <cell r="A1145" t="str">
            <v>PIS3</v>
          </cell>
          <cell r="B1145" t="str">
            <v>Piso de cemento 3 cms espesor acabado pulido / apalillado</v>
          </cell>
          <cell r="C1145" t="str">
            <v>M2</v>
          </cell>
          <cell r="D1145">
            <v>41.767200000000003</v>
          </cell>
          <cell r="E1145">
            <v>1</v>
          </cell>
          <cell r="F1145">
            <v>48.03228</v>
          </cell>
        </row>
        <row r="1146">
          <cell r="A1146" t="str">
            <v>PIS5</v>
          </cell>
          <cell r="B1146" t="str">
            <v>Piso de cemento 5 cms espesor acabado pulido / apalillado</v>
          </cell>
          <cell r="C1146" t="str">
            <v>M2</v>
          </cell>
          <cell r="D1146">
            <v>53.700685714285719</v>
          </cell>
          <cell r="E1146">
            <v>1</v>
          </cell>
          <cell r="F1146">
            <v>61.755788571428575</v>
          </cell>
        </row>
        <row r="1147">
          <cell r="A1147" t="str">
            <v>PIS08</v>
          </cell>
          <cell r="B1147" t="str">
            <v>Piso de cemento 8 cms espesor repellado</v>
          </cell>
          <cell r="C1147" t="str">
            <v>M2</v>
          </cell>
          <cell r="D1147">
            <v>64.257230769230773</v>
          </cell>
          <cell r="E1147">
            <v>1</v>
          </cell>
          <cell r="F1147">
            <v>73.895815384615389</v>
          </cell>
        </row>
        <row r="1148">
          <cell r="A1148" t="str">
            <v>PIS7</v>
          </cell>
          <cell r="B1148" t="str">
            <v>Piso de cemento 7 cms espesor acabado pulido / apalillado</v>
          </cell>
          <cell r="C1148" t="str">
            <v>M2</v>
          </cell>
          <cell r="D1148">
            <v>75.180959999999999</v>
          </cell>
          <cell r="E1148">
            <v>1</v>
          </cell>
          <cell r="F1148">
            <v>86.458103999999992</v>
          </cell>
        </row>
        <row r="1149">
          <cell r="A1149" t="str">
            <v>PIS72</v>
          </cell>
          <cell r="B1149" t="str">
            <v>Piso de cemento 7 cms espesor acabado pulido / apalillado a 2a h</v>
          </cell>
          <cell r="C1149" t="str">
            <v>M2</v>
          </cell>
          <cell r="D1149">
            <v>86.458103999999992</v>
          </cell>
          <cell r="E1149">
            <v>1</v>
          </cell>
          <cell r="F1149">
            <v>99.426819599999988</v>
          </cell>
        </row>
        <row r="1150">
          <cell r="A1150" t="str">
            <v>PISGRA</v>
          </cell>
          <cell r="B1150" t="str">
            <v>Piso de concreto /granito deslavado incluye malla y cimbra</v>
          </cell>
          <cell r="C1150" t="str">
            <v>M2</v>
          </cell>
          <cell r="D1150">
            <v>150.36192</v>
          </cell>
          <cell r="E1150">
            <v>1</v>
          </cell>
          <cell r="F1150">
            <v>172.91620799999998</v>
          </cell>
        </row>
        <row r="1151">
          <cell r="A1151" t="str">
            <v>PLA01</v>
          </cell>
          <cell r="B1151" t="str">
            <v>Plantilla de piedra esp. 20 cms promedio</v>
          </cell>
          <cell r="C1151" t="str">
            <v>M2</v>
          </cell>
          <cell r="D1151">
            <v>62.650800000000004</v>
          </cell>
          <cell r="E1151">
            <v>1</v>
          </cell>
          <cell r="F1151">
            <v>72.048419999999993</v>
          </cell>
        </row>
        <row r="1152">
          <cell r="A1152" t="str">
            <v>PLA10</v>
          </cell>
          <cell r="B1152" t="str">
            <v>Plantilla de concreto pobre esp. 10 cms</v>
          </cell>
          <cell r="C1152" t="str">
            <v>M2</v>
          </cell>
          <cell r="D1152">
            <v>50.120640000000002</v>
          </cell>
          <cell r="E1152">
            <v>1</v>
          </cell>
          <cell r="F1152">
            <v>57.638735999999994</v>
          </cell>
        </row>
        <row r="1153">
          <cell r="A1153" t="str">
            <v>PLA5</v>
          </cell>
          <cell r="B1153" t="str">
            <v>Plantilla de concreto pobre esp. 5 cms</v>
          </cell>
          <cell r="C1153" t="str">
            <v>M2</v>
          </cell>
          <cell r="D1153">
            <v>25.060320000000001</v>
          </cell>
          <cell r="E1153">
            <v>1</v>
          </cell>
          <cell r="F1153">
            <v>28.819367999999997</v>
          </cell>
        </row>
        <row r="1154">
          <cell r="A1154" t="str">
            <v>PLA7</v>
          </cell>
          <cell r="B1154" t="str">
            <v>Plantilla de concreto pobre esp. 7 cms</v>
          </cell>
          <cell r="C1154" t="str">
            <v>M2</v>
          </cell>
          <cell r="D1154">
            <v>30.072384000000003</v>
          </cell>
          <cell r="E1154">
            <v>1</v>
          </cell>
          <cell r="F1154">
            <v>34.583241600000001</v>
          </cell>
        </row>
        <row r="1155">
          <cell r="A1155" t="str">
            <v>PLAS</v>
          </cell>
          <cell r="B1155" t="str">
            <v>Colocar plastico en muros o piso</v>
          </cell>
          <cell r="C1155" t="str">
            <v>M2</v>
          </cell>
          <cell r="D1155">
            <v>4.1767200000000004</v>
          </cell>
          <cell r="E1155"/>
          <cell r="F1155">
            <v>4.8032279999999998</v>
          </cell>
        </row>
        <row r="1156">
          <cell r="A1156" t="str">
            <v>PODA</v>
          </cell>
          <cell r="B1156" t="str">
            <v>Poda de arbol diametro de 10 a 30 cms c/desenraice</v>
          </cell>
          <cell r="C1156" t="str">
            <v>PZA</v>
          </cell>
          <cell r="D1156">
            <v>202.24117894736844</v>
          </cell>
          <cell r="E1156"/>
          <cell r="F1156">
            <v>232.5773557894737</v>
          </cell>
        </row>
        <row r="1157">
          <cell r="A1157" t="str">
            <v>PORCE</v>
          </cell>
          <cell r="B1157" t="str">
            <v>Instalacion de porcelanato en muros y pisos</v>
          </cell>
          <cell r="C1157" t="str">
            <v>M2</v>
          </cell>
          <cell r="D1157">
            <v>100</v>
          </cell>
          <cell r="E1157"/>
          <cell r="F1157">
            <v>114.99999999999999</v>
          </cell>
        </row>
        <row r="1158">
          <cell r="A1158" t="str">
            <v>POSTE</v>
          </cell>
          <cell r="B1158" t="str">
            <v>Recibir poste de cedula  30 para puerta acceso</v>
          </cell>
          <cell r="C1158" t="str">
            <v>PZA</v>
          </cell>
          <cell r="D1158">
            <v>300.72384</v>
          </cell>
          <cell r="E1158"/>
          <cell r="F1158">
            <v>345.83241599999997</v>
          </cell>
        </row>
        <row r="1159">
          <cell r="A1159" t="str">
            <v>POZO</v>
          </cell>
          <cell r="B1159" t="str">
            <v>Pozo de visita terminado diametro inf. 1.20 y sup. 0.60</v>
          </cell>
          <cell r="C1159" t="str">
            <v>ML</v>
          </cell>
          <cell r="D1159">
            <v>839.34086124401927</v>
          </cell>
          <cell r="E1159"/>
          <cell r="F1159">
            <v>965.24199043062208</v>
          </cell>
        </row>
        <row r="1160">
          <cell r="A1160" t="str">
            <v>PRE20</v>
          </cell>
          <cell r="B1160" t="str">
            <v>Pretil de muro 20 alt. 70 cms c/ acarreo y nivelacion</v>
          </cell>
          <cell r="C1160" t="str">
            <v>ML</v>
          </cell>
          <cell r="D1160">
            <v>93.976200000000006</v>
          </cell>
          <cell r="E1160">
            <v>1</v>
          </cell>
          <cell r="F1160">
            <v>108.07263</v>
          </cell>
        </row>
        <row r="1161">
          <cell r="A1161" t="str">
            <v>PRE25</v>
          </cell>
          <cell r="B1161" t="str">
            <v>Pretil de muro de 25 hasta 70 cms altura</v>
          </cell>
          <cell r="C1161" t="str">
            <v>ML</v>
          </cell>
          <cell r="D1161">
            <v>115.66301538461539</v>
          </cell>
          <cell r="E1161">
            <v>1</v>
          </cell>
          <cell r="F1161">
            <v>133.01246769230769</v>
          </cell>
        </row>
        <row r="1162">
          <cell r="A1162" t="str">
            <v>PRECA</v>
          </cell>
          <cell r="B1162" t="str">
            <v>Pretil de muro capuchino alt. 70 cms c/ acarreo y nivelacion</v>
          </cell>
          <cell r="C1162" t="str">
            <v>ML</v>
          </cell>
          <cell r="D1162">
            <v>68.346327272727279</v>
          </cell>
          <cell r="E1162">
            <v>1</v>
          </cell>
          <cell r="F1162">
            <v>78.598276363636359</v>
          </cell>
        </row>
        <row r="1163">
          <cell r="A1163" t="str">
            <v>PRESO</v>
          </cell>
          <cell r="B1163" t="str">
            <v>Pretil de muro soga alt. 70 cms</v>
          </cell>
          <cell r="C1163" t="str">
            <v>ML</v>
          </cell>
          <cell r="D1163">
            <v>53.700685714285719</v>
          </cell>
          <cell r="E1163">
            <v>1</v>
          </cell>
          <cell r="F1163">
            <v>61.755788571428575</v>
          </cell>
        </row>
        <row r="1164">
          <cell r="A1164" t="str">
            <v>PRETE</v>
          </cell>
          <cell r="B1164" t="str">
            <v>Pretil de muro tezon alt. 70 cms</v>
          </cell>
          <cell r="C1164" t="str">
            <v>ML</v>
          </cell>
          <cell r="D1164">
            <v>107.40137142857144</v>
          </cell>
          <cell r="E1164">
            <v>1</v>
          </cell>
          <cell r="F1164">
            <v>123.51157714285715</v>
          </cell>
        </row>
        <row r="1165">
          <cell r="A1165" t="str">
            <v>PUL01</v>
          </cell>
          <cell r="B1165" t="str">
            <v>Pulido de piso con maquina</v>
          </cell>
          <cell r="C1165" t="str">
            <v>M2</v>
          </cell>
          <cell r="D1165">
            <v>25.060320000000001</v>
          </cell>
          <cell r="E1165"/>
          <cell r="F1165">
            <v>28.819367999999997</v>
          </cell>
        </row>
        <row r="1166">
          <cell r="A1166" t="str">
            <v>RAJU</v>
          </cell>
          <cell r="B1166" t="str">
            <v>Instalacion de piedrita rajuela en muro de piedra</v>
          </cell>
          <cell r="C1166" t="str">
            <v>M2</v>
          </cell>
          <cell r="D1166">
            <v>182.03622276029057</v>
          </cell>
          <cell r="E1166"/>
          <cell r="F1166">
            <v>209.34165617433413</v>
          </cell>
        </row>
        <row r="1167">
          <cell r="A1167" t="str">
            <v>RAJUELA</v>
          </cell>
          <cell r="B1167" t="str">
            <v xml:space="preserve">Muro de piedra de rajuela </v>
          </cell>
          <cell r="C1167" t="str">
            <v>M2</v>
          </cell>
          <cell r="D1167">
            <v>971.33023255813953</v>
          </cell>
          <cell r="E1167"/>
          <cell r="F1167">
            <v>1117.0297674418603</v>
          </cell>
        </row>
        <row r="1168">
          <cell r="A1168" t="str">
            <v>RASPT</v>
          </cell>
          <cell r="B1168" t="str">
            <v>Raspado de tecata de lechada de cemento suelta sobre ladrillo</v>
          </cell>
          <cell r="C1168" t="str">
            <v>M2</v>
          </cell>
          <cell r="D1168">
            <v>8.4472988764044956</v>
          </cell>
          <cell r="E1168"/>
          <cell r="F1168">
            <v>9.7143937078651685</v>
          </cell>
        </row>
        <row r="1169">
          <cell r="A1169" t="str">
            <v>REB01</v>
          </cell>
          <cell r="B1169" t="str">
            <v>Rebajar castillo, dala</v>
          </cell>
          <cell r="C1169" t="str">
            <v>ML</v>
          </cell>
          <cell r="D1169">
            <v>57.831507692307696</v>
          </cell>
          <cell r="E1169"/>
          <cell r="F1169">
            <v>66.506233846153847</v>
          </cell>
        </row>
        <row r="1170">
          <cell r="A1170" t="str">
            <v>REB02</v>
          </cell>
          <cell r="B1170" t="str">
            <v>Rebajar trabe de concreto marro y cincel</v>
          </cell>
          <cell r="C1170" t="str">
            <v>ML</v>
          </cell>
          <cell r="D1170">
            <v>125.30160000000001</v>
          </cell>
          <cell r="E1170"/>
          <cell r="F1170">
            <v>144.09683999999999</v>
          </cell>
        </row>
        <row r="1171">
          <cell r="A1171" t="str">
            <v>REC01</v>
          </cell>
          <cell r="B1171" t="str">
            <v>Recibir caja con chalupa</v>
          </cell>
          <cell r="C1171" t="str">
            <v>PZA</v>
          </cell>
          <cell r="D1171">
            <v>37.590479999999999</v>
          </cell>
          <cell r="E1171">
            <v>1</v>
          </cell>
          <cell r="F1171">
            <v>43.229051999999996</v>
          </cell>
        </row>
        <row r="1172">
          <cell r="A1172" t="str">
            <v>REC02</v>
          </cell>
          <cell r="B1172" t="str">
            <v>Recibir cespol con revoltura</v>
          </cell>
          <cell r="C1172" t="str">
            <v>PZA</v>
          </cell>
          <cell r="D1172">
            <v>83.534400000000005</v>
          </cell>
          <cell r="E1172">
            <v>1</v>
          </cell>
          <cell r="F1172">
            <v>96.06456</v>
          </cell>
        </row>
        <row r="1173">
          <cell r="A1173" t="str">
            <v>REC03</v>
          </cell>
          <cell r="B1173" t="str">
            <v>Recibir contramarco de registro</v>
          </cell>
          <cell r="C1173" t="str">
            <v>PZA</v>
          </cell>
          <cell r="D1173">
            <v>93.976200000000006</v>
          </cell>
          <cell r="E1173"/>
          <cell r="F1173">
            <v>108.07263</v>
          </cell>
        </row>
        <row r="1174">
          <cell r="A1174" t="str">
            <v>REC04</v>
          </cell>
          <cell r="B1174" t="str">
            <v>Recibir placa o ancla en dado p/columna</v>
          </cell>
          <cell r="C1174" t="str">
            <v>PZA</v>
          </cell>
          <cell r="D1174">
            <v>187.95240000000001</v>
          </cell>
          <cell r="E1174"/>
          <cell r="F1174">
            <v>216.14526000000001</v>
          </cell>
        </row>
        <row r="1175">
          <cell r="A1175" t="str">
            <v>REC05</v>
          </cell>
          <cell r="B1175" t="str">
            <v>Recibir tuberia o poliducto</v>
          </cell>
          <cell r="C1175" t="str">
            <v>ML</v>
          </cell>
          <cell r="D1175">
            <v>15.036192000000002</v>
          </cell>
          <cell r="E1175"/>
          <cell r="F1175">
            <v>17.2916208</v>
          </cell>
        </row>
        <row r="1176">
          <cell r="A1176" t="str">
            <v>REC06</v>
          </cell>
          <cell r="B1176" t="str">
            <v>Recibir tubo de drenaje 10 "</v>
          </cell>
          <cell r="C1176" t="str">
            <v>ML</v>
          </cell>
          <cell r="D1176">
            <v>50.120640000000002</v>
          </cell>
          <cell r="E1176"/>
          <cell r="F1176">
            <v>57.638735999999994</v>
          </cell>
        </row>
        <row r="1177">
          <cell r="A1177" t="str">
            <v>REC07</v>
          </cell>
          <cell r="B1177" t="str">
            <v>Recibir tubo de drenaje 4 "</v>
          </cell>
          <cell r="C1177" t="str">
            <v>ML</v>
          </cell>
          <cell r="D1177">
            <v>25.060320000000001</v>
          </cell>
          <cell r="E1177"/>
          <cell r="F1177">
            <v>28.819367999999997</v>
          </cell>
        </row>
        <row r="1178">
          <cell r="A1178" t="str">
            <v>REC08</v>
          </cell>
          <cell r="B1178" t="str">
            <v>Recibir tubo de drenaje 6 "</v>
          </cell>
          <cell r="C1178" t="str">
            <v>ML</v>
          </cell>
          <cell r="D1178">
            <v>30.072384000000003</v>
          </cell>
          <cell r="E1178"/>
          <cell r="F1178">
            <v>34.583241600000001</v>
          </cell>
        </row>
        <row r="1179">
          <cell r="A1179" t="str">
            <v>REC09</v>
          </cell>
          <cell r="B1179" t="str">
            <v>Recibir tubo de drenaje 8 "</v>
          </cell>
          <cell r="C1179" t="str">
            <v>ML</v>
          </cell>
          <cell r="D1179">
            <v>37.590479999999999</v>
          </cell>
          <cell r="E1179"/>
          <cell r="F1179">
            <v>43.229051999999996</v>
          </cell>
        </row>
        <row r="1180">
          <cell r="A1180" t="str">
            <v>REC10</v>
          </cell>
          <cell r="B1180" t="str">
            <v>Recibir viga de acero sobre macizo</v>
          </cell>
          <cell r="C1180" t="str">
            <v>PZA</v>
          </cell>
          <cell r="D1180">
            <v>83.534400000000005</v>
          </cell>
          <cell r="E1180"/>
          <cell r="F1180">
            <v>96.06456</v>
          </cell>
        </row>
        <row r="1181">
          <cell r="A1181" t="str">
            <v>REC11</v>
          </cell>
          <cell r="B1181" t="str">
            <v>Recorte de enjarre muros o bovedas</v>
          </cell>
          <cell r="C1181" t="str">
            <v>ML</v>
          </cell>
          <cell r="D1181">
            <v>10.551713684210528</v>
          </cell>
          <cell r="E1181"/>
          <cell r="F1181">
            <v>12.134470736842106</v>
          </cell>
        </row>
        <row r="1182">
          <cell r="A1182" t="str">
            <v>REC12</v>
          </cell>
          <cell r="B1182" t="str">
            <v>Recibir placa para anclado barandal</v>
          </cell>
          <cell r="C1182" t="str">
            <v>PZA</v>
          </cell>
          <cell r="D1182">
            <v>62.650800000000004</v>
          </cell>
          <cell r="E1182">
            <v>1</v>
          </cell>
          <cell r="F1182">
            <v>72.048419999999993</v>
          </cell>
        </row>
        <row r="1183">
          <cell r="A1183" t="str">
            <v>RECRES</v>
          </cell>
          <cell r="B1183" t="str">
            <v>Recibir y resanar ranura de poliducto en muro o piso</v>
          </cell>
          <cell r="C1183" t="str">
            <v>ML</v>
          </cell>
          <cell r="D1183">
            <v>25.270910924369751</v>
          </cell>
          <cell r="E1183">
            <v>1</v>
          </cell>
          <cell r="F1183">
            <v>29.061547563025211</v>
          </cell>
        </row>
        <row r="1184">
          <cell r="A1184" t="str">
            <v>REG01</v>
          </cell>
          <cell r="B1184" t="str">
            <v>Registro sanitario terminado alt hasta 1.50 con plantilla</v>
          </cell>
          <cell r="C1184" t="str">
            <v>PZA</v>
          </cell>
          <cell r="D1184">
            <v>601.44767999999999</v>
          </cell>
          <cell r="E1184"/>
          <cell r="F1184">
            <v>691.66483199999993</v>
          </cell>
        </row>
        <row r="1185">
          <cell r="A1185" t="str">
            <v>REG02</v>
          </cell>
          <cell r="B1185" t="str">
            <v>Registro caja arenera terminado incluye plantilla</v>
          </cell>
          <cell r="C1185" t="str">
            <v>PZA</v>
          </cell>
          <cell r="D1185">
            <v>429.60548571428575</v>
          </cell>
          <cell r="E1185"/>
          <cell r="F1185">
            <v>494.0463085714286</v>
          </cell>
        </row>
        <row r="1186">
          <cell r="A1186" t="str">
            <v>REG03</v>
          </cell>
          <cell r="B1186" t="str">
            <v>Registro caja arenera con trampa central</v>
          </cell>
          <cell r="C1186" t="str">
            <v>PZA</v>
          </cell>
          <cell r="D1186">
            <v>791.3785263157896</v>
          </cell>
          <cell r="E1186"/>
          <cell r="F1186">
            <v>910.08530526315792</v>
          </cell>
        </row>
        <row r="1187">
          <cell r="A1187" t="str">
            <v>RELL01</v>
          </cell>
          <cell r="B1187" t="str">
            <v>Relleno con grava</v>
          </cell>
          <cell r="C1187" t="str">
            <v>M3</v>
          </cell>
          <cell r="D1187">
            <v>50.120640000000002</v>
          </cell>
          <cell r="E1187"/>
          <cell r="F1187">
            <v>57.638735999999994</v>
          </cell>
        </row>
        <row r="1188">
          <cell r="A1188" t="str">
            <v>RELL02</v>
          </cell>
          <cell r="B1188" t="str">
            <v>Relleno con jalcreto</v>
          </cell>
          <cell r="C1188" t="str">
            <v>M3</v>
          </cell>
          <cell r="D1188">
            <v>250.60320000000002</v>
          </cell>
          <cell r="E1188">
            <v>1</v>
          </cell>
          <cell r="F1188">
            <v>288.19367999999997</v>
          </cell>
        </row>
        <row r="1189">
          <cell r="A1189" t="str">
            <v>RELL03</v>
          </cell>
          <cell r="B1189" t="str">
            <v>Relleno c/ material producto excavacion a cada 20 cms</v>
          </cell>
          <cell r="C1189" t="str">
            <v>M3</v>
          </cell>
          <cell r="D1189">
            <v>44.224094117647063</v>
          </cell>
          <cell r="E1189"/>
          <cell r="F1189">
            <v>50.857708235294119</v>
          </cell>
        </row>
        <row r="1190">
          <cell r="A1190" t="str">
            <v>RELL04</v>
          </cell>
          <cell r="B1190" t="str">
            <v>Relleno con suelo cemento batido a mano y compactado</v>
          </cell>
          <cell r="C1190" t="str">
            <v>M3</v>
          </cell>
          <cell r="D1190">
            <v>163.08234273318871</v>
          </cell>
          <cell r="E1190"/>
          <cell r="F1190">
            <v>187.54469414316699</v>
          </cell>
        </row>
        <row r="1191">
          <cell r="A1191" t="str">
            <v>RELL05</v>
          </cell>
          <cell r="B1191" t="str">
            <v>Relleno con suelo cemento batido a mano y compactado con pizon</v>
          </cell>
          <cell r="C1191" t="str">
            <v>M3</v>
          </cell>
          <cell r="D1191">
            <v>179.85875598086128</v>
          </cell>
          <cell r="E1191"/>
          <cell r="F1191">
            <v>206.83756937799046</v>
          </cell>
        </row>
        <row r="1192">
          <cell r="A1192" t="str">
            <v>RELLT</v>
          </cell>
          <cell r="B1192" t="str">
            <v>Relleno de cepas y zapatas con tepetate capas 20 cms</v>
          </cell>
          <cell r="C1192" t="str">
            <v>M3</v>
          </cell>
          <cell r="D1192">
            <v>125.30160000000001</v>
          </cell>
          <cell r="E1192"/>
          <cell r="F1192">
            <v>144.09683999999999</v>
          </cell>
        </row>
        <row r="1193">
          <cell r="A1193" t="str">
            <v>RELLZAP</v>
          </cell>
          <cell r="B1193" t="str">
            <v>Relleno de zapatas con suelo cemento batido capas 20 cms</v>
          </cell>
          <cell r="C1193" t="str">
            <v>M3</v>
          </cell>
          <cell r="D1193">
            <v>163.08234273318871</v>
          </cell>
          <cell r="E1193"/>
          <cell r="F1193">
            <v>187.54469414316699</v>
          </cell>
        </row>
        <row r="1194">
          <cell r="A1194" t="str">
            <v>REN01</v>
          </cell>
          <cell r="B1194" t="str">
            <v>Cimiento renchido de 0.00-1.50</v>
          </cell>
          <cell r="C1194" t="str">
            <v>M3</v>
          </cell>
          <cell r="D1194">
            <v>250.60320000000002</v>
          </cell>
          <cell r="E1194">
            <v>1</v>
          </cell>
          <cell r="F1194">
            <v>288.19367999999997</v>
          </cell>
        </row>
        <row r="1195">
          <cell r="A1195" t="str">
            <v>REN02</v>
          </cell>
          <cell r="B1195" t="str">
            <v>Cimiento renchido de 1.50-3.00</v>
          </cell>
          <cell r="C1195" t="str">
            <v>M3</v>
          </cell>
          <cell r="D1195">
            <v>351.3128971962617</v>
          </cell>
          <cell r="E1195">
            <v>1</v>
          </cell>
          <cell r="F1195">
            <v>404.00983177570095</v>
          </cell>
        </row>
        <row r="1196">
          <cell r="A1196" t="str">
            <v>REP01</v>
          </cell>
          <cell r="B1196" t="str">
            <v>Repatinar viga</v>
          </cell>
          <cell r="C1196" t="str">
            <v>ML</v>
          </cell>
          <cell r="D1196">
            <v>12.53016</v>
          </cell>
          <cell r="E1196">
            <v>1</v>
          </cell>
          <cell r="F1196">
            <v>14.409683999999999</v>
          </cell>
        </row>
        <row r="1197">
          <cell r="A1197" t="str">
            <v>REP02</v>
          </cell>
          <cell r="B1197" t="str">
            <v>Repellado de hormigon, piso o concreto c/lechada</v>
          </cell>
          <cell r="C1197" t="str">
            <v>M2</v>
          </cell>
          <cell r="D1197">
            <v>25.060320000000001</v>
          </cell>
          <cell r="E1197">
            <v>1</v>
          </cell>
          <cell r="F1197">
            <v>28.819367999999997</v>
          </cell>
        </row>
        <row r="1198">
          <cell r="A1198" t="str">
            <v>REP03</v>
          </cell>
          <cell r="B1198" t="str">
            <v>Repizon esp. 15 cms con colado y perfilado</v>
          </cell>
          <cell r="C1198" t="str">
            <v>ML</v>
          </cell>
          <cell r="D1198">
            <v>375.90480000000002</v>
          </cell>
          <cell r="E1198">
            <v>1</v>
          </cell>
          <cell r="F1198">
            <v>432.29052000000001</v>
          </cell>
        </row>
        <row r="1199">
          <cell r="A1199" t="str">
            <v>REP03C</v>
          </cell>
          <cell r="B1199" t="str">
            <v>Repizon esp. 25 cms con colado y perfilado en cocinas</v>
          </cell>
          <cell r="C1199" t="str">
            <v>ML</v>
          </cell>
          <cell r="D1199">
            <v>375.90480000000002</v>
          </cell>
          <cell r="E1199">
            <v>1</v>
          </cell>
          <cell r="F1199">
            <v>432.29052000000001</v>
          </cell>
        </row>
        <row r="1200">
          <cell r="A1200" t="str">
            <v>RESID</v>
          </cell>
          <cell r="B1200" t="str">
            <v>RESIDENCIA DE OBRA</v>
          </cell>
          <cell r="C1200" t="str">
            <v>LOTE</v>
          </cell>
          <cell r="D1200">
            <v>100</v>
          </cell>
          <cell r="E1200"/>
          <cell r="F1200"/>
        </row>
        <row r="1201">
          <cell r="A1201" t="str">
            <v>RES01</v>
          </cell>
          <cell r="B1201" t="str">
            <v>Resane de enjarre por ranuras</v>
          </cell>
          <cell r="C1201" t="str">
            <v>ML</v>
          </cell>
          <cell r="D1201">
            <v>18.79524</v>
          </cell>
          <cell r="E1201">
            <v>1</v>
          </cell>
          <cell r="F1201">
            <v>21.614525999999998</v>
          </cell>
        </row>
        <row r="1202">
          <cell r="A1202" t="str">
            <v>SABT</v>
          </cell>
          <cell r="B1202" t="str">
            <v>Sabado por la tarde</v>
          </cell>
          <cell r="C1202" t="str">
            <v>LOTE</v>
          </cell>
          <cell r="D1202">
            <v>100</v>
          </cell>
          <cell r="E1202"/>
          <cell r="F1202">
            <v>100</v>
          </cell>
        </row>
        <row r="1203">
          <cell r="A1203" t="str">
            <v>SAR01</v>
          </cell>
          <cell r="B1203" t="str">
            <v>Sardinel cimbrado ,colado y perfilado</v>
          </cell>
          <cell r="C1203" t="str">
            <v>ML</v>
          </cell>
          <cell r="D1203">
            <v>187.95240000000001</v>
          </cell>
          <cell r="E1203">
            <v>1</v>
          </cell>
          <cell r="F1203">
            <v>216.14526000000001</v>
          </cell>
        </row>
        <row r="1204">
          <cell r="A1204" t="str">
            <v>SAR02</v>
          </cell>
          <cell r="B1204" t="str">
            <v>Sarpeo de boveda</v>
          </cell>
          <cell r="C1204" t="str">
            <v>M2</v>
          </cell>
          <cell r="D1204">
            <v>30.072384000000003</v>
          </cell>
          <cell r="E1204">
            <v>1</v>
          </cell>
          <cell r="F1204">
            <v>34.583241600000001</v>
          </cell>
        </row>
        <row r="1205">
          <cell r="A1205" t="str">
            <v>SAR03</v>
          </cell>
          <cell r="B1205" t="str">
            <v>Sarpeo de dalas y castillos</v>
          </cell>
          <cell r="C1205" t="str">
            <v>ML</v>
          </cell>
          <cell r="D1205">
            <v>8.3534400000000009</v>
          </cell>
          <cell r="E1205">
            <v>1</v>
          </cell>
          <cell r="F1205">
            <v>9.6064559999999997</v>
          </cell>
        </row>
        <row r="1206">
          <cell r="A1206" t="str">
            <v>SAR04</v>
          </cell>
          <cell r="B1206" t="str">
            <v>Sarpeo de muro con cemento</v>
          </cell>
          <cell r="C1206" t="str">
            <v>M2</v>
          </cell>
          <cell r="D1206">
            <v>20.048256000000002</v>
          </cell>
          <cell r="E1206">
            <v>1</v>
          </cell>
          <cell r="F1206">
            <v>23.055494400000001</v>
          </cell>
        </row>
        <row r="1207">
          <cell r="A1207" t="str">
            <v>SAR04f</v>
          </cell>
          <cell r="B1207" t="str">
            <v>Sarpeo de muro con manoseo para cubrir porocidad</v>
          </cell>
          <cell r="C1207" t="str">
            <v>M2</v>
          </cell>
          <cell r="D1207">
            <v>28.915753846153848</v>
          </cell>
          <cell r="E1207">
            <v>1</v>
          </cell>
          <cell r="F1207">
            <v>33.253116923076924</v>
          </cell>
        </row>
        <row r="1208">
          <cell r="A1208" t="str">
            <v>SAR05</v>
          </cell>
          <cell r="B1208" t="str">
            <v>Sarpeo de panel</v>
          </cell>
          <cell r="C1208" t="str">
            <v>M2</v>
          </cell>
          <cell r="D1208">
            <v>25.060320000000001</v>
          </cell>
          <cell r="E1208">
            <v>1</v>
          </cell>
          <cell r="F1208">
            <v>28.819367999999997</v>
          </cell>
        </row>
        <row r="1209">
          <cell r="A1209" t="str">
            <v>SAR06</v>
          </cell>
          <cell r="B1209" t="str">
            <v>Sarpeo de vigas</v>
          </cell>
          <cell r="C1209" t="str">
            <v>ML</v>
          </cell>
          <cell r="D1209">
            <v>12.53016</v>
          </cell>
          <cell r="E1209">
            <v>1</v>
          </cell>
          <cell r="F1209">
            <v>14.409683999999999</v>
          </cell>
        </row>
        <row r="1210">
          <cell r="A1210" t="str">
            <v>SAR07</v>
          </cell>
          <cell r="B1210" t="str">
            <v>sarpeo de columnas o vigas con crest y festerbond</v>
          </cell>
          <cell r="C1210" t="str">
            <v>ML</v>
          </cell>
          <cell r="D1210">
            <v>8.3534400000000009</v>
          </cell>
          <cell r="E1210">
            <v>1</v>
          </cell>
          <cell r="F1210">
            <v>9.6064559999999997</v>
          </cell>
        </row>
        <row r="1211">
          <cell r="A1211" t="str">
            <v>SELLS</v>
          </cell>
          <cell r="B1211" t="str">
            <v>Sellado con silicon en esquinas muros ,muebles y puertas</v>
          </cell>
          <cell r="C1211" t="str">
            <v>ML</v>
          </cell>
          <cell r="D1211">
            <v>5.7831507692307698</v>
          </cell>
          <cell r="E1211"/>
          <cell r="F1211">
            <v>6.6506233846153844</v>
          </cell>
        </row>
        <row r="1212">
          <cell r="A1212" t="str">
            <v>SILL01</v>
          </cell>
          <cell r="B1212" t="str">
            <v>Silletas para mallalack</v>
          </cell>
          <cell r="C1212" t="str">
            <v>PZA</v>
          </cell>
          <cell r="D1212">
            <v>10.024128000000001</v>
          </cell>
          <cell r="E1212"/>
          <cell r="F1212">
            <v>11.5277472</v>
          </cell>
        </row>
        <row r="1213">
          <cell r="A1213" t="str">
            <v>SOL01</v>
          </cell>
          <cell r="B1213" t="str">
            <v>Soldadura estructural de perfiles metalicos</v>
          </cell>
          <cell r="C1213" t="str">
            <v>KG</v>
          </cell>
          <cell r="D1213">
            <v>5.25</v>
          </cell>
          <cell r="E1213"/>
          <cell r="F1213"/>
        </row>
        <row r="1214">
          <cell r="A1214" t="str">
            <v>SOL02</v>
          </cell>
          <cell r="B1214" t="str">
            <v>Soldadura estructural de perfiles laminares</v>
          </cell>
          <cell r="C1214" t="str">
            <v>KG</v>
          </cell>
          <cell r="D1214">
            <v>7.5600000000000005</v>
          </cell>
          <cell r="E1214"/>
          <cell r="F1214"/>
        </row>
        <row r="1215">
          <cell r="A1215" t="str">
            <v>SOL03</v>
          </cell>
          <cell r="B1215" t="str">
            <v>Punteada con soldadura en varillas</v>
          </cell>
          <cell r="C1215" t="str">
            <v>PZA</v>
          </cell>
          <cell r="D1215"/>
          <cell r="E1215"/>
          <cell r="F1215"/>
        </row>
        <row r="1216">
          <cell r="A1216" t="str">
            <v>TAP01</v>
          </cell>
          <cell r="B1216" t="str">
            <v>Tapa de registro armada,cimbrada y colada</v>
          </cell>
          <cell r="C1216" t="str">
            <v>PZA</v>
          </cell>
          <cell r="D1216">
            <v>93.976200000000006</v>
          </cell>
          <cell r="E1216">
            <v>1</v>
          </cell>
          <cell r="F1216">
            <v>108.07263</v>
          </cell>
        </row>
        <row r="1217">
          <cell r="A1217" t="str">
            <v>TAP02</v>
          </cell>
          <cell r="B1217" t="str">
            <v>Taponeo de muro o pasada registro o cimiento</v>
          </cell>
          <cell r="C1217" t="str">
            <v>PZA</v>
          </cell>
          <cell r="D1217">
            <v>62.650800000000004</v>
          </cell>
          <cell r="E1217">
            <v>1</v>
          </cell>
          <cell r="F1217">
            <v>72.048419999999993</v>
          </cell>
        </row>
        <row r="1218">
          <cell r="A1218" t="str">
            <v>TELA1</v>
          </cell>
          <cell r="B1218" t="str">
            <v>Colocacion de tela de alambre en boveda</v>
          </cell>
          <cell r="C1218" t="str">
            <v>M2</v>
          </cell>
          <cell r="D1218">
            <v>30.072384000000003</v>
          </cell>
          <cell r="E1218"/>
          <cell r="F1218">
            <v>34.583241600000001</v>
          </cell>
        </row>
        <row r="1219">
          <cell r="A1219" t="str">
            <v>TELA2</v>
          </cell>
          <cell r="B1219" t="str">
            <v>Colocacion de tela de alambre en dala o castillos</v>
          </cell>
          <cell r="C1219" t="str">
            <v>ML</v>
          </cell>
          <cell r="D1219">
            <v>15.036192000000002</v>
          </cell>
          <cell r="E1219"/>
          <cell r="F1219">
            <v>17.2916208</v>
          </cell>
        </row>
        <row r="1220">
          <cell r="A1220" t="str">
            <v>TELA3</v>
          </cell>
          <cell r="B1220" t="str">
            <v>Colocacion de tela de alambre en muro</v>
          </cell>
          <cell r="C1220" t="str">
            <v>M2</v>
          </cell>
          <cell r="D1220">
            <v>21.480274285714287</v>
          </cell>
          <cell r="E1220"/>
          <cell r="F1220">
            <v>24.702315428571428</v>
          </cell>
        </row>
        <row r="1221">
          <cell r="A1221" t="str">
            <v>TELA4</v>
          </cell>
          <cell r="B1221" t="str">
            <v>Colocacion de tela de alambre en azotea</v>
          </cell>
          <cell r="C1221" t="str">
            <v>M2</v>
          </cell>
          <cell r="D1221">
            <v>15.036192000000002</v>
          </cell>
          <cell r="E1221"/>
          <cell r="F1221">
            <v>17.2916208</v>
          </cell>
        </row>
        <row r="1222">
          <cell r="A1222" t="str">
            <v>TELA5</v>
          </cell>
          <cell r="B1222" t="str">
            <v>Colocacion de tela de alambre sobre cimbra c/amarre a trabes</v>
          </cell>
          <cell r="C1222" t="str">
            <v>M2</v>
          </cell>
          <cell r="D1222">
            <v>7.5180960000000008</v>
          </cell>
          <cell r="E1222"/>
          <cell r="F1222">
            <v>8.6458104000000002</v>
          </cell>
        </row>
        <row r="1223">
          <cell r="A1223" t="str">
            <v>TIR01</v>
          </cell>
          <cell r="B1223" t="str">
            <v>Tirantes de varilla en boveda</v>
          </cell>
          <cell r="C1223" t="str">
            <v>ML</v>
          </cell>
          <cell r="D1223">
            <v>18.79524</v>
          </cell>
          <cell r="E1223"/>
          <cell r="F1223">
            <v>21.614525999999998</v>
          </cell>
        </row>
        <row r="1224">
          <cell r="A1224" t="str">
            <v>TOPE</v>
          </cell>
          <cell r="B1224" t="str">
            <v>Tope, arm.cimbra, colado y anclado</v>
          </cell>
          <cell r="C1224" t="str">
            <v>PZA</v>
          </cell>
          <cell r="D1224">
            <v>93.976200000000006</v>
          </cell>
          <cell r="E1224"/>
          <cell r="F1224">
            <v>108.07263</v>
          </cell>
        </row>
        <row r="1225">
          <cell r="A1225" t="str">
            <v>TOPE2</v>
          </cell>
          <cell r="B1225" t="str">
            <v>Trazo, nivelacion y recibir tope prefabricado con masilla</v>
          </cell>
          <cell r="C1225" t="str">
            <v>PZA</v>
          </cell>
          <cell r="D1225">
            <v>46.988100000000003</v>
          </cell>
          <cell r="E1225"/>
          <cell r="F1225">
            <v>54.036315000000002</v>
          </cell>
        </row>
        <row r="1226">
          <cell r="A1226" t="str">
            <v>TOPO1</v>
          </cell>
          <cell r="B1226" t="str">
            <v xml:space="preserve">Topografia </v>
          </cell>
          <cell r="C1226" t="str">
            <v>HORA</v>
          </cell>
          <cell r="D1226">
            <v>270</v>
          </cell>
          <cell r="E1226"/>
          <cell r="F1226"/>
        </row>
        <row r="1227">
          <cell r="A1227" t="str">
            <v>TOPO2</v>
          </cell>
          <cell r="B1227" t="str">
            <v xml:space="preserve">Topografia </v>
          </cell>
          <cell r="C1227" t="str">
            <v>HORA</v>
          </cell>
          <cell r="D1227">
            <v>297</v>
          </cell>
          <cell r="E1227"/>
          <cell r="F1227"/>
        </row>
        <row r="1228">
          <cell r="A1228" t="str">
            <v>TRA01</v>
          </cell>
          <cell r="B1228" t="str">
            <v>Traslapes en castillos y dalas</v>
          </cell>
          <cell r="C1228" t="str">
            <v>PZA</v>
          </cell>
          <cell r="D1228">
            <v>18.79524</v>
          </cell>
          <cell r="E1228"/>
          <cell r="F1228">
            <v>21.614525999999998</v>
          </cell>
        </row>
        <row r="1229">
          <cell r="A1229" t="str">
            <v>TRA02</v>
          </cell>
          <cell r="B1229" t="str">
            <v>Traslapes en varillas muro de panel</v>
          </cell>
          <cell r="C1229" t="str">
            <v>PZA</v>
          </cell>
          <cell r="D1229">
            <v>9.3976199999999999</v>
          </cell>
          <cell r="E1229"/>
          <cell r="F1229">
            <v>10.807262999999999</v>
          </cell>
        </row>
        <row r="1230">
          <cell r="A1230" t="str">
            <v>TRA03</v>
          </cell>
          <cell r="B1230" t="str">
            <v>Traspaleo 0.00-10.00 mts</v>
          </cell>
          <cell r="C1230" t="str">
            <v>M3</v>
          </cell>
          <cell r="D1230">
            <v>68.346327272727279</v>
          </cell>
          <cell r="E1230"/>
          <cell r="F1230">
            <v>78.598276363636359</v>
          </cell>
        </row>
        <row r="1231">
          <cell r="A1231" t="str">
            <v>TRA04</v>
          </cell>
          <cell r="B1231" t="str">
            <v>Traspaleo de 0.00-30.00 mts acarreo carretilla</v>
          </cell>
          <cell r="C1231" t="str">
            <v>M3</v>
          </cell>
          <cell r="D1231">
            <v>136.69265454545456</v>
          </cell>
          <cell r="E1231"/>
          <cell r="F1231">
            <v>157.19655272727272</v>
          </cell>
        </row>
        <row r="1232">
          <cell r="A1232" t="str">
            <v>TRA05</v>
          </cell>
          <cell r="B1232" t="str">
            <v>Traspaleo de 0.00-50.00 mts acarreo carretilla</v>
          </cell>
          <cell r="C1232" t="str">
            <v>M3</v>
          </cell>
          <cell r="D1232">
            <v>187.95240000000001</v>
          </cell>
          <cell r="E1232"/>
          <cell r="F1232">
            <v>216.14526000000001</v>
          </cell>
        </row>
        <row r="1233">
          <cell r="A1233" t="str">
            <v>TRA06</v>
          </cell>
          <cell r="B1233" t="str">
            <v>Traspaleo a botes mezcla o escombro distancia 15 mts</v>
          </cell>
          <cell r="C1233" t="str">
            <v>M3</v>
          </cell>
          <cell r="D1233">
            <v>150.36192</v>
          </cell>
          <cell r="E1233"/>
          <cell r="F1233">
            <v>172.91620799999998</v>
          </cell>
        </row>
        <row r="1234">
          <cell r="A1234" t="str">
            <v>TRA07</v>
          </cell>
          <cell r="B1234" t="str">
            <v>Trazo y nivelacion de terreno</v>
          </cell>
          <cell r="C1234" t="str">
            <v>M2</v>
          </cell>
          <cell r="D1234">
            <v>2.5060320000000003</v>
          </cell>
          <cell r="E1234"/>
          <cell r="F1234">
            <v>2.8819368000000001</v>
          </cell>
        </row>
        <row r="1235">
          <cell r="A1235" t="str">
            <v>TUBO38</v>
          </cell>
          <cell r="B1235" t="str">
            <v>Instalacion de tubo de concreto diametro 38 cms</v>
          </cell>
          <cell r="C1235" t="str">
            <v>ML</v>
          </cell>
          <cell r="D1235">
            <v>50.120640000000002</v>
          </cell>
          <cell r="E1235"/>
          <cell r="F1235">
            <v>57.638735999999994</v>
          </cell>
        </row>
        <row r="1236">
          <cell r="A1236" t="str">
            <v>TUBO45</v>
          </cell>
          <cell r="B1236" t="str">
            <v>Instalacion de tubo de concreto diametro 45 cms</v>
          </cell>
          <cell r="C1236" t="str">
            <v>ML</v>
          </cell>
          <cell r="D1236">
            <v>75.180959999999999</v>
          </cell>
          <cell r="E1236"/>
          <cell r="F1236">
            <v>86.458103999999992</v>
          </cell>
        </row>
        <row r="1237">
          <cell r="A1237" t="str">
            <v>VEL01</v>
          </cell>
          <cell r="B1237" t="str">
            <v>Velador</v>
          </cell>
          <cell r="C1237" t="str">
            <v>JORNAL</v>
          </cell>
          <cell r="D1237">
            <v>337.98</v>
          </cell>
          <cell r="E1237"/>
          <cell r="F1237">
            <v>240</v>
          </cell>
        </row>
        <row r="1238">
          <cell r="A1238" t="str">
            <v>VER01</v>
          </cell>
          <cell r="B1238" t="str">
            <v>Vertedero, forjado y terminado</v>
          </cell>
          <cell r="C1238" t="str">
            <v>ML</v>
          </cell>
          <cell r="D1238">
            <v>375.90480000000002</v>
          </cell>
          <cell r="E1238"/>
          <cell r="F1238">
            <v>432.29052000000001</v>
          </cell>
        </row>
        <row r="1239">
          <cell r="A1239" t="str">
            <v>VIAL</v>
          </cell>
          <cell r="B1239" t="str">
            <v>Instalacion de vialeta en pisos de estacionamiento</v>
          </cell>
          <cell r="C1239" t="str">
            <v>PZA</v>
          </cell>
          <cell r="D1239">
            <v>11.765408450704227</v>
          </cell>
          <cell r="E1239"/>
          <cell r="F1239">
            <v>13.53021971830986</v>
          </cell>
        </row>
        <row r="1240">
          <cell r="A1240" t="str">
            <v>VIGAMA</v>
          </cell>
          <cell r="B1240" t="str">
            <v>Corte, colocacion y nivelacion de viga de madera para cubiertas</v>
          </cell>
          <cell r="C1240" t="str">
            <v>ML</v>
          </cell>
          <cell r="D1240">
            <v>60.67874092009685</v>
          </cell>
          <cell r="E1240"/>
          <cell r="F1240">
            <v>69.780552058111368</v>
          </cell>
        </row>
        <row r="1241">
          <cell r="A1241" t="str">
            <v>VITRO</v>
          </cell>
          <cell r="B1241" t="str">
            <v>Vitroblock, instalacion por pza. incluye limpieza</v>
          </cell>
          <cell r="C1241" t="str">
            <v>PZA</v>
          </cell>
          <cell r="D1241">
            <v>24.251922580645164</v>
          </cell>
          <cell r="E1241"/>
          <cell r="F1241">
            <v>27.889710967741937</v>
          </cell>
        </row>
        <row r="1242">
          <cell r="A1242" t="str">
            <v>ZAP01</v>
          </cell>
          <cell r="B1242" t="str">
            <v>Colado de zapata rev. Hecha en obra, c/traspaleos</v>
          </cell>
          <cell r="C1242" t="str">
            <v>M3</v>
          </cell>
          <cell r="D1242">
            <v>375.90480000000002</v>
          </cell>
          <cell r="E1242">
            <v>1</v>
          </cell>
          <cell r="F1242">
            <v>432.29052000000001</v>
          </cell>
        </row>
        <row r="1243">
          <cell r="A1243" t="str">
            <v>ZAP02</v>
          </cell>
          <cell r="B1243" t="str">
            <v>Colado de zapata rev. Premezclada</v>
          </cell>
          <cell r="C1243" t="str">
            <v>M3</v>
          </cell>
          <cell r="D1243">
            <v>187.95240000000001</v>
          </cell>
          <cell r="E1243"/>
          <cell r="F1243">
            <v>216.14526000000001</v>
          </cell>
        </row>
        <row r="1244">
          <cell r="A1244" t="str">
            <v>ZAV01</v>
          </cell>
          <cell r="B1244" t="str">
            <v>Zavaleta con revoltura</v>
          </cell>
          <cell r="C1244" t="str">
            <v>ML</v>
          </cell>
          <cell r="D1244">
            <v>55.156685167464119</v>
          </cell>
          <cell r="E1244">
            <v>1</v>
          </cell>
          <cell r="F1244">
            <v>63.430187942583728</v>
          </cell>
        </row>
        <row r="1245">
          <cell r="A1245" t="str">
            <v>ZAV02</v>
          </cell>
          <cell r="B1245" t="str">
            <v>Zavaleta de 1/2 ladrillo</v>
          </cell>
          <cell r="C1245" t="str">
            <v>ML</v>
          </cell>
          <cell r="D1245">
            <v>35.971751196172256</v>
          </cell>
          <cell r="E1245">
            <v>1</v>
          </cell>
          <cell r="F1245">
            <v>41.367513875598092</v>
          </cell>
        </row>
        <row r="1246">
          <cell r="A1246" t="str">
            <v>ZAV03</v>
          </cell>
          <cell r="B1246" t="str">
            <v>Zavaleta ladrillo entero</v>
          </cell>
          <cell r="C1246" t="str">
            <v>ML</v>
          </cell>
          <cell r="D1246">
            <v>35.971751196172256</v>
          </cell>
          <cell r="E1246">
            <v>1</v>
          </cell>
          <cell r="F1246">
            <v>41.367513875598092</v>
          </cell>
        </row>
        <row r="1247">
          <cell r="A1247" t="str">
            <v>ZOC01</v>
          </cell>
          <cell r="B1247" t="str">
            <v>Zoclo de ceramica cortado</v>
          </cell>
          <cell r="C1247" t="str">
            <v>ML</v>
          </cell>
          <cell r="D1247">
            <v>53.700685714285719</v>
          </cell>
          <cell r="F1247">
            <v>61.755788571428575</v>
          </cell>
        </row>
        <row r="1248">
          <cell r="A1248" t="str">
            <v>ZOC01C</v>
          </cell>
          <cell r="B1248" t="str">
            <v>Zoclo de ceramica en casa habitacion</v>
          </cell>
          <cell r="C1248" t="str">
            <v>ML</v>
          </cell>
          <cell r="D1248">
            <v>30</v>
          </cell>
          <cell r="F1248">
            <v>34.5</v>
          </cell>
        </row>
        <row r="1249">
          <cell r="A1249" t="str">
            <v>ZOC02</v>
          </cell>
          <cell r="B1249" t="str">
            <v>Zoclo de ladrillo peron, incluye corte, ranura y resane</v>
          </cell>
          <cell r="C1249" t="str">
            <v>ML</v>
          </cell>
          <cell r="D1249">
            <v>100.24128</v>
          </cell>
          <cell r="F1249">
            <v>115.27747199999999</v>
          </cell>
        </row>
        <row r="1250">
          <cell r="A1250"/>
          <cell r="B1250"/>
          <cell r="C1250"/>
          <cell r="D1250"/>
          <cell r="E1250"/>
          <cell r="F1250"/>
        </row>
        <row r="1251">
          <cell r="A1251"/>
          <cell r="B1251"/>
          <cell r="C1251"/>
          <cell r="D1251"/>
          <cell r="E1251"/>
          <cell r="F1251"/>
        </row>
        <row r="1252">
          <cell r="A1252"/>
          <cell r="B1252"/>
          <cell r="C1252"/>
          <cell r="D1252"/>
          <cell r="E1252"/>
          <cell r="F1252"/>
        </row>
        <row r="1253">
          <cell r="A1253"/>
          <cell r="B1253"/>
          <cell r="C1253"/>
          <cell r="D1253"/>
          <cell r="E1253"/>
          <cell r="F1253"/>
        </row>
        <row r="1254">
          <cell r="A1254"/>
          <cell r="B1254"/>
          <cell r="C1254"/>
          <cell r="D1254"/>
          <cell r="E1254"/>
          <cell r="F1254"/>
        </row>
        <row r="1255">
          <cell r="A1255" t="str">
            <v>PONTO QUITO PRECIOS</v>
          </cell>
          <cell r="B1255"/>
          <cell r="D1255"/>
          <cell r="E1255"/>
          <cell r="F1255"/>
        </row>
        <row r="1256">
          <cell r="A1256"/>
          <cell r="B1256"/>
          <cell r="D1256"/>
          <cell r="E1256"/>
          <cell r="F1256"/>
        </row>
        <row r="1257">
          <cell r="A1257" t="str">
            <v>CVE</v>
          </cell>
          <cell r="B1257" t="str">
            <v>CONCEPTO</v>
          </cell>
          <cell r="C1257" t="str">
            <v>UNIDAD</v>
          </cell>
          <cell r="D1257" t="str">
            <v>P.UNIT.</v>
          </cell>
          <cell r="E1257"/>
          <cell r="F1257"/>
        </row>
        <row r="1258">
          <cell r="A1258"/>
          <cell r="B1258"/>
          <cell r="D1258"/>
          <cell r="E1258"/>
          <cell r="F1258"/>
        </row>
        <row r="1259">
          <cell r="A1259" t="str">
            <v>PQcc20x20</v>
          </cell>
          <cell r="B1259" t="str">
            <v>Armado de castillo 15x15 varilla 1/2" y est 3/8", cimbra y colado 20x20</v>
          </cell>
          <cell r="C1259" t="str">
            <v>ML</v>
          </cell>
          <cell r="D1259">
            <v>600</v>
          </cell>
          <cell r="E1259"/>
          <cell r="F1259"/>
        </row>
        <row r="1260">
          <cell r="A1260" t="str">
            <v>PQcc25x20</v>
          </cell>
          <cell r="B1260" t="str">
            <v>Armado de castillo 20x15 varilla 1/2" y est 3/8", cimbra y colado 25x20</v>
          </cell>
          <cell r="C1260" t="str">
            <v>ML</v>
          </cell>
          <cell r="D1260">
            <v>650</v>
          </cell>
          <cell r="E1260"/>
          <cell r="F1260"/>
        </row>
        <row r="1261">
          <cell r="A1261" t="str">
            <v>PQcc30x20</v>
          </cell>
          <cell r="B1261" t="str">
            <v>Armado de castillo 25x15 varilla 1/2" y est 3/8", cimbra y colado 30x20</v>
          </cell>
          <cell r="C1261" t="str">
            <v>ML</v>
          </cell>
          <cell r="D1261">
            <v>700</v>
          </cell>
          <cell r="E1261"/>
          <cell r="F1261"/>
        </row>
        <row r="1262">
          <cell r="A1262" t="str">
            <v>PQtb20x50</v>
          </cell>
          <cell r="B1262" t="str">
            <v>Armado de trabe de 45x15 varilla 1/2" y estribos 3/8" cimbra y colado 20x50</v>
          </cell>
          <cell r="C1262" t="str">
            <v>ML</v>
          </cell>
          <cell r="D1262">
            <v>1000</v>
          </cell>
          <cell r="E1262"/>
          <cell r="F1262"/>
        </row>
        <row r="1263">
          <cell r="A1263" t="str">
            <v>PQzap1x85</v>
          </cell>
          <cell r="B1263" t="str">
            <v>Armado de parrilla 1x85 varilla 1/2" @20 cms cimbra y colado 85x20</v>
          </cell>
          <cell r="C1263" t="str">
            <v>ML</v>
          </cell>
          <cell r="D1263">
            <v>800</v>
          </cell>
          <cell r="E1263"/>
          <cell r="F1263"/>
        </row>
        <row r="1264">
          <cell r="A1264" t="str">
            <v>PQbk14.20.40c</v>
          </cell>
          <cell r="B1264" t="str">
            <v>Muro de block de 14x20x40 capuchino colocando andamios h= 4mts</v>
          </cell>
          <cell r="C1264" t="str">
            <v>M2</v>
          </cell>
          <cell r="D1264">
            <v>200</v>
          </cell>
          <cell r="E1264"/>
          <cell r="F1264"/>
        </row>
        <row r="1265">
          <cell r="A1265" t="str">
            <v>PQbk14.20.40s</v>
          </cell>
          <cell r="B1265" t="str">
            <v>Muro de block de 14x20x40 soga colocando andamios h= 4mts</v>
          </cell>
          <cell r="C1265" t="str">
            <v>M2</v>
          </cell>
          <cell r="D1265">
            <v>200</v>
          </cell>
          <cell r="E1265"/>
          <cell r="F1265"/>
        </row>
        <row r="1266">
          <cell r="A1266" t="str">
            <v>PQbk14.20.40t</v>
          </cell>
          <cell r="B1266" t="str">
            <v>Muro de block de 14x20x40 tezon contencion 0-2.00 h</v>
          </cell>
          <cell r="C1266" t="str">
            <v>M2</v>
          </cell>
          <cell r="D1266">
            <v>400</v>
          </cell>
          <cell r="E1266"/>
          <cell r="F1266"/>
        </row>
        <row r="1267">
          <cell r="A1267" t="str">
            <v>PQbk14.20.40t2</v>
          </cell>
          <cell r="B1267" t="str">
            <v>Muro de block de 14x20x40 tezon contencion 2.00 h andamios</v>
          </cell>
          <cell r="C1267" t="str">
            <v>M2</v>
          </cell>
          <cell r="D1267">
            <v>500</v>
          </cell>
          <cell r="E1267"/>
          <cell r="F1267"/>
        </row>
        <row r="1268">
          <cell r="A1268" t="str">
            <v>PQmam1r80</v>
          </cell>
          <cell r="B1268" t="str">
            <v>Pegado de muro de piedra 1 rostro arranque 80 cms alto 1</v>
          </cell>
          <cell r="C1268" t="str">
            <v>ML</v>
          </cell>
          <cell r="D1268">
            <v>1000</v>
          </cell>
          <cell r="E1268"/>
          <cell r="F1268"/>
        </row>
        <row r="1269">
          <cell r="A1269" t="str">
            <v>PQmam1r80-60</v>
          </cell>
          <cell r="B1269" t="str">
            <v>Pegado de muro de piedra 1 rostro 80 a 60 cms alto 1</v>
          </cell>
          <cell r="C1269" t="str">
            <v>ML</v>
          </cell>
          <cell r="D1269">
            <v>1000</v>
          </cell>
          <cell r="E1269"/>
          <cell r="F1269"/>
        </row>
        <row r="1270">
          <cell r="A1270" t="str">
            <v>PQenj0-3</v>
          </cell>
          <cell r="B1270" t="str">
            <v>Enjarre repellado incluye malla en boquillas, sarpeo y enjarre 0-3.00</v>
          </cell>
          <cell r="C1270" t="str">
            <v>M2</v>
          </cell>
          <cell r="D1270">
            <v>250</v>
          </cell>
          <cell r="E1270"/>
          <cell r="F1270"/>
        </row>
        <row r="1271">
          <cell r="A1271" t="str">
            <v>PQenj3-5</v>
          </cell>
          <cell r="B1271" t="str">
            <v>Enjarre repellado incluye malla en boquillas, sarpeo y enjarre 3.00-5.00</v>
          </cell>
          <cell r="C1271" t="str">
            <v>M2</v>
          </cell>
          <cell r="D1271">
            <v>300</v>
          </cell>
          <cell r="E1271"/>
          <cell r="F1271"/>
        </row>
        <row r="1272">
          <cell r="A1272" t="str">
            <v>PQboq2b</v>
          </cell>
          <cell r="B1272" t="str">
            <v>Boquilla con boleado grueso por 2 lados</v>
          </cell>
          <cell r="C1272" t="str">
            <v>ML</v>
          </cell>
          <cell r="D1272">
            <v>250</v>
          </cell>
          <cell r="E1272"/>
          <cell r="F1272"/>
        </row>
        <row r="1273">
          <cell r="A1273" t="str">
            <v>PQboq1b</v>
          </cell>
          <cell r="B1273" t="str">
            <v>Boquilla con boleado grueso por 1 lado</v>
          </cell>
          <cell r="C1273" t="str">
            <v>ML</v>
          </cell>
          <cell r="D1273">
            <v>150</v>
          </cell>
          <cell r="E1273"/>
          <cell r="F1273"/>
        </row>
        <row r="1274">
          <cell r="A1274" t="str">
            <v>PQsuecem20</v>
          </cell>
          <cell r="B1274" t="str">
            <v>Relleno con suelo cemento humedo compactado 20 cms espesor, incluye acarreos</v>
          </cell>
          <cell r="C1274" t="str">
            <v>M2</v>
          </cell>
          <cell r="D1274">
            <v>100</v>
          </cell>
          <cell r="E1274"/>
          <cell r="F1274"/>
        </row>
        <row r="1275">
          <cell r="A1275" t="str">
            <v>PQsuecem40</v>
          </cell>
          <cell r="B1275" t="str">
            <v>Relleno con suelo cemento humedo compactado 40 cms espesor, incluye acarreos</v>
          </cell>
          <cell r="C1275" t="str">
            <v>M2</v>
          </cell>
          <cell r="D1275">
            <v>200</v>
          </cell>
          <cell r="E1275"/>
          <cell r="F1275"/>
        </row>
        <row r="1276">
          <cell r="A1276" t="str">
            <v>PQsuecem60</v>
          </cell>
          <cell r="B1276" t="str">
            <v>Relleno con suelo cemento humedo compactado 60 cms espesor, incluye acarreos</v>
          </cell>
          <cell r="C1276" t="str">
            <v>M2</v>
          </cell>
          <cell r="D1276">
            <v>300</v>
          </cell>
          <cell r="E1276"/>
          <cell r="F1276"/>
        </row>
        <row r="1277">
          <cell r="A1277" t="str">
            <v>PQexc1x1x1</v>
          </cell>
          <cell r="B1277" t="str">
            <v>Excavacion para cimentacion de 1.00x1.00x1.00 terreno normal</v>
          </cell>
          <cell r="C1277" t="str">
            <v>ML</v>
          </cell>
          <cell r="D1277">
            <v>500</v>
          </cell>
          <cell r="E1277"/>
          <cell r="F1277"/>
        </row>
        <row r="1278">
          <cell r="A1278" t="str">
            <v>PQexc1x1x1-2</v>
          </cell>
          <cell r="B1278" t="str">
            <v>Excavacion para cimentacion de 1.00x1.00x1.00 terreno duro cascajo o laja</v>
          </cell>
          <cell r="C1278" t="str">
            <v>ML</v>
          </cell>
          <cell r="D1278">
            <v>500</v>
          </cell>
          <cell r="E1278"/>
          <cell r="F1278"/>
        </row>
        <row r="1279">
          <cell r="A1279"/>
          <cell r="B1279"/>
          <cell r="D1279"/>
          <cell r="E1279"/>
          <cell r="F1279"/>
        </row>
        <row r="1280">
          <cell r="A1280" t="str">
            <v>TAPALPA, PRECIOS DEL PAY</v>
          </cell>
          <cell r="B1280"/>
          <cell r="C1280"/>
          <cell r="D1280"/>
          <cell r="E1280"/>
          <cell r="F1280"/>
        </row>
        <row r="1281">
          <cell r="A1281"/>
          <cell r="B1281"/>
          <cell r="D1281"/>
          <cell r="E1281"/>
          <cell r="F1281"/>
        </row>
        <row r="1282">
          <cell r="A1282" t="str">
            <v>TACEITE</v>
          </cell>
          <cell r="B1282" t="str">
            <v>Limpiar y aplicar aceite o barniz sobre madera</v>
          </cell>
          <cell r="C1282" t="str">
            <v>M2</v>
          </cell>
          <cell r="D1282">
            <v>50</v>
          </cell>
          <cell r="E1282"/>
          <cell r="F1282"/>
        </row>
        <row r="1283">
          <cell r="A1283" t="str">
            <v>TALB</v>
          </cell>
          <cell r="B1283" t="str">
            <v>Albañil por el día</v>
          </cell>
          <cell r="C1283" t="str">
            <v>JORNAL</v>
          </cell>
          <cell r="D1283">
            <v>600</v>
          </cell>
          <cell r="E1283"/>
          <cell r="F1283"/>
        </row>
        <row r="1284">
          <cell r="A1284" t="str">
            <v>TARMC</v>
          </cell>
          <cell r="B1284" t="str">
            <v>Armado de castillo con varilla de 3/8" y estribos alambrón @ 20 cms</v>
          </cell>
          <cell r="C1284" t="str">
            <v>ML</v>
          </cell>
          <cell r="D1284">
            <v>45</v>
          </cell>
          <cell r="E1284"/>
          <cell r="F1284"/>
        </row>
        <row r="1285">
          <cell r="A1285" t="str">
            <v>TBANCOC</v>
          </cell>
          <cell r="B1285" t="str">
            <v>Banquetón de cocina pulido</v>
          </cell>
          <cell r="C1285" t="str">
            <v>ML</v>
          </cell>
          <cell r="D1285">
            <v>150</v>
          </cell>
          <cell r="E1285"/>
          <cell r="F1285">
            <v>13</v>
          </cell>
        </row>
        <row r="1286">
          <cell r="A1286" t="str">
            <v>TBODEGA</v>
          </cell>
          <cell r="B1286" t="str">
            <v>Armar bodega y baño con fajillas y malla en exterior, colocsar puertas</v>
          </cell>
          <cell r="C1286" t="str">
            <v>M2</v>
          </cell>
          <cell r="D1286">
            <v>350</v>
          </cell>
          <cell r="E1286"/>
          <cell r="F1286"/>
        </row>
        <row r="1287">
          <cell r="A1287" t="str">
            <v>TBOQ</v>
          </cell>
          <cell r="B1287" t="str">
            <v>Boquilla en puertas y ventanas</v>
          </cell>
          <cell r="C1287" t="str">
            <v>ML</v>
          </cell>
          <cell r="D1287">
            <v>90</v>
          </cell>
          <cell r="E1287"/>
          <cell r="F1287"/>
        </row>
        <row r="1288">
          <cell r="A1288" t="str">
            <v>TCCASO</v>
          </cell>
          <cell r="B1288" t="str">
            <v>Cimbrar y colar castillo de soga</v>
          </cell>
          <cell r="C1288" t="str">
            <v>ML</v>
          </cell>
          <cell r="D1288">
            <v>100</v>
          </cell>
          <cell r="E1288"/>
          <cell r="F1288"/>
        </row>
        <row r="1289">
          <cell r="A1289" t="str">
            <v>TCCASO3</v>
          </cell>
          <cell r="B1289" t="str">
            <v>Cimbrar y colar castillo de soga 3 caras</v>
          </cell>
          <cell r="C1289" t="str">
            <v>ML</v>
          </cell>
          <cell r="D1289">
            <v>120</v>
          </cell>
          <cell r="E1289"/>
          <cell r="F1289"/>
        </row>
        <row r="1290">
          <cell r="A1290" t="str">
            <v>TCCATE</v>
          </cell>
          <cell r="B1290" t="str">
            <v>Cimbrar y colar castillo de tezón</v>
          </cell>
          <cell r="C1290" t="str">
            <v>ML</v>
          </cell>
          <cell r="D1290">
            <v>120</v>
          </cell>
          <cell r="E1290"/>
          <cell r="F1290"/>
        </row>
        <row r="1291">
          <cell r="A1291" t="str">
            <v>TCCATE3</v>
          </cell>
          <cell r="B1291" t="str">
            <v>Cimbrar y colar castillo de tezón 3 caras</v>
          </cell>
          <cell r="C1291" t="str">
            <v>ML</v>
          </cell>
          <cell r="D1291">
            <v>145</v>
          </cell>
          <cell r="E1291"/>
          <cell r="F1291"/>
        </row>
        <row r="1292">
          <cell r="A1292" t="str">
            <v>TCCESO</v>
          </cell>
          <cell r="B1292" t="str">
            <v>Cimbrar y colar cerramiento de soga</v>
          </cell>
          <cell r="C1292" t="str">
            <v>ML</v>
          </cell>
          <cell r="D1292">
            <v>130</v>
          </cell>
          <cell r="E1292"/>
          <cell r="F1292"/>
        </row>
        <row r="1293">
          <cell r="A1293" t="str">
            <v>TCCETE</v>
          </cell>
          <cell r="B1293" t="str">
            <v>Cimbrar y colar cerramiento de tezón</v>
          </cell>
          <cell r="C1293" t="str">
            <v>ML</v>
          </cell>
          <cell r="D1293">
            <v>234</v>
          </cell>
          <cell r="E1293"/>
          <cell r="F1293"/>
        </row>
        <row r="1294">
          <cell r="A1294" t="str">
            <v>TCDASO</v>
          </cell>
          <cell r="B1294" t="str">
            <v xml:space="preserve">Armar, cimbrar y colar dala de 15 x 20 </v>
          </cell>
          <cell r="C1294" t="str">
            <v>ML</v>
          </cell>
          <cell r="D1294">
            <v>100</v>
          </cell>
          <cell r="E1294"/>
          <cell r="F1294"/>
        </row>
        <row r="1295">
          <cell r="A1295" t="str">
            <v>TCDATE</v>
          </cell>
          <cell r="B1295" t="str">
            <v>Cimbrar y colar dala tezón con doble armex</v>
          </cell>
          <cell r="C1295" t="str">
            <v>ML</v>
          </cell>
          <cell r="D1295">
            <v>130</v>
          </cell>
          <cell r="E1295"/>
          <cell r="F1295"/>
        </row>
        <row r="1296">
          <cell r="A1296" t="str">
            <v>TCENRAJ</v>
          </cell>
          <cell r="B1296" t="str">
            <v>Instalación de piso de rajuela a canto en cenefa ancho hasta 60 cms</v>
          </cell>
          <cell r="C1296" t="str">
            <v>ML</v>
          </cell>
          <cell r="D1296">
            <v>600</v>
          </cell>
          <cell r="E1296"/>
          <cell r="F1296"/>
        </row>
        <row r="1297">
          <cell r="A1297" t="str">
            <v>TDADO</v>
          </cell>
          <cell r="B1297" t="str">
            <v>Colado de dado completo de 80x 80 x 80</v>
          </cell>
          <cell r="C1297" t="str">
            <v>PZA</v>
          </cell>
          <cell r="D1297">
            <v>400</v>
          </cell>
          <cell r="E1297"/>
          <cell r="F1297">
            <v>62</v>
          </cell>
        </row>
        <row r="1298">
          <cell r="A1298" t="str">
            <v>TENJADO</v>
          </cell>
          <cell r="B1298" t="str">
            <v>Sarpeo, enjarre y figurado tipo adobe con estrías</v>
          </cell>
          <cell r="C1298" t="str">
            <v>M2</v>
          </cell>
          <cell r="D1298">
            <v>150</v>
          </cell>
          <cell r="E1298"/>
          <cell r="F1298"/>
        </row>
        <row r="1299">
          <cell r="A1299" t="str">
            <v>TENJAFB</v>
          </cell>
          <cell r="B1299" t="str">
            <v>Enjarre en bóveda terminado afinado, incluye sarpeos y andamios</v>
          </cell>
          <cell r="C1299" t="str">
            <v>M2</v>
          </cell>
          <cell r="D1299">
            <v>133</v>
          </cell>
          <cell r="E1299"/>
          <cell r="F1299"/>
        </row>
        <row r="1300">
          <cell r="A1300" t="str">
            <v>TENJAFM</v>
          </cell>
          <cell r="B1300" t="str">
            <v>Enjarre en muro terminado afinado, incluye sarpeos y andamios</v>
          </cell>
          <cell r="C1300" t="str">
            <v>M2</v>
          </cell>
          <cell r="D1300">
            <v>120</v>
          </cell>
          <cell r="E1300"/>
          <cell r="F1300"/>
        </row>
        <row r="1301">
          <cell r="A1301" t="str">
            <v>TENJAP</v>
          </cell>
          <cell r="B1301" t="str">
            <v>Enjarre en muro terminado apalillado, incluye sarpeos y andamios</v>
          </cell>
          <cell r="C1301" t="str">
            <v>M2</v>
          </cell>
          <cell r="D1301">
            <v>100</v>
          </cell>
          <cell r="E1301"/>
          <cell r="F1301"/>
        </row>
        <row r="1302">
          <cell r="A1302" t="str">
            <v>TENJB</v>
          </cell>
          <cell r="B1302" t="str">
            <v>Enjarre en bóveda, incluye sarpeos y andamios</v>
          </cell>
          <cell r="C1302" t="str">
            <v>M2</v>
          </cell>
          <cell r="D1302">
            <v>120</v>
          </cell>
          <cell r="E1302"/>
          <cell r="F1302"/>
        </row>
        <row r="1303">
          <cell r="A1303" t="str">
            <v>TENJCP</v>
          </cell>
          <cell r="B1303" t="str">
            <v>Enjarre a tallón de cuchara pulido</v>
          </cell>
          <cell r="C1303" t="str">
            <v>M2</v>
          </cell>
          <cell r="D1303">
            <v>100</v>
          </cell>
          <cell r="E1303"/>
          <cell r="F1303"/>
        </row>
        <row r="1304">
          <cell r="A1304" t="str">
            <v>TEXCAV</v>
          </cell>
          <cell r="B1304" t="str">
            <v xml:space="preserve">Excavación terreno </v>
          </cell>
          <cell r="C1304" t="str">
            <v>M3</v>
          </cell>
          <cell r="D1304">
            <v>380</v>
          </cell>
          <cell r="E1304"/>
          <cell r="F1304"/>
        </row>
        <row r="1305">
          <cell r="A1305" t="str">
            <v>TFILTRO</v>
          </cell>
          <cell r="B1305" t="str">
            <v>Filtro de grava de 10 cms compactada</v>
          </cell>
          <cell r="C1305" t="str">
            <v>M2</v>
          </cell>
          <cell r="D1305">
            <v>25</v>
          </cell>
          <cell r="E1305"/>
          <cell r="F1305">
            <v>74</v>
          </cell>
        </row>
        <row r="1306">
          <cell r="A1306" t="str">
            <v>TFIRJAL</v>
          </cell>
          <cell r="B1306" t="str">
            <v>Colocar jal con malla electro-soldada y lechadeado</v>
          </cell>
          <cell r="C1306" t="str">
            <v>M2</v>
          </cell>
          <cell r="D1306">
            <v>90</v>
          </cell>
          <cell r="E1306"/>
          <cell r="F1306">
            <v>40</v>
          </cell>
        </row>
        <row r="1307">
          <cell r="A1307" t="str">
            <v>TFOSA</v>
          </cell>
          <cell r="B1307" t="str">
            <v>Excavación, forjado y terminado de fosa séptica con filtros</v>
          </cell>
          <cell r="C1307" t="str">
            <v>M3</v>
          </cell>
          <cell r="D1307">
            <v>1200</v>
          </cell>
          <cell r="E1307"/>
          <cell r="F1307"/>
        </row>
        <row r="1308">
          <cell r="A1308" t="str">
            <v>TIMP</v>
          </cell>
          <cell r="B1308" t="str">
            <v>Raspado de superficie, repellado e impermeabilizado azotea</v>
          </cell>
          <cell r="C1308" t="str">
            <v>M2</v>
          </cell>
          <cell r="D1308">
            <v>50</v>
          </cell>
          <cell r="E1308"/>
          <cell r="F1308"/>
        </row>
        <row r="1309">
          <cell r="A1309" t="str">
            <v>TJALIN</v>
          </cell>
          <cell r="B1309" t="str">
            <v>Colocar jal en techo inclinado, incluye malla y apalillado</v>
          </cell>
          <cell r="C1309" t="str">
            <v>M2</v>
          </cell>
          <cell r="D1309">
            <v>110</v>
          </cell>
          <cell r="E1309"/>
          <cell r="F1309">
            <v>41</v>
          </cell>
        </row>
        <row r="1310">
          <cell r="A1310" t="str">
            <v>TJALP</v>
          </cell>
          <cell r="B1310" t="str">
            <v>Colocar jal en techo plano, incluye malla y apalillado</v>
          </cell>
          <cell r="C1310" t="str">
            <v>M2</v>
          </cell>
          <cell r="D1310">
            <v>125</v>
          </cell>
          <cell r="E1310"/>
          <cell r="F1310">
            <v>42</v>
          </cell>
        </row>
        <row r="1311">
          <cell r="A1311" t="str">
            <v>TLADAZ</v>
          </cell>
          <cell r="B1311" t="str">
            <v>Instalar ladrillo de azotea sobre superficies de azotea, incluye acarreos</v>
          </cell>
          <cell r="C1311" t="str">
            <v>M2</v>
          </cell>
          <cell r="D1311">
            <v>90</v>
          </cell>
          <cell r="E1311"/>
          <cell r="F1311"/>
        </row>
        <row r="1312">
          <cell r="A1312" t="str">
            <v>TLADAZA</v>
          </cell>
          <cell r="B1312" t="str">
            <v>Colocar piso de barro y juntear, detallar y limpiar terminado aparente</v>
          </cell>
          <cell r="C1312" t="str">
            <v>M2</v>
          </cell>
          <cell r="D1312">
            <v>160</v>
          </cell>
          <cell r="E1312">
            <v>49</v>
          </cell>
          <cell r="F1312"/>
        </row>
        <row r="1313">
          <cell r="A1313" t="str">
            <v>TLODADOB</v>
          </cell>
          <cell r="B1313" t="str">
            <v>Aplicar sellador y lodo sobre superficie de adobe terminado</v>
          </cell>
          <cell r="C1313" t="str">
            <v>M2</v>
          </cell>
          <cell r="D1313">
            <v>50</v>
          </cell>
          <cell r="E1313"/>
          <cell r="F1313"/>
        </row>
        <row r="1314">
          <cell r="A1314" t="str">
            <v>TLOSA</v>
          </cell>
          <cell r="B1314" t="str">
            <v>Colocar malla, colado de losa concreto y repellado</v>
          </cell>
          <cell r="C1314" t="str">
            <v>M2</v>
          </cell>
          <cell r="D1314">
            <v>100</v>
          </cell>
          <cell r="E1314"/>
          <cell r="F1314"/>
        </row>
        <row r="1315">
          <cell r="A1315" t="str">
            <v>TLOSDESP</v>
          </cell>
          <cell r="B1315" t="str">
            <v>Trazo, ranuras, barrenos, armar, cimbrar y colar losa despensa terminado</v>
          </cell>
          <cell r="C1315" t="str">
            <v>ML</v>
          </cell>
          <cell r="D1315">
            <v>300</v>
          </cell>
          <cell r="E1315"/>
          <cell r="F1315"/>
        </row>
        <row r="1316">
          <cell r="A1316" t="str">
            <v>TMAM1R40</v>
          </cell>
          <cell r="B1316" t="str">
            <v>Mamposteo de piedra 1 rostro de 40 cms</v>
          </cell>
          <cell r="C1316" t="str">
            <v>M2</v>
          </cell>
          <cell r="D1316">
            <v>800</v>
          </cell>
          <cell r="E1316"/>
          <cell r="F1316"/>
        </row>
        <row r="1317">
          <cell r="A1317" t="str">
            <v>TMAM1R50</v>
          </cell>
          <cell r="B1317" t="str">
            <v>Mamposteo de piedra 1 rostro de 50 cms</v>
          </cell>
          <cell r="C1317" t="str">
            <v>M2</v>
          </cell>
          <cell r="D1317">
            <v>1000</v>
          </cell>
          <cell r="E1317"/>
          <cell r="F1317"/>
        </row>
        <row r="1318">
          <cell r="A1318" t="str">
            <v>TMAM1R60</v>
          </cell>
          <cell r="B1318" t="str">
            <v>Mamposteo de piedra 1 rostro de 60 cms</v>
          </cell>
          <cell r="C1318" t="str">
            <v>M2</v>
          </cell>
          <cell r="D1318">
            <v>1200</v>
          </cell>
          <cell r="E1318"/>
          <cell r="F1318"/>
        </row>
        <row r="1319">
          <cell r="A1319" t="str">
            <v>TMAM2R</v>
          </cell>
          <cell r="B1319" t="str">
            <v>Mamposteo de piedra 2 rostros de 40 a 50 cms</v>
          </cell>
          <cell r="C1319" t="str">
            <v>M2</v>
          </cell>
          <cell r="D1319">
            <v>1375</v>
          </cell>
          <cell r="E1319"/>
          <cell r="F1319"/>
        </row>
        <row r="1320">
          <cell r="A1320" t="str">
            <v>TMAM2R40</v>
          </cell>
          <cell r="B1320" t="str">
            <v>Mamposteo de piedra 2 rostros de 40 cms</v>
          </cell>
          <cell r="C1320" t="str">
            <v>M2</v>
          </cell>
          <cell r="D1320">
            <v>1300</v>
          </cell>
          <cell r="E1320"/>
          <cell r="F1320"/>
        </row>
        <row r="1321">
          <cell r="A1321" t="str">
            <v>TMAM2R50</v>
          </cell>
          <cell r="B1321" t="str">
            <v>Mamposteo de piedra 2 rostro de 50 cms</v>
          </cell>
          <cell r="C1321" t="str">
            <v>M2</v>
          </cell>
          <cell r="D1321">
            <v>1450</v>
          </cell>
          <cell r="E1321"/>
          <cell r="F1321"/>
        </row>
        <row r="1322">
          <cell r="A1322" t="str">
            <v>TMCAP</v>
          </cell>
          <cell r="B1322" t="str">
            <v>Muro de capuchino en sucio</v>
          </cell>
          <cell r="C1322" t="str">
            <v>M2</v>
          </cell>
          <cell r="D1322">
            <v>120</v>
          </cell>
          <cell r="E1322"/>
          <cell r="F1322"/>
        </row>
        <row r="1323">
          <cell r="A1323" t="str">
            <v>TMOCSO</v>
          </cell>
          <cell r="B1323" t="str">
            <v>Mocheta de soga en sucio</v>
          </cell>
          <cell r="C1323" t="str">
            <v>ML</v>
          </cell>
          <cell r="D1323">
            <v>125</v>
          </cell>
          <cell r="E1323"/>
          <cell r="F1323"/>
        </row>
        <row r="1324">
          <cell r="A1324" t="str">
            <v>TMOCTE</v>
          </cell>
          <cell r="B1324" t="str">
            <v>Mocheta de tezón en sucio</v>
          </cell>
          <cell r="C1324" t="str">
            <v>ML</v>
          </cell>
          <cell r="D1324">
            <v>150</v>
          </cell>
          <cell r="E1324"/>
          <cell r="F1324"/>
        </row>
        <row r="1325">
          <cell r="A1325" t="str">
            <v>TMSOG</v>
          </cell>
          <cell r="B1325" t="str">
            <v>Muro de soga en sucio</v>
          </cell>
          <cell r="C1325" t="str">
            <v>M2</v>
          </cell>
          <cell r="D1325">
            <v>125</v>
          </cell>
          <cell r="E1325"/>
          <cell r="F1325"/>
        </row>
        <row r="1326">
          <cell r="A1326" t="str">
            <v>TMTEZ</v>
          </cell>
          <cell r="B1326" t="str">
            <v>Muro de tezón en sucio</v>
          </cell>
          <cell r="C1326" t="str">
            <v>M2</v>
          </cell>
          <cell r="D1326">
            <v>150</v>
          </cell>
          <cell r="E1326"/>
          <cell r="F1326"/>
        </row>
        <row r="1327">
          <cell r="A1327" t="str">
            <v>TMUADOSO</v>
          </cell>
          <cell r="B1327" t="str">
            <v>Muro de adobe de soga en sucio no importa altura, inlcuye junta</v>
          </cell>
          <cell r="C1327" t="str">
            <v>M2</v>
          </cell>
          <cell r="D1327">
            <v>200</v>
          </cell>
          <cell r="E1327"/>
          <cell r="F1327"/>
        </row>
        <row r="1328">
          <cell r="A1328" t="str">
            <v>TMUADOTE</v>
          </cell>
          <cell r="B1328" t="str">
            <v>Muro de adobe de soga en sucio no importa altura, inlcuye junta</v>
          </cell>
          <cell r="C1328" t="str">
            <v>M2</v>
          </cell>
          <cell r="D1328">
            <v>300</v>
          </cell>
          <cell r="E1328"/>
          <cell r="F1328"/>
        </row>
        <row r="1329">
          <cell r="A1329" t="str">
            <v>TNIVMR</v>
          </cell>
          <cell r="B1329" t="str">
            <v>Nivelación de muro de piedra con rostro</v>
          </cell>
          <cell r="C1329" t="str">
            <v>ML</v>
          </cell>
          <cell r="D1329">
            <v>70</v>
          </cell>
          <cell r="E1329"/>
          <cell r="F1329"/>
        </row>
        <row r="1330">
          <cell r="A1330" t="str">
            <v>TPEO</v>
          </cell>
          <cell r="B1330" t="str">
            <v>Peón por el día</v>
          </cell>
          <cell r="C1330" t="str">
            <v>JORNAL</v>
          </cell>
          <cell r="D1330">
            <v>390</v>
          </cell>
          <cell r="E1330"/>
          <cell r="F1330"/>
        </row>
        <row r="1331">
          <cell r="A1331" t="str">
            <v>TPINT</v>
          </cell>
          <cell r="B1331" t="str">
            <v>Raspar, resanes, sellador y pintura terminado sobre muros y bóvedas</v>
          </cell>
          <cell r="C1331" t="str">
            <v>M2</v>
          </cell>
          <cell r="D1331">
            <v>50</v>
          </cell>
          <cell r="E1331"/>
          <cell r="F1331"/>
        </row>
        <row r="1332">
          <cell r="A1332" t="str">
            <v>TPISO</v>
          </cell>
          <cell r="B1332" t="str">
            <v>Lechadeo, colocar malla, colado de piso repellado</v>
          </cell>
          <cell r="C1332" t="str">
            <v>M2</v>
          </cell>
          <cell r="D1332">
            <v>125</v>
          </cell>
          <cell r="E1332"/>
          <cell r="F1332">
            <v>42</v>
          </cell>
        </row>
        <row r="1333">
          <cell r="A1333" t="str">
            <v>TPISORAJ</v>
          </cell>
          <cell r="B1333" t="str">
            <v>Instalación de piso de rajuela a canto en pisos</v>
          </cell>
          <cell r="C1333" t="str">
            <v>M2</v>
          </cell>
          <cell r="D1333">
            <v>1000</v>
          </cell>
          <cell r="E1333"/>
          <cell r="F1333"/>
        </row>
        <row r="1334">
          <cell r="A1334" t="str">
            <v>TREG</v>
          </cell>
          <cell r="B1334" t="str">
            <v>Excavación, forjado y terminado registro sanitario 1.00x1.00x1.00</v>
          </cell>
          <cell r="C1334" t="str">
            <v>PZA</v>
          </cell>
          <cell r="D1334">
            <v>1000</v>
          </cell>
          <cell r="E1334"/>
          <cell r="F1334"/>
        </row>
        <row r="1335">
          <cell r="A1335" t="str">
            <v>TRELLM</v>
          </cell>
          <cell r="B1335" t="str">
            <v>Relleno y compactación en capas de 20 cms con apoyo de máquina</v>
          </cell>
          <cell r="C1335" t="str">
            <v>M3</v>
          </cell>
          <cell r="D1335">
            <v>100</v>
          </cell>
          <cell r="E1335"/>
          <cell r="F1335">
            <v>124</v>
          </cell>
        </row>
        <row r="1336">
          <cell r="A1336" t="str">
            <v>TREN</v>
          </cell>
          <cell r="B1336" t="str">
            <v>Renchido de piedra</v>
          </cell>
          <cell r="C1336" t="str">
            <v>M3</v>
          </cell>
          <cell r="D1336">
            <v>400</v>
          </cell>
          <cell r="E1336"/>
          <cell r="F1336"/>
        </row>
        <row r="1337">
          <cell r="A1337" t="str">
            <v>TSUBVIGA</v>
          </cell>
          <cell r="B1337" t="str">
            <v>subir y nivelar cerramientos de madera ( incluye fester, resanes y colados )</v>
          </cell>
          <cell r="C1337" t="str">
            <v>ML</v>
          </cell>
          <cell r="D1337">
            <v>140</v>
          </cell>
          <cell r="E1337"/>
          <cell r="F1337">
            <v>135</v>
          </cell>
        </row>
        <row r="1338">
          <cell r="A1338" t="str">
            <v>TTEJA</v>
          </cell>
          <cell r="B1338" t="str">
            <v>Tejar, inculye costuras y caballeteros</v>
          </cell>
          <cell r="C1338" t="str">
            <v>M2</v>
          </cell>
          <cell r="D1338">
            <v>110</v>
          </cell>
          <cell r="E1338"/>
          <cell r="F1338">
            <v>138</v>
          </cell>
        </row>
        <row r="1339">
          <cell r="A1339" t="str">
            <v>TVADO</v>
          </cell>
          <cell r="B1339" t="str">
            <v>Vado pluvial de 1 metro de ancho</v>
          </cell>
          <cell r="C1339" t="str">
            <v>ML</v>
          </cell>
          <cell r="D1339">
            <v>90</v>
          </cell>
          <cell r="E1339"/>
          <cell r="F1339">
            <v>140</v>
          </cell>
        </row>
        <row r="1340">
          <cell r="A1340"/>
          <cell r="B1340"/>
          <cell r="C1340"/>
          <cell r="D1340"/>
          <cell r="E1340"/>
          <cell r="F1340"/>
        </row>
        <row r="1341">
          <cell r="A1341"/>
          <cell r="B1341"/>
          <cell r="C1341"/>
          <cell r="D1341"/>
          <cell r="E1341"/>
          <cell r="F1341"/>
        </row>
        <row r="1342">
          <cell r="A1342"/>
          <cell r="B1342"/>
          <cell r="C1342"/>
          <cell r="D1342"/>
          <cell r="E1342"/>
          <cell r="F1342"/>
        </row>
        <row r="1343">
          <cell r="A1343"/>
          <cell r="B1343"/>
          <cell r="C1343"/>
          <cell r="D1343"/>
          <cell r="E1343"/>
          <cell r="F1343"/>
        </row>
        <row r="1344">
          <cell r="A1344"/>
          <cell r="B1344"/>
          <cell r="C1344"/>
          <cell r="D1344"/>
          <cell r="E1344"/>
          <cell r="F1344"/>
        </row>
        <row r="1345">
          <cell r="A1345"/>
          <cell r="B1345"/>
          <cell r="C1345"/>
          <cell r="D1345"/>
          <cell r="E1345"/>
          <cell r="F1345"/>
        </row>
        <row r="1346">
          <cell r="A1346"/>
          <cell r="B1346"/>
          <cell r="C1346"/>
          <cell r="D1346"/>
          <cell r="E1346"/>
          <cell r="F1346"/>
        </row>
        <row r="1347">
          <cell r="A1347"/>
          <cell r="B1347"/>
          <cell r="C1347"/>
          <cell r="D1347"/>
          <cell r="E1347"/>
          <cell r="F1347"/>
        </row>
        <row r="1348">
          <cell r="A1348"/>
          <cell r="B1348"/>
          <cell r="C1348"/>
          <cell r="D1348"/>
          <cell r="E1348"/>
          <cell r="F1348"/>
        </row>
        <row r="1349">
          <cell r="A1349"/>
          <cell r="B1349"/>
          <cell r="C1349"/>
          <cell r="D1349"/>
          <cell r="E1349"/>
          <cell r="F1349"/>
        </row>
        <row r="1350">
          <cell r="A1350"/>
          <cell r="B1350"/>
          <cell r="C1350"/>
          <cell r="D1350"/>
          <cell r="E1350"/>
          <cell r="F1350"/>
        </row>
        <row r="1351">
          <cell r="A1351"/>
          <cell r="B1351"/>
          <cell r="C1351"/>
          <cell r="D1351"/>
          <cell r="E1351"/>
          <cell r="F1351"/>
        </row>
        <row r="1352">
          <cell r="A1352"/>
          <cell r="B1352"/>
          <cell r="C1352"/>
          <cell r="D1352"/>
          <cell r="E1352"/>
          <cell r="F1352"/>
        </row>
        <row r="1353">
          <cell r="A1353"/>
          <cell r="B1353"/>
          <cell r="C1353"/>
          <cell r="D1353"/>
          <cell r="E1353"/>
          <cell r="F1353"/>
        </row>
        <row r="1354">
          <cell r="A1354"/>
          <cell r="B1354"/>
          <cell r="C1354"/>
          <cell r="D1354"/>
          <cell r="E1354"/>
          <cell r="F1354"/>
        </row>
        <row r="1355">
          <cell r="A1355"/>
          <cell r="B1355"/>
          <cell r="C1355"/>
          <cell r="D1355"/>
          <cell r="E1355"/>
          <cell r="F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1376">
          <cell r="A1376"/>
          <cell r="B1376"/>
        </row>
        <row r="1377">
          <cell r="A1377"/>
          <cell r="B1377"/>
        </row>
        <row r="1378">
          <cell r="A1378"/>
          <cell r="B1378"/>
        </row>
        <row r="1379">
          <cell r="A1379"/>
          <cell r="B1379"/>
        </row>
        <row r="1380">
          <cell r="A1380"/>
          <cell r="B1380"/>
        </row>
        <row r="1381">
          <cell r="A1381"/>
          <cell r="B1381"/>
        </row>
        <row r="1382">
          <cell r="A1382"/>
          <cell r="B1382"/>
        </row>
        <row r="1383">
          <cell r="A1383"/>
          <cell r="B1383"/>
        </row>
        <row r="1384">
          <cell r="A1384"/>
          <cell r="B1384"/>
        </row>
        <row r="1385">
          <cell r="A1385"/>
          <cell r="B1385"/>
        </row>
        <row r="1386">
          <cell r="A1386"/>
          <cell r="B1386"/>
        </row>
        <row r="1387">
          <cell r="A1387"/>
          <cell r="B1387"/>
        </row>
        <row r="1388">
          <cell r="A1388"/>
          <cell r="B1388"/>
        </row>
        <row r="1389">
          <cell r="A1389"/>
          <cell r="B1389"/>
        </row>
        <row r="1390">
          <cell r="A1390"/>
          <cell r="B1390"/>
        </row>
        <row r="1391">
          <cell r="A1391"/>
          <cell r="B1391"/>
        </row>
        <row r="1392">
          <cell r="A1392"/>
          <cell r="B1392"/>
        </row>
        <row r="1393">
          <cell r="A1393"/>
          <cell r="B1393"/>
        </row>
        <row r="1394">
          <cell r="A1394"/>
          <cell r="B1394"/>
        </row>
        <row r="1395">
          <cell r="A1395"/>
          <cell r="B1395"/>
        </row>
        <row r="1396">
          <cell r="A1396"/>
          <cell r="B1396"/>
        </row>
        <row r="1397">
          <cell r="A1397"/>
          <cell r="B1397"/>
        </row>
        <row r="1398">
          <cell r="A1398"/>
          <cell r="B1398"/>
        </row>
        <row r="1399">
          <cell r="A1399"/>
          <cell r="B1399"/>
        </row>
        <row r="1400">
          <cell r="A1400"/>
          <cell r="B1400"/>
        </row>
        <row r="1401">
          <cell r="A1401"/>
          <cell r="B1401"/>
        </row>
        <row r="1402">
          <cell r="A1402"/>
          <cell r="B1402"/>
        </row>
        <row r="1403">
          <cell r="A1403"/>
          <cell r="B1403"/>
        </row>
        <row r="1404">
          <cell r="A1404"/>
          <cell r="B1404"/>
        </row>
        <row r="1405">
          <cell r="A1405"/>
          <cell r="B1405"/>
        </row>
        <row r="1406">
          <cell r="A1406"/>
          <cell r="B1406"/>
        </row>
        <row r="1407">
          <cell r="A1407"/>
          <cell r="B1407"/>
        </row>
        <row r="1408">
          <cell r="A1408"/>
          <cell r="B1408"/>
        </row>
        <row r="1409">
          <cell r="A1409"/>
          <cell r="B1409"/>
        </row>
        <row r="1410">
          <cell r="A1410"/>
          <cell r="B1410"/>
        </row>
        <row r="1411">
          <cell r="A1411"/>
          <cell r="B1411"/>
        </row>
        <row r="1412">
          <cell r="A1412"/>
          <cell r="B1412"/>
        </row>
        <row r="1413">
          <cell r="A1413"/>
          <cell r="B1413"/>
        </row>
        <row r="1414">
          <cell r="A1414"/>
          <cell r="B1414"/>
        </row>
        <row r="1415">
          <cell r="A1415"/>
          <cell r="B1415"/>
        </row>
        <row r="1416">
          <cell r="A1416"/>
          <cell r="B1416"/>
        </row>
        <row r="1417">
          <cell r="A1417"/>
          <cell r="B1417"/>
        </row>
        <row r="1418">
          <cell r="A1418"/>
          <cell r="B1418"/>
        </row>
        <row r="1419">
          <cell r="A1419"/>
          <cell r="B1419"/>
        </row>
        <row r="1420">
          <cell r="A1420"/>
          <cell r="B1420"/>
        </row>
        <row r="1421">
          <cell r="A1421"/>
          <cell r="B1421"/>
        </row>
        <row r="1422">
          <cell r="A1422"/>
          <cell r="B1422"/>
        </row>
        <row r="1423">
          <cell r="A1423"/>
          <cell r="B1423"/>
        </row>
        <row r="1424">
          <cell r="A1424"/>
          <cell r="B1424"/>
        </row>
        <row r="1425">
          <cell r="A1425"/>
          <cell r="B1425"/>
        </row>
        <row r="1426">
          <cell r="A1426"/>
          <cell r="B1426"/>
        </row>
        <row r="1427">
          <cell r="A1427"/>
          <cell r="B1427"/>
        </row>
        <row r="1428">
          <cell r="A1428"/>
          <cell r="B1428"/>
        </row>
        <row r="1429">
          <cell r="A1429"/>
          <cell r="B1429"/>
        </row>
        <row r="1430">
          <cell r="A1430"/>
          <cell r="B1430"/>
        </row>
        <row r="1431">
          <cell r="A1431"/>
          <cell r="B1431"/>
        </row>
        <row r="1432">
          <cell r="A1432"/>
          <cell r="B1432"/>
        </row>
        <row r="1433">
          <cell r="A1433"/>
          <cell r="B1433"/>
        </row>
        <row r="1434">
          <cell r="A1434"/>
          <cell r="B1434"/>
        </row>
        <row r="1435">
          <cell r="A1435"/>
          <cell r="B1435"/>
        </row>
        <row r="1436">
          <cell r="A1436"/>
          <cell r="B1436"/>
        </row>
        <row r="1437">
          <cell r="A1437"/>
          <cell r="B1437"/>
        </row>
        <row r="1438">
          <cell r="A1438"/>
          <cell r="B1438"/>
        </row>
        <row r="1439">
          <cell r="A1439"/>
          <cell r="B1439"/>
        </row>
        <row r="1440">
          <cell r="A1440"/>
          <cell r="B1440"/>
        </row>
        <row r="1441">
          <cell r="A1441"/>
          <cell r="B1441"/>
        </row>
        <row r="1442">
          <cell r="A1442"/>
          <cell r="B1442"/>
        </row>
        <row r="1443">
          <cell r="A1443"/>
          <cell r="B1443"/>
        </row>
        <row r="1444">
          <cell r="A1444"/>
          <cell r="B1444"/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553.07000000000005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553.07000000000005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553.07000000000005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553.07000000000005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553.07000000000005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553.07000000000005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553.07000000000005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  <cell r="E2916"/>
          <cell r="F2916"/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553.07000000000005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553.07000000000005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553.07000000000005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553.07000000000005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553.07000000000005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553.07000000000005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  <cell r="E2938"/>
          <cell r="F2938"/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  <cell r="E2948"/>
          <cell r="F2948"/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  <cell r="E2952"/>
          <cell r="F2952"/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  <cell r="E2957"/>
          <cell r="F2957"/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553.07000000000005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 xml:space="preserve"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553.07000000000005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553.07000000000005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553.07000000000005</v>
          </cell>
          <cell r="E2985"/>
          <cell r="F2985"/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553.07000000000005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553.07000000000005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553.07000000000005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553.07000000000005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553.07000000000005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  <cell r="E3002"/>
          <cell r="F3002"/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  <cell r="E3006"/>
          <cell r="F3006"/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553.07000000000005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553.07000000000005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553.07000000000005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553.07000000000005</v>
          </cell>
          <cell r="E3023"/>
          <cell r="F3023"/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 xml:space="preserve">BARRAGAN GUERRERO URIEL ARAHI </v>
          </cell>
          <cell r="C3025" t="str">
            <v>OF</v>
          </cell>
          <cell r="D3025">
            <v>553.07000000000005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553.07000000000005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553.07000000000005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553.07000000000005</v>
          </cell>
          <cell r="E3033"/>
          <cell r="F3033"/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553.07000000000005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  <cell r="E3037"/>
          <cell r="F3037"/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553.07000000000005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553.07000000000005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  <cell r="E3063"/>
          <cell r="F3063"/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553.07000000000005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553.07000000000005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553.07000000000005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553.07000000000005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553.07000000000005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553.07000000000005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553.07000000000005</v>
          </cell>
          <cell r="E3079"/>
          <cell r="F3079"/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553.07000000000005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553.07000000000005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428.57142857142856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  <cell r="E3093"/>
          <cell r="F3093"/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260.45999999999998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 xml:space="preserve"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553.07000000000005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  <cell r="E3123"/>
          <cell r="F3123"/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  <cell r="E3124"/>
          <cell r="F3124"/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553.07000000000005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553.07000000000005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553.07000000000005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553.07000000000005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553.07000000000005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  <cell r="F3132"/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  <cell r="E3141"/>
          <cell r="F3141"/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  <cell r="E3149"/>
          <cell r="F3149"/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553.07000000000005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553.07000000000005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260.45999999999998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260.45999999999998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260.45999999999998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260.45999999999998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260.45999999999998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260.45999999999998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260.45999999999998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260.45999999999998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553.07000000000005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  <cell r="D3174"/>
          <cell r="E3174"/>
          <cell r="F3174"/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508.39857142857142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553.07000000000005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553.07000000000005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553.07000000000005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553.07000000000005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553.07000000000005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553.07000000000005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553.07000000000005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553.07000000000005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553.07000000000005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553.07000000000005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553.07000000000005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  <cell r="E3201"/>
          <cell r="F3201"/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553.07000000000005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553.07000000000005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553.07000000000005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553.07000000000005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553.07000000000005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 xml:space="preserve">GONZALEZ PERALES JORGE </v>
          </cell>
          <cell r="C3213" t="str">
            <v>OF</v>
          </cell>
          <cell r="D3213">
            <v>553.07000000000005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553.07000000000005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553.07000000000005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553.07000000000005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553.07000000000005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  <cell r="E3224"/>
          <cell r="F3224"/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553.07000000000005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553.07000000000005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  <cell r="D3230"/>
          <cell r="E3230"/>
          <cell r="F3230"/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553.07000000000005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553.07000000000005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553.07000000000005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  <cell r="E3237"/>
          <cell r="F3237"/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553.07000000000005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553.07000000000005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553.07000000000005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553.07000000000005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553.07000000000005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  <cell r="E3263"/>
          <cell r="F3263"/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553.07000000000005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553.07000000000005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553.07000000000005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553.07000000000005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553.07000000000005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553.07000000000005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  <cell r="E3281"/>
          <cell r="F3281"/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553.07000000000005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553.07000000000005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553.07000000000005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553.07000000000005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553.07000000000005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553.07000000000005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553.07000000000005</v>
          </cell>
          <cell r="F3289"/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553.07000000000005</v>
          </cell>
        </row>
        <row r="3292">
          <cell r="A3292">
            <v>4752</v>
          </cell>
          <cell r="B3292" t="str">
            <v xml:space="preserve"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553.07000000000005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 xml:space="preserve"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  <cell r="E3298"/>
          <cell r="F3298"/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  <cell r="E3306"/>
          <cell r="F3306"/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  <cell r="E3326"/>
          <cell r="F3326"/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553.07000000000005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  <cell r="E3338"/>
          <cell r="F3338"/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553.07000000000005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  <cell r="E3350"/>
          <cell r="F3350"/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553.07000000000005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553.07000000000005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553.07000000000005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553.07000000000005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553.07000000000005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553.07000000000005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553.07000000000005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553.07000000000005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553.07000000000005</v>
          </cell>
        </row>
        <row r="3372">
          <cell r="A3372">
            <v>4832</v>
          </cell>
          <cell r="B3372" t="str">
            <v xml:space="preserve">FLORES GARCÍA SERGIO </v>
          </cell>
          <cell r="C3372" t="str">
            <v>OF</v>
          </cell>
          <cell r="D3372">
            <v>553.07000000000005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553.07000000000005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 xml:space="preserve"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553.07000000000005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553.07000000000005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553.07000000000005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553.07000000000005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553.07000000000005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 xml:space="preserve"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553.07000000000005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553.07000000000005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553.07000000000005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  <cell r="B3406"/>
        </row>
        <row r="3407">
          <cell r="A3407">
            <v>4867</v>
          </cell>
          <cell r="B3407"/>
        </row>
        <row r="3408">
          <cell r="A3408">
            <v>4868</v>
          </cell>
          <cell r="B3408"/>
        </row>
        <row r="3409">
          <cell r="A3409">
            <v>4869</v>
          </cell>
          <cell r="B3409"/>
        </row>
        <row r="3410">
          <cell r="A3410">
            <v>4870</v>
          </cell>
          <cell r="B3410"/>
        </row>
        <row r="3411">
          <cell r="A3411">
            <v>4871</v>
          </cell>
          <cell r="B3411"/>
        </row>
        <row r="3412">
          <cell r="A3412">
            <v>4872</v>
          </cell>
          <cell r="B3412"/>
        </row>
        <row r="3413">
          <cell r="A3413">
            <v>4873</v>
          </cell>
          <cell r="B3413"/>
        </row>
        <row r="3414">
          <cell r="A3414">
            <v>4874</v>
          </cell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</row>
        <row r="3425">
          <cell r="A3425"/>
          <cell r="B3425"/>
          <cell r="C3425"/>
          <cell r="D3425"/>
          <cell r="E3425"/>
          <cell r="F3425"/>
        </row>
        <row r="3426">
          <cell r="A3426"/>
          <cell r="B3426"/>
          <cell r="C3426"/>
          <cell r="D3426"/>
          <cell r="E3426"/>
          <cell r="F3426"/>
        </row>
        <row r="3427">
          <cell r="A3427" t="str">
            <v>LISTA DE PRECIOS UNITARIOS</v>
          </cell>
          <cell r="B3427"/>
          <cell r="C3427"/>
          <cell r="D3427"/>
          <cell r="E3427"/>
          <cell r="F3427"/>
        </row>
        <row r="3428">
          <cell r="A3428"/>
          <cell r="B3428"/>
          <cell r="C3428"/>
          <cell r="D3428"/>
          <cell r="E3428"/>
          <cell r="F3428"/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0">
          <cell r="A3430"/>
          <cell r="B3430"/>
          <cell r="C3430"/>
          <cell r="D3430"/>
          <cell r="E3430"/>
          <cell r="F3430"/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87.015000000000001</v>
          </cell>
          <cell r="E3431"/>
          <cell r="F3431">
            <v>100.06724999999999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69.611999999999995</v>
          </cell>
          <cell r="E3432"/>
          <cell r="F3432">
            <v>80.053799999999981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  <cell r="E3433"/>
          <cell r="F3433">
            <v>200.13449999999997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77.716746411483257</v>
          </cell>
          <cell r="E3434"/>
          <cell r="F3434">
            <v>89.374258373205734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46.408000000000001</v>
          </cell>
          <cell r="E3435"/>
          <cell r="F3435">
            <v>53.369199999999999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18.318947368421053</v>
          </cell>
          <cell r="E3436"/>
          <cell r="F3436">
            <v>21.06678947368421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  <cell r="E3437"/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17.402999999999999</v>
          </cell>
          <cell r="E3438"/>
          <cell r="F3438">
            <v>20.013449999999995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49.722857142857144</v>
          </cell>
          <cell r="E3439"/>
          <cell r="F3439">
            <v>57.181285714285714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34.805999999999997</v>
          </cell>
          <cell r="E3440"/>
          <cell r="F3440">
            <v>40.026899999999991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66.711499999999987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46.408000000000001</v>
          </cell>
          <cell r="E3442">
            <v>1</v>
          </cell>
          <cell r="F3442">
            <v>53.369199999999999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27.844799999999999</v>
          </cell>
          <cell r="E3443">
            <v>1</v>
          </cell>
          <cell r="F3443">
            <v>32.021519999999995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66.711499999999987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69.611999999999995</v>
          </cell>
          <cell r="E3445">
            <v>1</v>
          </cell>
          <cell r="F3445">
            <v>80.053799999999981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122.12631578947368</v>
          </cell>
          <cell r="E3446">
            <v>1</v>
          </cell>
          <cell r="F3446">
            <v>140.44526315789471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266.84599999999995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53.547692307692309</v>
          </cell>
          <cell r="E3448"/>
          <cell r="F3448">
            <v>61.579846153846148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8.7014999999999993</v>
          </cell>
          <cell r="E3449">
            <v>1</v>
          </cell>
          <cell r="F3449">
            <v>10.006724999999998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31.641818181818181</v>
          </cell>
          <cell r="E3450">
            <v>1</v>
          </cell>
          <cell r="F3450">
            <v>36.388090909090906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42.838153846153844</v>
          </cell>
          <cell r="E3451">
            <v>1</v>
          </cell>
          <cell r="F3451">
            <v>49.263876923076914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16.677874999999997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25.687084870848707</v>
          </cell>
          <cell r="E3453">
            <v>1</v>
          </cell>
          <cell r="F3453">
            <v>29.540147601476011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  <cell r="E3454"/>
          <cell r="F3454">
            <v>133.42299999999997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37.126399999999997</v>
          </cell>
          <cell r="E3455"/>
          <cell r="F3455">
            <v>42.695359999999994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40.948235294117644</v>
          </cell>
          <cell r="E3456">
            <v>1</v>
          </cell>
          <cell r="F3456">
            <v>47.090470588235284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66.711499999999987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99.445714285714288</v>
          </cell>
          <cell r="E3458">
            <v>1</v>
          </cell>
          <cell r="F3458">
            <v>114.36257142857143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46.408000000000001</v>
          </cell>
          <cell r="E3459"/>
          <cell r="F3459">
            <v>53.369199999999999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40.948235294117644</v>
          </cell>
          <cell r="E3460">
            <v>1</v>
          </cell>
          <cell r="F3460">
            <v>47.090470588235284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28.182995951417006</v>
          </cell>
          <cell r="E3461">
            <v>1</v>
          </cell>
          <cell r="F3461">
            <v>32.410445344129556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38.673333333333332</v>
          </cell>
          <cell r="E3462"/>
          <cell r="F3462">
            <v>44.474333333333327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  <cell r="E3463"/>
          <cell r="F3463">
            <v>16.010759999999998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34.805999999999997</v>
          </cell>
          <cell r="E3464"/>
          <cell r="F3464">
            <v>40.026899999999991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66.614354066985655</v>
          </cell>
          <cell r="E3465"/>
          <cell r="F3465">
            <v>76.606507177033492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7.327578947368421</v>
          </cell>
          <cell r="E3466"/>
          <cell r="F3466">
            <v>8.4267157894736826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34.805999999999997</v>
          </cell>
          <cell r="E3467"/>
          <cell r="F3467">
            <v>40.026899999999991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400.26899999999995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133.42299999999997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200.13449999999997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331.48571428571427</v>
          </cell>
          <cell r="E3471">
            <v>1</v>
          </cell>
          <cell r="F3471">
            <v>381.20857142857136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4.5498039215686275</v>
          </cell>
          <cell r="E3474"/>
          <cell r="F3474">
            <v>5.2322745098039212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23.204000000000001</v>
          </cell>
          <cell r="E3475"/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4.5498039215686275</v>
          </cell>
          <cell r="E3476"/>
          <cell r="F3476">
            <v>5.2322745098039212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69.611999999999995</v>
          </cell>
          <cell r="E3477"/>
          <cell r="F3477">
            <v>80.053799999999981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4.5498039215686275</v>
          </cell>
          <cell r="E3478"/>
          <cell r="F3478">
            <v>5.2322745098039212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4.093619523669509</v>
          </cell>
          <cell r="E3479"/>
          <cell r="F3479">
            <v>4.7076624522199353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4.5498039215686275</v>
          </cell>
          <cell r="E3480"/>
          <cell r="F3480">
            <v>5.2322745098039212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36.637894736842107</v>
          </cell>
          <cell r="E3481"/>
          <cell r="F3481">
            <v>42.13357894736842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  <cell r="D3482"/>
          <cell r="E3482"/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4.0425000000000004</v>
          </cell>
          <cell r="E3483"/>
          <cell r="F3483">
            <v>4.6488750000000003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4.5498039215686275</v>
          </cell>
          <cell r="E3484"/>
          <cell r="F3484">
            <v>5.2322745098039212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3.4805999999999999</v>
          </cell>
          <cell r="E3485"/>
          <cell r="F3485">
            <v>4.0026899999999994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188.14054054054054</v>
          </cell>
          <cell r="E3486"/>
          <cell r="F3486">
            <v>216.36162162162159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  <cell r="E3487"/>
          <cell r="F3487">
            <v>533.69199999999989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12.656727272727272</v>
          </cell>
          <cell r="E3488"/>
          <cell r="F3488">
            <v>14.555236363636361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55.511961722488046</v>
          </cell>
          <cell r="E3489"/>
          <cell r="F3489">
            <v>63.838755980861251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15.469333333333333</v>
          </cell>
          <cell r="E3490"/>
          <cell r="F3490">
            <v>17.789733333333331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12.656727272727272</v>
          </cell>
          <cell r="E3491"/>
          <cell r="F3491">
            <v>14.555236363636361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  <cell r="E3492"/>
          <cell r="F3492">
            <v>400.26899999999995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69.611999999999995</v>
          </cell>
          <cell r="E3493"/>
          <cell r="F3493">
            <v>80.053799999999981</v>
          </cell>
        </row>
        <row r="3494">
          <cell r="A3494" t="str">
            <v>BAYO</v>
          </cell>
          <cell r="B3494" t="str">
            <v xml:space="preserve">Bayoneteo de varillas </v>
          </cell>
          <cell r="C3494" t="str">
            <v>PZA</v>
          </cell>
          <cell r="D3494">
            <v>2.7844799999999998</v>
          </cell>
          <cell r="E3494"/>
          <cell r="F3494">
            <v>3.2021519999999994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27.844799999999999</v>
          </cell>
          <cell r="E3495"/>
          <cell r="F3495">
            <v>32.021519999999995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34.805999999999997</v>
          </cell>
          <cell r="E3496"/>
          <cell r="F3496">
            <v>40.026899999999991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23.204000000000001</v>
          </cell>
          <cell r="E3497"/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8.7014999999999993</v>
          </cell>
          <cell r="E3498"/>
          <cell r="F3498">
            <v>10.006724999999998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34.805999999999997</v>
          </cell>
          <cell r="E3499">
            <v>1</v>
          </cell>
          <cell r="F3499">
            <v>40.026899999999991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69.611999999999995</v>
          </cell>
          <cell r="E3500">
            <v>1</v>
          </cell>
          <cell r="F3500">
            <v>80.053799999999981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46.408000000000001</v>
          </cell>
          <cell r="E3501">
            <v>1</v>
          </cell>
          <cell r="F3501">
            <v>53.369199999999999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87.015000000000001</v>
          </cell>
          <cell r="E3502"/>
          <cell r="F3502">
            <v>100.06724999999999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87.015000000000001</v>
          </cell>
          <cell r="E3503">
            <v>1</v>
          </cell>
          <cell r="F3503">
            <v>100.06724999999999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69.611999999999995</v>
          </cell>
          <cell r="E3504">
            <v>1</v>
          </cell>
          <cell r="F3504">
            <v>80.053799999999981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63.283636363636361</v>
          </cell>
          <cell r="E3505">
            <v>1</v>
          </cell>
          <cell r="F3505">
            <v>72.776181818181811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139.22399999999999</v>
          </cell>
          <cell r="E3506">
            <v>1</v>
          </cell>
          <cell r="F3506">
            <v>160.10759999999996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154.69333333333333</v>
          </cell>
          <cell r="E3507">
            <v>1</v>
          </cell>
          <cell r="F3507">
            <v>177.89733333333331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99.445714285714288</v>
          </cell>
          <cell r="E3508">
            <v>1</v>
          </cell>
          <cell r="F3508">
            <v>114.36257142857143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114.36257142857143</v>
          </cell>
          <cell r="E3509">
            <v>1</v>
          </cell>
          <cell r="F3509">
            <v>131.51695714285714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107.09538461538462</v>
          </cell>
          <cell r="E3510">
            <v>1</v>
          </cell>
          <cell r="F3510">
            <v>123.1596923076923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123.15969230769231</v>
          </cell>
          <cell r="E3511">
            <v>1</v>
          </cell>
          <cell r="F3511">
            <v>141.63364615384614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139.22399999999999</v>
          </cell>
          <cell r="E3512"/>
          <cell r="F3512">
            <v>160.10759999999996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99.445714285714288</v>
          </cell>
          <cell r="E3513">
            <v>1</v>
          </cell>
          <cell r="F3513">
            <v>114.36257142857143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610.63157894736844</v>
          </cell>
          <cell r="E3514"/>
          <cell r="F3514">
            <v>702.22631578947369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87.015000000000001</v>
          </cell>
          <cell r="E3515">
            <v>1</v>
          </cell>
          <cell r="F3515">
            <v>100.06724999999999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61.06315789473684</v>
          </cell>
          <cell r="E3516">
            <v>1</v>
          </cell>
          <cell r="F3516">
            <v>70.222631578947357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23.204000000000001</v>
          </cell>
          <cell r="E3517"/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  <cell r="E3518"/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  <cell r="E3519"/>
          <cell r="F3519">
            <v>4002.6899999999996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  <cell r="E3520"/>
          <cell r="F3520">
            <v>3202.1519999999996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3164.181818181818</v>
          </cell>
          <cell r="E3521"/>
          <cell r="F3521">
            <v>3638.8090909090906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  <cell r="E3522"/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12.656727272727272</v>
          </cell>
          <cell r="E3523"/>
          <cell r="F3523">
            <v>14.555236363636361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99.445714285714288</v>
          </cell>
          <cell r="E3524"/>
          <cell r="F3524">
            <v>114.36257142857143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87.015000000000001</v>
          </cell>
          <cell r="E3525">
            <v>1</v>
          </cell>
          <cell r="F3525">
            <v>100.06724999999999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100.06724999999999</v>
          </cell>
          <cell r="E3526">
            <v>1</v>
          </cell>
          <cell r="F3526">
            <v>115.07733749999997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63.283636363636361</v>
          </cell>
          <cell r="E3527">
            <v>1</v>
          </cell>
          <cell r="F3527">
            <v>72.776181818181811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72.512500000000003</v>
          </cell>
          <cell r="E3528">
            <v>1</v>
          </cell>
          <cell r="F3528">
            <v>83.389375000000001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69.611999999999995</v>
          </cell>
          <cell r="E3529">
            <v>1</v>
          </cell>
          <cell r="F3529">
            <v>80.053799999999981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80.053799999999981</v>
          </cell>
          <cell r="E3530">
            <v>1</v>
          </cell>
          <cell r="F3530">
            <v>92.061869999999971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99.445714285714288</v>
          </cell>
          <cell r="E3531">
            <v>1</v>
          </cell>
          <cell r="F3531">
            <v>114.36257142857143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114.36257142857143</v>
          </cell>
          <cell r="E3532">
            <v>1</v>
          </cell>
          <cell r="F3532">
            <v>131.51695714285714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73.275789473684213</v>
          </cell>
          <cell r="E3533">
            <v>1</v>
          </cell>
          <cell r="F3533">
            <v>84.26715789473684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84.378181818181815</v>
          </cell>
          <cell r="E3534">
            <v>1</v>
          </cell>
          <cell r="F3534">
            <v>97.034909090909082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55.689599999999999</v>
          </cell>
          <cell r="E3535">
            <v>1</v>
          </cell>
          <cell r="F3535">
            <v>64.043039999999991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63.864220183486239</v>
          </cell>
          <cell r="E3536">
            <v>1</v>
          </cell>
          <cell r="F3536">
            <v>73.44385321100917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60.532173913043479</v>
          </cell>
          <cell r="E3537">
            <v>1</v>
          </cell>
          <cell r="F3537">
            <v>69.611999999999995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69.611999999999995</v>
          </cell>
          <cell r="E3538">
            <v>1</v>
          </cell>
          <cell r="F3538">
            <v>80.053799999999981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81.896470588235289</v>
          </cell>
          <cell r="E3539">
            <v>1</v>
          </cell>
          <cell r="F3539">
            <v>94.180941176470569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94.180941176470583</v>
          </cell>
          <cell r="E3540">
            <v>1</v>
          </cell>
          <cell r="F3540">
            <v>108.30808235294116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133.42299999999997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99.445714285714288</v>
          </cell>
          <cell r="E3542">
            <v>1</v>
          </cell>
          <cell r="F3542">
            <v>114.36257142857143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126.56727272727272</v>
          </cell>
          <cell r="E3543">
            <v>1</v>
          </cell>
          <cell r="F3543">
            <v>145.55236363636362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95.358904109589048</v>
          </cell>
          <cell r="E3544">
            <v>1</v>
          </cell>
          <cell r="F3544">
            <v>109.6627397260274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90.996078431372538</v>
          </cell>
          <cell r="E3545">
            <v>1</v>
          </cell>
          <cell r="F3545">
            <v>104.64549019607841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104.64549019607841</v>
          </cell>
          <cell r="E3546">
            <v>1</v>
          </cell>
          <cell r="F3546">
            <v>120.34231372549017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120.34231372549017</v>
          </cell>
          <cell r="E3547">
            <v>1</v>
          </cell>
          <cell r="F3547">
            <v>138.39366078431368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125.08406249999999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125.08406249999999</v>
          </cell>
          <cell r="E3549">
            <v>1</v>
          </cell>
          <cell r="F3549">
            <v>143.84667187499997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181.59652173913042</v>
          </cell>
          <cell r="E3550">
            <v>1</v>
          </cell>
          <cell r="F3550">
            <v>208.83599999999998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75.665217391304353</v>
          </cell>
          <cell r="E3551">
            <v>1</v>
          </cell>
          <cell r="F3551">
            <v>87.015000000000001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87.015000000000001</v>
          </cell>
          <cell r="E3552">
            <v>1</v>
          </cell>
          <cell r="F3552">
            <v>100.06724999999999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100.06724999999999</v>
          </cell>
          <cell r="E3553">
            <v>1</v>
          </cell>
          <cell r="F3553">
            <v>115.07733749999997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113.11950000000002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149.60053874999997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172.04061956249998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105.31316187594554</v>
          </cell>
          <cell r="E3557">
            <v>1</v>
          </cell>
          <cell r="F3557">
            <v>121.11013615733737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133.42299999999997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148.11063829787233</v>
          </cell>
          <cell r="E3559">
            <v>1</v>
          </cell>
          <cell r="F3559">
            <v>170.32723404255316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296.22127659574465</v>
          </cell>
          <cell r="E3560">
            <v>1</v>
          </cell>
          <cell r="F3560">
            <v>340.65446808510632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63.283636363636361</v>
          </cell>
          <cell r="E3561">
            <v>1</v>
          </cell>
          <cell r="F3561">
            <v>72.776181818181811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77.346666666666664</v>
          </cell>
          <cell r="E3562">
            <v>1</v>
          </cell>
          <cell r="F3562">
            <v>88.948666666666654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139.22399999999999</v>
          </cell>
          <cell r="E3563">
            <v>1</v>
          </cell>
          <cell r="F3563">
            <v>160.10759999999996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81.896470588235289</v>
          </cell>
          <cell r="E3564">
            <v>1</v>
          </cell>
          <cell r="F3564">
            <v>94.180941176470569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63.283636363636361</v>
          </cell>
          <cell r="E3565">
            <v>1</v>
          </cell>
          <cell r="F3565">
            <v>72.776181818181811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69.611999999999995</v>
          </cell>
          <cell r="E3566">
            <v>1</v>
          </cell>
          <cell r="F3566">
            <v>80.053799999999981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87.015000000000001</v>
          </cell>
          <cell r="E3567">
            <v>1</v>
          </cell>
          <cell r="F3567">
            <v>100.06724999999999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73.275789473684213</v>
          </cell>
          <cell r="E3568">
            <v>1</v>
          </cell>
          <cell r="F3568">
            <v>84.26715789473684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66.711499999999987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77.346666666666664</v>
          </cell>
          <cell r="E3572">
            <v>1</v>
          </cell>
          <cell r="F3572">
            <v>88.948666666666654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66.297142857142859</v>
          </cell>
          <cell r="E3574">
            <v>1</v>
          </cell>
          <cell r="F3574">
            <v>76.241714285714281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81.896470588235289</v>
          </cell>
          <cell r="E3575">
            <v>1</v>
          </cell>
          <cell r="F3575">
            <v>94.180941176470569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99.445714285714288</v>
          </cell>
          <cell r="E3576">
            <v>1</v>
          </cell>
          <cell r="F3576">
            <v>114.36257142857143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126.56727272727272</v>
          </cell>
          <cell r="E3577">
            <v>1</v>
          </cell>
          <cell r="F3577">
            <v>145.55236363636362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85.94074074074075</v>
          </cell>
          <cell r="E3578">
            <v>1</v>
          </cell>
          <cell r="F3578">
            <v>98.831851851851852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98.831851851851852</v>
          </cell>
          <cell r="E3579">
            <v>1</v>
          </cell>
          <cell r="F3579">
            <v>113.65662962962962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105.47272727272728</v>
          </cell>
          <cell r="E3580">
            <v>1</v>
          </cell>
          <cell r="F3580">
            <v>121.29363636363637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139.22399999999999</v>
          </cell>
          <cell r="E3581">
            <v>1</v>
          </cell>
          <cell r="F3581">
            <v>160.10759999999996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105.31316187594554</v>
          </cell>
          <cell r="E3582">
            <v>1</v>
          </cell>
          <cell r="F3582">
            <v>121.11013615733737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121.11013615733735</v>
          </cell>
          <cell r="E3583">
            <v>1</v>
          </cell>
          <cell r="F3583">
            <v>139.27665658093795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  <cell r="E3584"/>
          <cell r="F3584"/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  <cell r="E3585"/>
          <cell r="F3585">
            <v>266.84599999999995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6.9611999999999998</v>
          </cell>
          <cell r="E3589"/>
          <cell r="F3589">
            <v>8.0053799999999988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34.805999999999997</v>
          </cell>
          <cell r="E3590"/>
          <cell r="F3590">
            <v>40.026899999999991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69.611999999999995</v>
          </cell>
          <cell r="E3591"/>
          <cell r="F3591">
            <v>80.053799999999981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34.805999999999997</v>
          </cell>
          <cell r="E3592"/>
          <cell r="F3592">
            <v>40.026899999999991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46.408000000000001</v>
          </cell>
          <cell r="E3593"/>
          <cell r="F3593">
            <v>53.369199999999999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87.015000000000001</v>
          </cell>
          <cell r="E3594">
            <v>1</v>
          </cell>
          <cell r="F3594">
            <v>100.06724999999999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69.611999999999995</v>
          </cell>
          <cell r="E3595">
            <v>1</v>
          </cell>
          <cell r="F3595">
            <v>80.053799999999981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  <cell r="E3596"/>
          <cell r="F3596">
            <v>533.69199999999989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278.44799999999998</v>
          </cell>
          <cell r="E3597"/>
          <cell r="F3597">
            <v>320.21519999999992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  <cell r="E3598"/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46.408000000000001</v>
          </cell>
          <cell r="E3599"/>
          <cell r="F3599">
            <v>53.369199999999999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400.26899999999995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  <cell r="E3601"/>
          <cell r="F3601">
            <v>200.13449999999997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34.805999999999997</v>
          </cell>
          <cell r="E3602"/>
          <cell r="F3602">
            <v>40.026899999999991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34.805999999999997</v>
          </cell>
          <cell r="E3603">
            <v>1</v>
          </cell>
          <cell r="F3603">
            <v>40.026899999999991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17.097684210526314</v>
          </cell>
          <cell r="E3604"/>
          <cell r="F3604">
            <v>19.662336842105258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10.96251968503937</v>
          </cell>
          <cell r="E3605"/>
          <cell r="F3605">
            <v>12.606897637795274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5.3547692307692305</v>
          </cell>
          <cell r="E3606"/>
          <cell r="F3606">
            <v>6.1579846153846143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2.7844799999999998</v>
          </cell>
          <cell r="E3607"/>
          <cell r="F3607">
            <v>3.2021519999999994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23.204000000000001</v>
          </cell>
          <cell r="E3608"/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139.22399999999999</v>
          </cell>
          <cell r="E3609"/>
          <cell r="F3609">
            <v>160.10759999999996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23.204000000000001</v>
          </cell>
          <cell r="E3610"/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610.63157894736844</v>
          </cell>
          <cell r="E3611"/>
          <cell r="F3611">
            <v>702.22631578947369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34.805999999999997</v>
          </cell>
          <cell r="E3612">
            <v>1</v>
          </cell>
          <cell r="F3612">
            <v>40.026899999999991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23.204000000000001</v>
          </cell>
          <cell r="E3613"/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400.26899999999995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  <cell r="E3615"/>
          <cell r="F3615">
            <v>266.84599999999995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  <cell r="E3616"/>
          <cell r="F3616">
            <v>50.033624999999994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56.178105263157917</v>
          </cell>
          <cell r="E3617"/>
          <cell r="F3617">
            <v>64.604821052631593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139.22399999999999</v>
          </cell>
          <cell r="E3618"/>
          <cell r="F3618">
            <v>160.10759999999996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69.611999999999995</v>
          </cell>
          <cell r="E3619"/>
          <cell r="F3619">
            <v>80.053799999999981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208.83599999999998</v>
          </cell>
          <cell r="E3620"/>
          <cell r="F3620">
            <v>240.16139999999996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104.41799999999999</v>
          </cell>
          <cell r="E3621"/>
          <cell r="F3621">
            <v>120.08069999999998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278.44799999999998</v>
          </cell>
          <cell r="E3622"/>
          <cell r="F3622">
            <v>320.21519999999992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139.22399999999999</v>
          </cell>
          <cell r="E3623"/>
          <cell r="F3623">
            <v>160.10759999999996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99.445714285714288</v>
          </cell>
          <cell r="E3624"/>
          <cell r="F3624">
            <v>114.36257142857143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15.469333333333333</v>
          </cell>
          <cell r="E3625"/>
          <cell r="F3625">
            <v>17.789733333333331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17.402999999999999</v>
          </cell>
          <cell r="E3626"/>
          <cell r="F3626">
            <v>20.013449999999995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19.336666666666666</v>
          </cell>
          <cell r="E3627"/>
          <cell r="F3627">
            <v>22.237166666666663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38.673333333333332</v>
          </cell>
          <cell r="E3628"/>
          <cell r="F3628">
            <v>44.474333333333327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15.469333333333333</v>
          </cell>
          <cell r="E3629"/>
          <cell r="F3629">
            <v>17.789733333333331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  <cell r="E3630"/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87.015000000000001</v>
          </cell>
          <cell r="E3631"/>
          <cell r="F3631">
            <v>100.06724999999999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46.408000000000001</v>
          </cell>
          <cell r="E3632"/>
          <cell r="F3632">
            <v>53.369199999999999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77.346666666666664</v>
          </cell>
          <cell r="E3633"/>
          <cell r="F3633">
            <v>88.948666666666654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87.015000000000001</v>
          </cell>
          <cell r="E3635"/>
          <cell r="F3635">
            <v>100.06724999999999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200.63609022556392</v>
          </cell>
          <cell r="E3636"/>
          <cell r="F3636">
            <v>230.73150375939849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87.015000000000001</v>
          </cell>
          <cell r="E3637"/>
          <cell r="F3637">
            <v>100.06724999999999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46.408000000000001</v>
          </cell>
          <cell r="E3638"/>
          <cell r="F3638">
            <v>53.369199999999999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77.346666666666664</v>
          </cell>
          <cell r="E3639"/>
          <cell r="F3639">
            <v>88.948666666666654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87.015000000000001</v>
          </cell>
          <cell r="E3640"/>
          <cell r="F3640">
            <v>100.06724999999999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27.844799999999999</v>
          </cell>
          <cell r="E3641"/>
          <cell r="F3641">
            <v>32.021519999999995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24.861428571428572</v>
          </cell>
          <cell r="E3642"/>
          <cell r="F3642">
            <v>28.590642857142857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27.844799999999999</v>
          </cell>
          <cell r="E3643"/>
          <cell r="F3643">
            <v>32.021519999999995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69.611999999999995</v>
          </cell>
          <cell r="E3644"/>
          <cell r="F3644">
            <v>80.053799999999981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104.41799999999999</v>
          </cell>
          <cell r="E3645"/>
          <cell r="F3645">
            <v>120.08069999999998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34.805999999999997</v>
          </cell>
          <cell r="E3646"/>
          <cell r="F3646">
            <v>40.026899999999991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52.208999999999996</v>
          </cell>
          <cell r="E3647"/>
          <cell r="F3647">
            <v>60.040349999999989</v>
          </cell>
        </row>
        <row r="3648">
          <cell r="A3648" t="str">
            <v>DEM26</v>
          </cell>
          <cell r="B3648" t="str">
            <v xml:space="preserve">Demolicion de losa de concreto esp. 5 cms 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29.004999999999999</v>
          </cell>
          <cell r="E3649"/>
          <cell r="F3649">
            <v>33.355749999999993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  <cell r="E3650"/>
          <cell r="F3650">
            <v>50.033624999999994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69.611999999999995</v>
          </cell>
          <cell r="E3651"/>
          <cell r="F3651">
            <v>80.053799999999981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23.204000000000001</v>
          </cell>
          <cell r="E3652"/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18.814054054054054</v>
          </cell>
          <cell r="E3653"/>
          <cell r="F3653">
            <v>21.636162162162162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9.3630175438596588</v>
          </cell>
          <cell r="E3654"/>
          <cell r="F3654">
            <v>10.767470175438607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14.206530612244897</v>
          </cell>
          <cell r="E3655"/>
          <cell r="F3655">
            <v>16.337510204081632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  <cell r="E3656"/>
          <cell r="F3656">
            <v>25.016812499999997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49.722857142857144</v>
          </cell>
          <cell r="E3657"/>
          <cell r="F3657">
            <v>57.181285714285714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24.861428571428576</v>
          </cell>
          <cell r="E3658"/>
          <cell r="F3658">
            <v>28.590642857142861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34.806000000000004</v>
          </cell>
          <cell r="E3659"/>
          <cell r="F3659">
            <v>40.026900000000005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139.22399999999999</v>
          </cell>
          <cell r="E3660"/>
          <cell r="F3660">
            <v>160.10759999999996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23.204000000000001</v>
          </cell>
          <cell r="E3661"/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139.22399999999999</v>
          </cell>
          <cell r="E3662"/>
          <cell r="F3662">
            <v>160.10759999999996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9.2815999999999992</v>
          </cell>
          <cell r="E3663"/>
          <cell r="F3663">
            <v>10.673839999999998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19.889142857142858</v>
          </cell>
          <cell r="E3664"/>
          <cell r="F3664">
            <v>22.872514285714285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  <cell r="E3665"/>
          <cell r="F3665">
            <v>800.5379999999999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14.044526315789463</v>
          </cell>
          <cell r="E3666"/>
          <cell r="F3666">
            <v>16.15120526315788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15.605029239766061</v>
          </cell>
          <cell r="E3667"/>
          <cell r="F3667">
            <v>17.945783625730968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27.844799999999999</v>
          </cell>
          <cell r="E3668"/>
          <cell r="F3668">
            <v>32.021519999999995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23.204000000000001</v>
          </cell>
          <cell r="E3670"/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  <cell r="E3671"/>
          <cell r="F3671">
            <v>16.010759999999998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19.336666666666666</v>
          </cell>
          <cell r="E3672"/>
          <cell r="F3672">
            <v>22.237166666666663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23.204000000000001</v>
          </cell>
          <cell r="E3673"/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34.805999999999997</v>
          </cell>
          <cell r="E3674"/>
          <cell r="F3674">
            <v>40.026899999999991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69.611999999999995</v>
          </cell>
          <cell r="E3675"/>
          <cell r="F3675">
            <v>80.053799999999981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14.044526315789463</v>
          </cell>
          <cell r="E3676"/>
          <cell r="F3676">
            <v>16.15120526315788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  <cell r="E3679"/>
          <cell r="F3679">
            <v>16.010759999999998</v>
          </cell>
        </row>
        <row r="3680">
          <cell r="A3680" t="str">
            <v>DES12</v>
          </cell>
          <cell r="B3680" t="str">
            <v xml:space="preserve">Desmontar empedrado </v>
          </cell>
          <cell r="C3680" t="str">
            <v>M2</v>
          </cell>
          <cell r="D3680">
            <v>11.235621052631585</v>
          </cell>
          <cell r="E3680"/>
          <cell r="F3680">
            <v>12.920964210526321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  <cell r="E3681"/>
          <cell r="F3681">
            <v>133.42299999999997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4.8850526315789473</v>
          </cell>
          <cell r="E3682"/>
          <cell r="F3682">
            <v>5.6178105263157887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44.910967741935487</v>
          </cell>
          <cell r="E3683"/>
          <cell r="F3683">
            <v>51.647612903225806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  <cell r="E3685"/>
          <cell r="F3685">
            <v>66.711499999999987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34.805999999999997</v>
          </cell>
          <cell r="E3686"/>
          <cell r="F3686">
            <v>40.026899999999991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  <cell r="E3687"/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  <cell r="E3688"/>
          <cell r="F3688"/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  <cell r="E3689"/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  <cell r="E3690"/>
          <cell r="F3690">
            <v>266.84599999999995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44.939961265332471</v>
          </cell>
          <cell r="E3691"/>
          <cell r="F3691">
            <v>51.680955455132334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193.36666666666667</v>
          </cell>
          <cell r="E3692"/>
          <cell r="F3692">
            <v>193.36666666666667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  <cell r="E3693"/>
          <cell r="F3693">
            <v>66.711499999999987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107.09538461538462</v>
          </cell>
          <cell r="E3695"/>
          <cell r="F3695">
            <v>123.1596923076923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53.547692307692309</v>
          </cell>
          <cell r="E3696">
            <v>1</v>
          </cell>
          <cell r="F3696">
            <v>61.579846153846148</v>
          </cell>
        </row>
        <row r="3697">
          <cell r="A3697" t="str">
            <v>ENC02</v>
          </cell>
          <cell r="B3697" t="str">
            <v xml:space="preserve">Enchape de muro </v>
          </cell>
          <cell r="C3697" t="str">
            <v>M2</v>
          </cell>
          <cell r="D3697">
            <v>46.408000000000001</v>
          </cell>
          <cell r="E3697">
            <v>1</v>
          </cell>
          <cell r="F3697">
            <v>53.369199999999999</v>
          </cell>
        </row>
        <row r="3698">
          <cell r="A3698" t="str">
            <v>ENC03</v>
          </cell>
          <cell r="B3698" t="str">
            <v xml:space="preserve">Enchape de viga </v>
          </cell>
          <cell r="C3698" t="str">
            <v>ML</v>
          </cell>
          <cell r="D3698">
            <v>23.204000000000001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87.015000000000001</v>
          </cell>
          <cell r="E3699">
            <v>1</v>
          </cell>
          <cell r="F3699">
            <v>100.06724999999999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2.7844799999999998</v>
          </cell>
          <cell r="E3700"/>
          <cell r="F3700">
            <v>3.2021519999999994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71.396923076923073</v>
          </cell>
          <cell r="E3701">
            <v>1</v>
          </cell>
          <cell r="F3701">
            <v>82.106461538461531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82.106461538461531</v>
          </cell>
          <cell r="E3702">
            <v>1</v>
          </cell>
          <cell r="F3702">
            <v>94.422430769230758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87.015000000000001</v>
          </cell>
          <cell r="E3703">
            <v>1</v>
          </cell>
          <cell r="F3703">
            <v>100.06724999999999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100.06724999999999</v>
          </cell>
          <cell r="E3704">
            <v>1</v>
          </cell>
          <cell r="F3704">
            <v>115.07733749999997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97.701052631578946</v>
          </cell>
          <cell r="E3705">
            <v>1</v>
          </cell>
          <cell r="F3705">
            <v>112.35621052631578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112.27741935483871</v>
          </cell>
          <cell r="E3706">
            <v>1</v>
          </cell>
          <cell r="F3706">
            <v>129.11903225806452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129.11903225806449</v>
          </cell>
          <cell r="E3707">
            <v>1</v>
          </cell>
          <cell r="F3707">
            <v>148.48688709677415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27.844799999999999</v>
          </cell>
          <cell r="E3708">
            <v>1</v>
          </cell>
          <cell r="F3708">
            <v>32.021519999999995</v>
          </cell>
        </row>
        <row r="3709">
          <cell r="A3709" t="str">
            <v>ENJ08</v>
          </cell>
          <cell r="B3709" t="str">
            <v xml:space="preserve">Enjarre apalillado en losa inclinada </v>
          </cell>
          <cell r="C3709" t="str">
            <v>M2</v>
          </cell>
          <cell r="D3709">
            <v>97.701052631578946</v>
          </cell>
          <cell r="E3709">
            <v>1</v>
          </cell>
          <cell r="F3709">
            <v>112.35621052631578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112.27741935483871</v>
          </cell>
          <cell r="E3710">
            <v>1</v>
          </cell>
          <cell r="F3710">
            <v>129.11903225806452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102.5861052631579</v>
          </cell>
          <cell r="E3711">
            <v>1</v>
          </cell>
          <cell r="F3711">
            <v>117.97402105263158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117.89955817378498</v>
          </cell>
          <cell r="E3712">
            <v>1</v>
          </cell>
          <cell r="F3712">
            <v>135.58449189985271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99.445714285714288</v>
          </cell>
          <cell r="E3713">
            <v>1</v>
          </cell>
          <cell r="F3713">
            <v>114.36257142857143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55.511961722488046</v>
          </cell>
          <cell r="E3714">
            <v>1</v>
          </cell>
          <cell r="F3714">
            <v>63.838755980861251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109.91368421052633</v>
          </cell>
          <cell r="E3715">
            <v>1</v>
          </cell>
          <cell r="F3715">
            <v>126.40073684210526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126.46729857819903</v>
          </cell>
          <cell r="E3716">
            <v>1</v>
          </cell>
          <cell r="F3716">
            <v>145.43739336492888</v>
          </cell>
        </row>
        <row r="3717">
          <cell r="A3717" t="str">
            <v>ENJ16</v>
          </cell>
          <cell r="B3717" t="str">
            <v xml:space="preserve">Enjarre pulido </v>
          </cell>
          <cell r="C3717" t="str">
            <v>M2</v>
          </cell>
          <cell r="D3717">
            <v>85.48842105263158</v>
          </cell>
          <cell r="E3717">
            <v>1</v>
          </cell>
          <cell r="F3717">
            <v>98.311684210526309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97.701052631578946</v>
          </cell>
          <cell r="E3718">
            <v>1</v>
          </cell>
          <cell r="F3718">
            <v>112.35621052631578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87.015000000000001</v>
          </cell>
          <cell r="E3719">
            <v>1</v>
          </cell>
          <cell r="F3719">
            <v>100.06724999999999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100.06724999999999</v>
          </cell>
          <cell r="E3720">
            <v>1</v>
          </cell>
          <cell r="F3720">
            <v>115.07733749999997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99.921531100478461</v>
          </cell>
          <cell r="E3721">
            <v>1</v>
          </cell>
          <cell r="F3721">
            <v>114.90976076555022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114.85480631276901</v>
          </cell>
          <cell r="E3722">
            <v>1</v>
          </cell>
          <cell r="F3722">
            <v>132.08302725968434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99.921531100478461</v>
          </cell>
          <cell r="E3723">
            <v>1</v>
          </cell>
          <cell r="F3723">
            <v>114.90976076555022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114.85480631276901</v>
          </cell>
          <cell r="E3724">
            <v>1</v>
          </cell>
          <cell r="F3724">
            <v>132.08302725968434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154.69333333333333</v>
          </cell>
          <cell r="E3725">
            <v>1</v>
          </cell>
          <cell r="F3725">
            <v>177.89733333333331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71.03265306122448</v>
          </cell>
          <cell r="E3726">
            <v>1</v>
          </cell>
          <cell r="F3726">
            <v>81.687551020408151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81.687551020408165</v>
          </cell>
          <cell r="E3727">
            <v>1</v>
          </cell>
          <cell r="F3727">
            <v>93.94068367346938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92.342448979591836</v>
          </cell>
          <cell r="E3728">
            <v>1</v>
          </cell>
          <cell r="F3728">
            <v>106.19381632653061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102.99734693877549</v>
          </cell>
          <cell r="E3729">
            <v>1</v>
          </cell>
          <cell r="F3729">
            <v>118.44694897959181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85.413496932515329</v>
          </cell>
          <cell r="E3730">
            <v>1</v>
          </cell>
          <cell r="F3730">
            <v>98.225521472392614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98.225521472392614</v>
          </cell>
          <cell r="E3731">
            <v>1</v>
          </cell>
          <cell r="F3731">
            <v>112.9593496932515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102.74762276785712</v>
          </cell>
          <cell r="E3732">
            <v>1</v>
          </cell>
          <cell r="F3732">
            <v>118.15976618303569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118.15976618303567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156.26629077706463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95.480574162679432</v>
          </cell>
          <cell r="E3735">
            <v>1</v>
          </cell>
          <cell r="F3735">
            <v>109.80266028708134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109.81316872427983</v>
          </cell>
          <cell r="E3736">
            <v>1</v>
          </cell>
          <cell r="F3736">
            <v>126.28514403292179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126.26782334384858</v>
          </cell>
          <cell r="E3737">
            <v>1</v>
          </cell>
          <cell r="F3737">
            <v>145.20799684542584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85.48842105263158</v>
          </cell>
          <cell r="E3738">
            <v>1</v>
          </cell>
          <cell r="F3738">
            <v>98.311684210526309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97.701052631578946</v>
          </cell>
          <cell r="E3739">
            <v>1</v>
          </cell>
          <cell r="F3739">
            <v>112.35621052631578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109.91368421052633</v>
          </cell>
          <cell r="E3740">
            <v>1</v>
          </cell>
          <cell r="F3740">
            <v>126.40073684210526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126.40140211264267</v>
          </cell>
          <cell r="E3741">
            <v>1</v>
          </cell>
          <cell r="F3741">
            <v>145.36161242953906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145.36161242953906</v>
          </cell>
          <cell r="E3742">
            <v>1</v>
          </cell>
          <cell r="F3742">
            <v>167.16585429396991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96.683333333333337</v>
          </cell>
          <cell r="E3743">
            <v>1</v>
          </cell>
          <cell r="F3743">
            <v>111.18583333333333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111.18583333333333</v>
          </cell>
          <cell r="E3744">
            <v>1</v>
          </cell>
          <cell r="F3744">
            <v>127.86370833333332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94.710204081632654</v>
          </cell>
          <cell r="E3745">
            <v>1</v>
          </cell>
          <cell r="F3745">
            <v>108.91673469387754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108.91673469387756</v>
          </cell>
          <cell r="E3746">
            <v>1</v>
          </cell>
          <cell r="F3746">
            <v>125.25424489795918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125.25424489795917</v>
          </cell>
          <cell r="E3747">
            <v>1</v>
          </cell>
          <cell r="F3747">
            <v>144.04238163265302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144.04238163265305</v>
          </cell>
          <cell r="E3748">
            <v>1</v>
          </cell>
          <cell r="F3748">
            <v>165.64873887755098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82.283687943262407</v>
          </cell>
          <cell r="E3749">
            <v>1</v>
          </cell>
          <cell r="F3749">
            <v>94.626241134751766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94.626241134751766</v>
          </cell>
          <cell r="E3750">
            <v>1</v>
          </cell>
          <cell r="F3750">
            <v>108.82017730496452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108.82017730496452</v>
          </cell>
          <cell r="E3751">
            <v>1</v>
          </cell>
          <cell r="F3751">
            <v>125.14320390070918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96.683333333333337</v>
          </cell>
          <cell r="E3752">
            <v>1</v>
          </cell>
          <cell r="F3752">
            <v>111.18583333333333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111.18583333333333</v>
          </cell>
          <cell r="E3753">
            <v>1</v>
          </cell>
          <cell r="F3753">
            <v>127.86370833333332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68.247058823529414</v>
          </cell>
          <cell r="E3754">
            <v>1</v>
          </cell>
          <cell r="F3754">
            <v>78.484117647058824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75.012931034482762</v>
          </cell>
          <cell r="E3755">
            <v>1</v>
          </cell>
          <cell r="F3755">
            <v>86.264870689655169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87.015000000000001</v>
          </cell>
          <cell r="E3757">
            <v>1</v>
          </cell>
          <cell r="F3757">
            <v>100.06724999999999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77.346666666666664</v>
          </cell>
          <cell r="E3758">
            <v>1</v>
          </cell>
          <cell r="F3758">
            <v>88.948666666666654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9.2815999999999992</v>
          </cell>
          <cell r="E3759"/>
          <cell r="F3759">
            <v>10.673839999999998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266.84599999999995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  <cell r="E3761"/>
          <cell r="F3761">
            <v>266.84599999999995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  <cell r="E3762"/>
          <cell r="F3762"/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38.673333333333332</v>
          </cell>
          <cell r="E3763"/>
          <cell r="F3763">
            <v>44.474333333333327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9.7359440559440564</v>
          </cell>
          <cell r="E3764"/>
          <cell r="F3764">
            <v>11.196335664335663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177.63827751196172</v>
          </cell>
          <cell r="E3765"/>
          <cell r="F3765">
            <v>204.28401913875595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166.53588516746413</v>
          </cell>
          <cell r="E3768"/>
          <cell r="F3768">
            <v>191.51626794258374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191.51626794258374</v>
          </cell>
          <cell r="E3769"/>
          <cell r="F3769">
            <v>220.2437081339713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278.44799999999998</v>
          </cell>
          <cell r="E3770"/>
          <cell r="F3770">
            <v>320.21519999999992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320.21519999999998</v>
          </cell>
          <cell r="E3771"/>
          <cell r="F3771">
            <v>368.24747999999994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333.07177033492826</v>
          </cell>
          <cell r="E3772"/>
          <cell r="F3772">
            <v>383.03253588516748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383.03253588516748</v>
          </cell>
          <cell r="E3773"/>
          <cell r="F3773">
            <v>440.48741626794259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128.9111111111111</v>
          </cell>
          <cell r="E3774"/>
          <cell r="F3774">
            <v>148.24777777777774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333.07177033492826</v>
          </cell>
          <cell r="E3775"/>
          <cell r="F3775">
            <v>383.03253588516748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40.006896551724139</v>
          </cell>
          <cell r="E3776">
            <v>1</v>
          </cell>
          <cell r="F3776">
            <v>46.007931034482759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34.805999999999997</v>
          </cell>
          <cell r="E3777">
            <v>1</v>
          </cell>
          <cell r="F3777">
            <v>40.026899999999991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44.623076923076923</v>
          </cell>
          <cell r="E3778">
            <v>1</v>
          </cell>
          <cell r="F3778">
            <v>51.316538461538457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  <cell r="E3779"/>
          <cell r="F3779">
            <v>133.42299999999997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  <cell r="E3780"/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  <cell r="E3781"/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16.653588516746414</v>
          </cell>
          <cell r="E3782"/>
          <cell r="F3782">
            <v>19.151626794258373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  <cell r="E3783"/>
          <cell r="F3783">
            <v>100</v>
          </cell>
        </row>
        <row r="3784">
          <cell r="A3784" t="str">
            <v>GALL1</v>
          </cell>
          <cell r="B3784" t="str">
            <v xml:space="preserve">Gallada de material o escombro </v>
          </cell>
          <cell r="C3784" t="str">
            <v>VIAJE</v>
          </cell>
          <cell r="D3784">
            <v>386.73333333333335</v>
          </cell>
          <cell r="E3784"/>
          <cell r="F3784">
            <v>444.74333333333334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  <cell r="E3785"/>
          <cell r="F3785">
            <v>400.26899999999995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  <cell r="E3786"/>
          <cell r="F3786">
            <v>133.42299999999997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87.015000000000001</v>
          </cell>
          <cell r="E3787">
            <v>1</v>
          </cell>
          <cell r="F3787">
            <v>100.06724999999999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69.611999999999995</v>
          </cell>
          <cell r="E3788"/>
          <cell r="F3788">
            <v>80.053799999999981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46.408000000000001</v>
          </cell>
          <cell r="E3789"/>
          <cell r="F3789">
            <v>53.369199999999999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139.22399999999999</v>
          </cell>
          <cell r="E3790"/>
          <cell r="F3790">
            <v>160.10759999999996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9.2815999999999992</v>
          </cell>
          <cell r="E3791"/>
          <cell r="F3791">
            <v>10.673839999999998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170.97684210526316</v>
          </cell>
          <cell r="E3792"/>
          <cell r="F3792">
            <v>196.62336842105262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27.844799999999999</v>
          </cell>
          <cell r="E3793"/>
          <cell r="F3793">
            <v>32.021519999999995</v>
          </cell>
        </row>
        <row r="3794">
          <cell r="A3794" t="str">
            <v>HAB02</v>
          </cell>
          <cell r="B3794" t="str">
            <v xml:space="preserve">Habilitar cimbra para columna o dado </v>
          </cell>
          <cell r="C3794" t="str">
            <v>ML</v>
          </cell>
          <cell r="D3794">
            <v>46.408000000000001</v>
          </cell>
          <cell r="E3794"/>
          <cell r="F3794">
            <v>53.369199999999999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34.805999999999997</v>
          </cell>
          <cell r="E3795"/>
          <cell r="F3795">
            <v>40.026899999999991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  <cell r="E3796"/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138.26750000000001</v>
          </cell>
          <cell r="E3797"/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  <cell r="E3798"/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  <cell r="E3799"/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  <cell r="E3800"/>
          <cell r="F3800">
            <v>200.13449999999997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  <cell r="E3801"/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  <cell r="E3802"/>
          <cell r="F3802">
            <v>93.300000000000011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261.04500000000002</v>
          </cell>
          <cell r="E3803"/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34.805999999999997</v>
          </cell>
          <cell r="E3804">
            <v>1</v>
          </cell>
          <cell r="F3804">
            <v>40.026899999999991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19.889142857142858</v>
          </cell>
          <cell r="E3805">
            <v>1</v>
          </cell>
          <cell r="F3805">
            <v>22.872514285714285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15.469333333333333</v>
          </cell>
          <cell r="E3806">
            <v>1</v>
          </cell>
          <cell r="F3806">
            <v>17.789733333333331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19.889142857142858</v>
          </cell>
          <cell r="E3807">
            <v>1</v>
          </cell>
          <cell r="F3807">
            <v>22.872514285714285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23.204000000000001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15.469333333333333</v>
          </cell>
          <cell r="E3809">
            <v>1</v>
          </cell>
          <cell r="F3809">
            <v>17.789733333333331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69.611999999999995</v>
          </cell>
          <cell r="E3810">
            <v>1</v>
          </cell>
          <cell r="F3810">
            <v>80.053799999999981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27.844799999999999</v>
          </cell>
          <cell r="E3811"/>
          <cell r="F3811">
            <v>32.021519999999995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76.665198237885463</v>
          </cell>
          <cell r="E3812"/>
          <cell r="F3812">
            <v>88.16497797356827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22.455483870967743</v>
          </cell>
          <cell r="E3813"/>
          <cell r="F3813">
            <v>25.823806451612903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36.637894736842107</v>
          </cell>
          <cell r="E3814"/>
          <cell r="F3814">
            <v>42.13357894736842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  <cell r="E3815"/>
          <cell r="F3815">
            <v>16.010759999999998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17.402999999999999</v>
          </cell>
          <cell r="E3816"/>
          <cell r="F3816">
            <v>20.013449999999995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34.805999999999997</v>
          </cell>
          <cell r="E3817"/>
          <cell r="F3817">
            <v>40.026899999999991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81.896470588235289</v>
          </cell>
          <cell r="E3818"/>
          <cell r="F3818">
            <v>94.180941176470569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106.76687116564418</v>
          </cell>
          <cell r="E3819"/>
          <cell r="F3819">
            <v>122.78190184049079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87.015000000000001</v>
          </cell>
          <cell r="E3820"/>
          <cell r="F3820">
            <v>100.06724999999999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409.48235294117649</v>
          </cell>
          <cell r="E3821"/>
          <cell r="F3821">
            <v>470.90470588235291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63.283636363636361</v>
          </cell>
          <cell r="E3822"/>
          <cell r="F3822">
            <v>72.776181818181811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78.657627118644072</v>
          </cell>
          <cell r="E3823"/>
          <cell r="F3823">
            <v>90.456271186440674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  <cell r="E3824"/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34.805999999999997</v>
          </cell>
          <cell r="E3825"/>
          <cell r="F3825">
            <v>40.026899999999991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87.015000000000001</v>
          </cell>
          <cell r="E3826"/>
          <cell r="F3826">
            <v>100.06724999999999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  <cell r="E3827"/>
          <cell r="F3827">
            <v>51.749999999999993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  <cell r="E3828"/>
          <cell r="F3828">
            <v>128.08607999999998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99.445714285714288</v>
          </cell>
          <cell r="E3829"/>
          <cell r="F3829">
            <v>114.36257142857143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69.611999999999995</v>
          </cell>
          <cell r="E3830"/>
          <cell r="F3830">
            <v>80.053799999999981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  <cell r="E3832"/>
          <cell r="F3832">
            <v>200.13449999999997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  <cell r="E3833"/>
          <cell r="F3833">
            <v>133.42299999999997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53.547692307692309</v>
          </cell>
          <cell r="E3834"/>
          <cell r="F3834">
            <v>61.579846153846148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46.408000000000001</v>
          </cell>
          <cell r="E3835"/>
          <cell r="F3835">
            <v>53.369199999999999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  <cell r="E3836"/>
          <cell r="F3836">
            <v>200.13449999999997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  <cell r="E3837"/>
          <cell r="F3837">
            <v>133.42299999999997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87.015000000000001</v>
          </cell>
          <cell r="E3838"/>
          <cell r="F3838">
            <v>100.06724999999999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  <cell r="E3839"/>
          <cell r="F3839">
            <v>400.26899999999995</v>
          </cell>
        </row>
        <row r="3840">
          <cell r="A3840" t="str">
            <v>INS19</v>
          </cell>
          <cell r="B3840" t="str">
            <v xml:space="preserve">Instalacion de loseta de vinil en pisos </v>
          </cell>
          <cell r="C3840" t="str">
            <v>M2</v>
          </cell>
          <cell r="D3840">
            <v>49.722857142857144</v>
          </cell>
          <cell r="E3840"/>
          <cell r="F3840">
            <v>57.181285714285714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  <cell r="E3841"/>
          <cell r="F3841"/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  <cell r="E3842"/>
          <cell r="F3842"/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  <cell r="E3843"/>
          <cell r="F3843"/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278.44799999999998</v>
          </cell>
          <cell r="E3844"/>
          <cell r="F3844">
            <v>320.21519999999992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29.248739495798318</v>
          </cell>
          <cell r="E3845"/>
          <cell r="F3845">
            <v>33.636050420168061</v>
          </cell>
        </row>
        <row r="3846">
          <cell r="A3846" t="str">
            <v>JUNT2</v>
          </cell>
          <cell r="B3846" t="str">
            <v xml:space="preserve">Junteo de ladrillo cuarteron con color </v>
          </cell>
          <cell r="C3846" t="str">
            <v>M2</v>
          </cell>
          <cell r="D3846">
            <v>61.06315789473684</v>
          </cell>
          <cell r="E3846"/>
          <cell r="F3846">
            <v>70.222631578947357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36.637894736842107</v>
          </cell>
          <cell r="E3847"/>
          <cell r="F3847">
            <v>42.13357894736842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23.204000000000001</v>
          </cell>
          <cell r="E3848"/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6.6297142857142859</v>
          </cell>
          <cell r="E3851">
            <v>1</v>
          </cell>
          <cell r="F3851">
            <v>7.6241714285714286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7.7346666666666666</v>
          </cell>
          <cell r="E3852">
            <v>1</v>
          </cell>
          <cell r="F3852">
            <v>8.8948666666666654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5.5689599999999997</v>
          </cell>
          <cell r="E3853">
            <v>1</v>
          </cell>
          <cell r="F3853">
            <v>6.4043039999999989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23.204000000000001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  <cell r="E3855"/>
          <cell r="F3855">
            <v>3.4499999999999997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81.896470588235289</v>
          </cell>
          <cell r="E3856">
            <v>1</v>
          </cell>
          <cell r="F3856">
            <v>94.180941176470569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34.805999999999997</v>
          </cell>
          <cell r="E3857"/>
          <cell r="F3857">
            <v>40.026899999999991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98.045070422535218</v>
          </cell>
          <cell r="E3858">
            <v>1</v>
          </cell>
          <cell r="F3858">
            <v>112.75183098591549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38.039344262295081</v>
          </cell>
          <cell r="E3859"/>
          <cell r="F3859">
            <v>43.745245901639343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122.12631578947368</v>
          </cell>
          <cell r="E3860">
            <v>1</v>
          </cell>
          <cell r="F3860">
            <v>140.44526315789471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  <cell r="E3861"/>
          <cell r="F3861">
            <v>50.033624999999994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163.79294117647058</v>
          </cell>
          <cell r="E3862">
            <v>1</v>
          </cell>
          <cell r="F3862">
            <v>188.36188235294114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51.185294117647061</v>
          </cell>
          <cell r="E3863"/>
          <cell r="F3863">
            <v>58.863088235294114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  <cell r="E3864"/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  <cell r="E3865"/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  <cell r="E3866"/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  <cell r="E3867"/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  <cell r="E3868"/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  <cell r="E3869"/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  <cell r="E3870"/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  <cell r="E3871"/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  <cell r="E3872"/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  <cell r="E3873"/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  <cell r="E3874"/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  <cell r="E3875"/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  <cell r="E3876"/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  <cell r="E3877"/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  <cell r="E3878"/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  <cell r="E3879"/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  <cell r="E3880"/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  <cell r="E3881"/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  <cell r="E3882"/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  <cell r="E3883"/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  <cell r="E3884"/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  <cell r="E3885"/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  <cell r="E3886"/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  <cell r="E3887"/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  <cell r="E3888"/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  <cell r="E3889"/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  <cell r="E3890"/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  <cell r="E3891"/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  <cell r="E3892"/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  <cell r="E3893"/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  <cell r="E3894"/>
          <cell r="F3894">
            <v>900</v>
          </cell>
        </row>
        <row r="3895">
          <cell r="A3895" t="str">
            <v>MSCUR1</v>
          </cell>
          <cell r="B3895" t="str">
            <v xml:space="preserve">Muro de soga curvo </v>
          </cell>
          <cell r="C3895" t="str">
            <v>M2</v>
          </cell>
          <cell r="D3895">
            <v>114.11803278688525</v>
          </cell>
          <cell r="E3895">
            <v>1</v>
          </cell>
          <cell r="F3895">
            <v>131.23573770491802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131.23573770491802</v>
          </cell>
          <cell r="E3896">
            <v>1</v>
          </cell>
          <cell r="F3896">
            <v>150.92109836065572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114.11803278688525</v>
          </cell>
          <cell r="E3897">
            <v>1</v>
          </cell>
          <cell r="F3897">
            <v>131.23573770491802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131.23573770491802</v>
          </cell>
          <cell r="E3898">
            <v>1</v>
          </cell>
          <cell r="F3898">
            <v>150.92109836065572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150.92109836065572</v>
          </cell>
          <cell r="E3899">
            <v>1</v>
          </cell>
          <cell r="F3899">
            <v>173.55926311475406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168.53431578947365</v>
          </cell>
          <cell r="E3900">
            <v>1</v>
          </cell>
          <cell r="F3900">
            <v>193.81446315789469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131.23573770491802</v>
          </cell>
          <cell r="E3901">
            <v>1</v>
          </cell>
          <cell r="F3901">
            <v>150.92109836065572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183.18947368421053</v>
          </cell>
          <cell r="E3902">
            <v>1</v>
          </cell>
          <cell r="F3902">
            <v>210.6678947368421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135.16893203883495</v>
          </cell>
          <cell r="E3903">
            <v>1</v>
          </cell>
          <cell r="F3903">
            <v>155.44427184466019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155.44427184466019</v>
          </cell>
          <cell r="E3904">
            <v>1</v>
          </cell>
          <cell r="F3904">
            <v>178.76091262135921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178.76091262135918</v>
          </cell>
          <cell r="E3905">
            <v>1</v>
          </cell>
          <cell r="F3905">
            <v>205.57504951456303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205.57504951456303</v>
          </cell>
          <cell r="E3906">
            <v>1</v>
          </cell>
          <cell r="F3906">
            <v>236.41130694174748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236.41130694174748</v>
          </cell>
          <cell r="E3907">
            <v>1</v>
          </cell>
          <cell r="F3907">
            <v>271.8730029830096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216.1863354037267</v>
          </cell>
          <cell r="E3908">
            <v>1</v>
          </cell>
          <cell r="F3908">
            <v>248.6142857142857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248.6142857142857</v>
          </cell>
          <cell r="E3909">
            <v>1</v>
          </cell>
          <cell r="F3909">
            <v>285.90642857142853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285.90642857142848</v>
          </cell>
          <cell r="E3910">
            <v>1</v>
          </cell>
          <cell r="F3910">
            <v>328.79239285714272</v>
          </cell>
        </row>
        <row r="3911">
          <cell r="A3911" t="str">
            <v>M35</v>
          </cell>
          <cell r="B3911" t="str">
            <v xml:space="preserve"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200.13449999999997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66.711499999999987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213.53374233128835</v>
          </cell>
          <cell r="E3913"/>
          <cell r="F3913">
            <v>245.56380368098158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  <cell r="E3914"/>
          <cell r="F3914">
            <v>133.42299999999997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  <cell r="E3915"/>
          <cell r="F3915">
            <v>16.010759999999998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484.64050632911398</v>
          </cell>
          <cell r="E3916">
            <v>1</v>
          </cell>
          <cell r="F3916">
            <v>557.33658227848105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612.58560000000011</v>
          </cell>
          <cell r="E3917">
            <v>1</v>
          </cell>
          <cell r="F3917">
            <v>704.4734400000001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773.4666666666667</v>
          </cell>
          <cell r="E3918">
            <v>1</v>
          </cell>
          <cell r="F3918">
            <v>889.48666666666668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900.86117647058836</v>
          </cell>
          <cell r="E3919">
            <v>1</v>
          </cell>
          <cell r="F3919">
            <v>1035.9903529411765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729.26857142857148</v>
          </cell>
          <cell r="E3920">
            <v>1</v>
          </cell>
          <cell r="F3920">
            <v>838.65885714285719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841.46373626373622</v>
          </cell>
          <cell r="E3921">
            <v>1</v>
          </cell>
          <cell r="F3921">
            <v>967.68329670329661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1142.8835820895522</v>
          </cell>
          <cell r="E3922">
            <v>1</v>
          </cell>
          <cell r="F3922">
            <v>1314.3161194029849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382.86600000000004</v>
          </cell>
          <cell r="E3923">
            <v>1</v>
          </cell>
          <cell r="F3923">
            <v>440.29590000000002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450.43058823529418</v>
          </cell>
          <cell r="E3924">
            <v>1</v>
          </cell>
          <cell r="F3924">
            <v>517.99517647058826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1629.2170212765961</v>
          </cell>
          <cell r="E3925">
            <v>1</v>
          </cell>
          <cell r="F3925">
            <v>1873.5995744680854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2470.103225806452</v>
          </cell>
          <cell r="E3926">
            <v>1</v>
          </cell>
          <cell r="F3926">
            <v>2840.6187096774197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1067.6687116564417</v>
          </cell>
          <cell r="E3927">
            <v>1</v>
          </cell>
          <cell r="F3927">
            <v>1227.8190184049079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1334.5858895705519</v>
          </cell>
          <cell r="E3928">
            <v>1</v>
          </cell>
          <cell r="F3928">
            <v>1534.7737730061347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  <cell r="E3929"/>
          <cell r="F3929"/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  <cell r="E3930"/>
          <cell r="F3930"/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  <cell r="E3931"/>
          <cell r="F3931"/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  <cell r="E3932"/>
          <cell r="F3932"/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  <cell r="E3933"/>
          <cell r="F3933"/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  <cell r="E3934"/>
          <cell r="F3934"/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  <cell r="E3935"/>
          <cell r="F3935">
            <v>800.5379999999999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278.44799999999998</v>
          </cell>
          <cell r="E3936"/>
          <cell r="F3936">
            <v>320.21519999999992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198.89142857142858</v>
          </cell>
          <cell r="E3937"/>
          <cell r="F3937">
            <v>228.72514285714286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128.9111111111111</v>
          </cell>
          <cell r="E3938">
            <v>1</v>
          </cell>
          <cell r="F3938">
            <v>148.24777777777774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99.445714285714288</v>
          </cell>
          <cell r="E3939">
            <v>1</v>
          </cell>
          <cell r="F3939">
            <v>114.36257142857143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114.11803278688525</v>
          </cell>
          <cell r="E3940">
            <v>1</v>
          </cell>
          <cell r="F3940">
            <v>131.23573770491802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69.611999999999995</v>
          </cell>
          <cell r="E3941">
            <v>1</v>
          </cell>
          <cell r="F3941">
            <v>80.053799999999981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80.053799999999995</v>
          </cell>
          <cell r="E3942">
            <v>1</v>
          </cell>
          <cell r="F3942">
            <v>92.061869999999985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92.816000000000003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122.74915999999999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128.9111111111111</v>
          </cell>
          <cell r="E3945">
            <v>1</v>
          </cell>
          <cell r="F3945">
            <v>148.24777777777774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148.24777777777777</v>
          </cell>
          <cell r="E3946">
            <v>1</v>
          </cell>
          <cell r="F3946">
            <v>170.48494444444441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120.66080000000001</v>
          </cell>
          <cell r="E3947">
            <v>1</v>
          </cell>
          <cell r="F3947">
            <v>138.75991999999999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134.58320000000001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148.50559999999999</v>
          </cell>
          <cell r="E3949">
            <v>1</v>
          </cell>
          <cell r="F3949">
            <v>170.78143999999998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151.33043478260871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200.13449999999997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200.13449999999997</v>
          </cell>
          <cell r="E3952">
            <v>1</v>
          </cell>
          <cell r="F3952">
            <v>230.15467499999994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128.9111111111111</v>
          </cell>
          <cell r="E3953">
            <v>1</v>
          </cell>
          <cell r="F3953">
            <v>148.24777777777774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148.24777777777777</v>
          </cell>
          <cell r="E3954">
            <v>1</v>
          </cell>
          <cell r="F3954">
            <v>170.48494444444441</v>
          </cell>
        </row>
        <row r="3955">
          <cell r="A3955" t="str">
            <v>MPIÑASO</v>
          </cell>
          <cell r="B3955" t="str">
            <v xml:space="preserve">Muro de piña de soga </v>
          </cell>
          <cell r="C3955" t="str">
            <v>M2</v>
          </cell>
          <cell r="D3955">
            <v>73.275789473684213</v>
          </cell>
          <cell r="E3955">
            <v>1</v>
          </cell>
          <cell r="F3955">
            <v>84.26715789473684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69.611999999999995</v>
          </cell>
          <cell r="E3956">
            <v>1</v>
          </cell>
          <cell r="F3956">
            <v>80.053799999999981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80.053799999999995</v>
          </cell>
          <cell r="E3957">
            <v>1</v>
          </cell>
          <cell r="F3957">
            <v>92.061869999999985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69.611999999999995</v>
          </cell>
          <cell r="E3958">
            <v>1</v>
          </cell>
          <cell r="F3958">
            <v>80.053799999999981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17.402999999999999</v>
          </cell>
          <cell r="E3959">
            <v>1</v>
          </cell>
          <cell r="F3959">
            <v>20.013449999999995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16.677874999999997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23.204000000000001</v>
          </cell>
          <cell r="E3961"/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69.611999999999995</v>
          </cell>
          <cell r="E3962">
            <v>1</v>
          </cell>
          <cell r="F3962">
            <v>80.053799999999981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214.19076923076923</v>
          </cell>
          <cell r="E3963">
            <v>1</v>
          </cell>
          <cell r="F3963">
            <v>246.31938461538459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146.55157894736843</v>
          </cell>
          <cell r="E3965">
            <v>1</v>
          </cell>
          <cell r="F3965">
            <v>168.53431578947368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266.84599999999995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87.015000000000001</v>
          </cell>
          <cell r="E3967"/>
          <cell r="F3967">
            <v>100.06724999999999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  <cell r="E3969"/>
          <cell r="F3969">
            <v>533.69199999999989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139.22399999999999</v>
          </cell>
          <cell r="E3970"/>
          <cell r="F3970">
            <v>160.10759999999996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92.816000000000003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122.74915999999999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109.91368421052633</v>
          </cell>
          <cell r="E3973">
            <v>1</v>
          </cell>
          <cell r="F3973">
            <v>126.40073684210526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126.40073684210525</v>
          </cell>
          <cell r="E3974">
            <v>1</v>
          </cell>
          <cell r="F3974">
            <v>145.36084736842102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145.36084736842102</v>
          </cell>
          <cell r="E3975">
            <v>1</v>
          </cell>
          <cell r="F3975">
            <v>167.16497447368417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167.16497447368417</v>
          </cell>
          <cell r="E3976">
            <v>1</v>
          </cell>
          <cell r="F3976">
            <v>192.23972064473679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139.22399999999999</v>
          </cell>
          <cell r="E3977">
            <v>1</v>
          </cell>
          <cell r="F3977">
            <v>160.10759999999996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158.76421052631576</v>
          </cell>
          <cell r="E3978">
            <v>1</v>
          </cell>
          <cell r="F3978">
            <v>182.57884210526311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183.18947368421053</v>
          </cell>
          <cell r="E3979">
            <v>1</v>
          </cell>
          <cell r="F3979">
            <v>210.6678947368421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219.82736842105265</v>
          </cell>
          <cell r="E3980">
            <v>1</v>
          </cell>
          <cell r="F3980">
            <v>252.80147368421052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254.02273684210527</v>
          </cell>
          <cell r="E3981">
            <v>1</v>
          </cell>
          <cell r="F3981">
            <v>292.12614736842102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128.9111111111111</v>
          </cell>
          <cell r="E3982">
            <v>1</v>
          </cell>
          <cell r="F3982">
            <v>148.24777777777774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148.24777777777777</v>
          </cell>
          <cell r="E3983">
            <v>1</v>
          </cell>
          <cell r="F3983">
            <v>170.48494444444441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49.722857142857144</v>
          </cell>
          <cell r="E3984">
            <v>1</v>
          </cell>
          <cell r="F3984">
            <v>57.181285714285714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99.445714285714288</v>
          </cell>
          <cell r="E3985">
            <v>1</v>
          </cell>
          <cell r="F3985">
            <v>114.36257142857143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87.015000000000001</v>
          </cell>
          <cell r="E3986"/>
          <cell r="F3986">
            <v>100.06724999999999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63.283636363636361</v>
          </cell>
          <cell r="E3987">
            <v>1</v>
          </cell>
          <cell r="F3987">
            <v>72.776181818181811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34.805999999999997</v>
          </cell>
          <cell r="E3988"/>
          <cell r="F3988">
            <v>40.026899999999991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  <cell r="E3989"/>
          <cell r="F3989">
            <v>266.84599999999995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19.889142857142858</v>
          </cell>
          <cell r="E3990"/>
          <cell r="F3990">
            <v>22.872514285714285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19.540210526315789</v>
          </cell>
          <cell r="E3991"/>
          <cell r="F3991">
            <v>22.471242105263155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87.015000000000001</v>
          </cell>
          <cell r="E3992">
            <v>1</v>
          </cell>
          <cell r="F3992">
            <v>100.06724999999999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49.722857142857144</v>
          </cell>
          <cell r="E3993">
            <v>1</v>
          </cell>
          <cell r="F3993">
            <v>57.181285714285714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  <cell r="E3994"/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53.547692307692309</v>
          </cell>
          <cell r="E3995"/>
          <cell r="F3995">
            <v>61.579846153846148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553.07000000000005</v>
          </cell>
          <cell r="E3996"/>
          <cell r="F3996"/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12.656727272727272</v>
          </cell>
          <cell r="E3997"/>
          <cell r="F3997">
            <v>14.555236363636361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69.611999999999995</v>
          </cell>
          <cell r="E3998"/>
          <cell r="F3998">
            <v>80.053799999999981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  <cell r="E3999"/>
          <cell r="F3999">
            <v>800.5379999999999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87.015000000000001</v>
          </cell>
          <cell r="E4000"/>
          <cell r="F4000">
            <v>100.06724999999999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  <cell r="E4001"/>
          <cell r="F4001">
            <v>266.84599999999995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38.673333333333332</v>
          </cell>
          <cell r="E4002"/>
          <cell r="F4002">
            <v>44.474333333333327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88.819138755980859</v>
          </cell>
          <cell r="E4003"/>
          <cell r="F4003">
            <v>102.14200956937798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38.673333333333332</v>
          </cell>
          <cell r="E4004"/>
          <cell r="F4004">
            <v>44.474333333333327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  <cell r="E4005"/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  <cell r="E4006"/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34.805999999999997</v>
          </cell>
          <cell r="E4007"/>
          <cell r="F4007">
            <v>40.026899999999991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46.408000000000001</v>
          </cell>
          <cell r="E4008"/>
          <cell r="F4008">
            <v>53.369199999999999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73.275789473684213</v>
          </cell>
          <cell r="E4009"/>
          <cell r="F4009">
            <v>84.26715789473684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34.805999999999997</v>
          </cell>
          <cell r="E4010"/>
          <cell r="F4010">
            <v>40.026899999999991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15.469333333333333</v>
          </cell>
          <cell r="E4011"/>
          <cell r="F4011">
            <v>17.789733333333331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  <cell r="E4012"/>
          <cell r="F4012">
            <v>16.010759999999998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23.204000000000001</v>
          </cell>
          <cell r="E4013"/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46.408000000000001</v>
          </cell>
          <cell r="E4014"/>
          <cell r="F4014">
            <v>53.369199999999999</v>
          </cell>
        </row>
        <row r="4015">
          <cell r="A4015" t="str">
            <v>PIN.30</v>
          </cell>
          <cell r="B4015" t="str">
            <v xml:space="preserve">Preparacion y pintura de postes de malla y </v>
          </cell>
          <cell r="C4015" t="str">
            <v>PZA</v>
          </cell>
          <cell r="D4015">
            <v>31.5</v>
          </cell>
          <cell r="F4015">
            <v>36.224999999999994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  <cell r="E4017"/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  <cell r="E4018"/>
          <cell r="F4018">
            <v>6.0374999999999996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  <cell r="E4019"/>
          <cell r="F4019"/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  <cell r="E4021"/>
          <cell r="F4021">
            <v>6.0374999999999996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5.7750000000000004</v>
          </cell>
          <cell r="E4022"/>
          <cell r="F4022">
            <v>6.6412500000000003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  <cell r="E4023"/>
          <cell r="F4023">
            <v>6.0374999999999996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  <cell r="E4024"/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  <cell r="E4025"/>
          <cell r="F4025">
            <v>42.262499999999996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  <cell r="E4026"/>
          <cell r="F4026">
            <v>13.799999999999999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5.7750000000000004</v>
          </cell>
          <cell r="E4027"/>
          <cell r="F4027">
            <v>6.6412500000000003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  <cell r="E4028"/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38.673333333333332</v>
          </cell>
          <cell r="E4030">
            <v>1</v>
          </cell>
          <cell r="F4030">
            <v>44.474333333333327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49.722857142857144</v>
          </cell>
          <cell r="E4031">
            <v>1</v>
          </cell>
          <cell r="F4031">
            <v>57.181285714285714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59.497435897435899</v>
          </cell>
          <cell r="E4032">
            <v>1</v>
          </cell>
          <cell r="F4032">
            <v>68.422051282051285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69.611999999999995</v>
          </cell>
          <cell r="E4033">
            <v>1</v>
          </cell>
          <cell r="F4033">
            <v>80.053799999999981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80.053799999999995</v>
          </cell>
          <cell r="E4034">
            <v>1</v>
          </cell>
          <cell r="F4034">
            <v>92.061869999999985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139.22399999999999</v>
          </cell>
          <cell r="E4035">
            <v>1</v>
          </cell>
          <cell r="F4035">
            <v>160.10759999999996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66.711499999999987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46.408000000000001</v>
          </cell>
          <cell r="E4037">
            <v>1</v>
          </cell>
          <cell r="F4037">
            <v>53.369199999999999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23.204000000000001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27.844799999999999</v>
          </cell>
          <cell r="E4039">
            <v>1</v>
          </cell>
          <cell r="F4039">
            <v>32.021519999999995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3.8673333333333333</v>
          </cell>
          <cell r="E4040"/>
          <cell r="F4040">
            <v>4.4474333333333327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187.26035087719299</v>
          </cell>
          <cell r="E4041"/>
          <cell r="F4041">
            <v>215.34940350877193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  <cell r="E4042"/>
          <cell r="F4042">
            <v>114.99999999999999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278.44799999999998</v>
          </cell>
          <cell r="E4043"/>
          <cell r="F4043">
            <v>320.21519999999992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777.16746411483257</v>
          </cell>
          <cell r="E4044"/>
          <cell r="F4044">
            <v>893.74258373205737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87.015000000000001</v>
          </cell>
          <cell r="E4045">
            <v>1</v>
          </cell>
          <cell r="F4045">
            <v>100.06724999999999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107.09538461538462</v>
          </cell>
          <cell r="E4046">
            <v>1</v>
          </cell>
          <cell r="F4046">
            <v>123.1596923076923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63.283636363636361</v>
          </cell>
          <cell r="E4047">
            <v>1</v>
          </cell>
          <cell r="F4047">
            <v>72.776181818181811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49.722857142857144</v>
          </cell>
          <cell r="E4048">
            <v>1</v>
          </cell>
          <cell r="F4048">
            <v>57.181285714285714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99.445714285714288</v>
          </cell>
          <cell r="E4049">
            <v>1</v>
          </cell>
          <cell r="F4049">
            <v>114.36257142857143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23.204000000000001</v>
          </cell>
          <cell r="E4050"/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168.55205811138015</v>
          </cell>
          <cell r="E4051"/>
          <cell r="F4051">
            <v>193.83486682808714</v>
          </cell>
        </row>
        <row r="4052">
          <cell r="A4052" t="str">
            <v>RAJUELA</v>
          </cell>
          <cell r="B4052" t="str">
            <v xml:space="preserve">Muro de piedra de rajuela </v>
          </cell>
          <cell r="C4052" t="str">
            <v>M2</v>
          </cell>
          <cell r="D4052">
            <v>899.37984496124034</v>
          </cell>
          <cell r="E4052"/>
          <cell r="F4052">
            <v>1034.2868217054263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7.8215730337078648</v>
          </cell>
          <cell r="E4053"/>
          <cell r="F4053">
            <v>8.9948089887640439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53.547692307692309</v>
          </cell>
          <cell r="E4054"/>
          <cell r="F4054">
            <v>61.579846153846148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  <cell r="E4055"/>
          <cell r="F4055">
            <v>133.42299999999997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34.805999999999997</v>
          </cell>
          <cell r="E4056">
            <v>1</v>
          </cell>
          <cell r="F4056">
            <v>40.026899999999991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77.346666666666664</v>
          </cell>
          <cell r="E4057">
            <v>1</v>
          </cell>
          <cell r="F4057">
            <v>88.948666666666654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87.015000000000001</v>
          </cell>
          <cell r="E4058"/>
          <cell r="F4058">
            <v>100.06724999999999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  <cell r="E4059"/>
          <cell r="F4059">
            <v>200.13449999999997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  <cell r="E4060"/>
          <cell r="F4060">
            <v>16.010759999999998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46.408000000000001</v>
          </cell>
          <cell r="E4061"/>
          <cell r="F4061">
            <v>53.369199999999999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23.204000000000001</v>
          </cell>
          <cell r="E4062"/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27.844799999999999</v>
          </cell>
          <cell r="E4063"/>
          <cell r="F4063">
            <v>32.021519999999995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34.805999999999997</v>
          </cell>
          <cell r="E4064"/>
          <cell r="F4064">
            <v>40.026899999999991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77.346666666666664</v>
          </cell>
          <cell r="E4065"/>
          <cell r="F4065">
            <v>88.948666666666654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9.7701052631578946</v>
          </cell>
          <cell r="E4066"/>
          <cell r="F4066">
            <v>11.235621052631577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66.711499999999987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23.398991596638655</v>
          </cell>
          <cell r="E4068">
            <v>1</v>
          </cell>
          <cell r="F4068">
            <v>26.908840336134453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556.89599999999996</v>
          </cell>
          <cell r="E4069"/>
          <cell r="F4069">
            <v>640.43039999999985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397.78285714285715</v>
          </cell>
          <cell r="E4070"/>
          <cell r="F4070">
            <v>457.45028571428571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732.7578947368421</v>
          </cell>
          <cell r="E4071"/>
          <cell r="F4071">
            <v>842.6715789473684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46.408000000000001</v>
          </cell>
          <cell r="E4072"/>
          <cell r="F4072">
            <v>53.369199999999999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266.84599999999995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40.948235294117644</v>
          </cell>
          <cell r="E4074"/>
          <cell r="F4074">
            <v>47.090470588235284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151.00216919739697</v>
          </cell>
          <cell r="E4075"/>
          <cell r="F4075">
            <v>173.65249457700651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166.53588516746413</v>
          </cell>
          <cell r="E4076"/>
          <cell r="F4076">
            <v>191.51626794258374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  <cell r="E4077"/>
          <cell r="F4077">
            <v>133.42299999999997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151.00216919739697</v>
          </cell>
          <cell r="E4078"/>
          <cell r="F4078">
            <v>173.65249457700651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266.84599999999995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325.28971962616822</v>
          </cell>
          <cell r="E4080">
            <v>1</v>
          </cell>
          <cell r="F4080">
            <v>374.08317757009343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23.204000000000001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400.26899999999995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  <cell r="E4085"/>
          <cell r="F4085"/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17.402999999999999</v>
          </cell>
          <cell r="E4086">
            <v>1</v>
          </cell>
          <cell r="F4086">
            <v>20.013449999999995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  <cell r="E4087"/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200.13449999999997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27.844799999999999</v>
          </cell>
          <cell r="E4089">
            <v>1</v>
          </cell>
          <cell r="F4089">
            <v>32.021519999999995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7.7346666666666666</v>
          </cell>
          <cell r="E4090">
            <v>1</v>
          </cell>
          <cell r="F4090">
            <v>8.8948666666666654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18.563199999999998</v>
          </cell>
          <cell r="E4091">
            <v>1</v>
          </cell>
          <cell r="F4091">
            <v>21.347679999999997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26.773846153846154</v>
          </cell>
          <cell r="E4092">
            <v>1</v>
          </cell>
          <cell r="F4092">
            <v>30.789923076923074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23.204000000000001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7.7346666666666666</v>
          </cell>
          <cell r="E4095">
            <v>1</v>
          </cell>
          <cell r="F4095">
            <v>8.8948666666666654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5.3547692307692305</v>
          </cell>
          <cell r="E4096"/>
          <cell r="F4096">
            <v>6.1579846153846143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9.2815999999999992</v>
          </cell>
          <cell r="E4097"/>
          <cell r="F4097">
            <v>10.673839999999998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  <cell r="E4098"/>
          <cell r="F4098"/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7.5600000000000005</v>
          </cell>
          <cell r="E4099"/>
          <cell r="F4099"/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  <cell r="D4100"/>
          <cell r="E4100"/>
          <cell r="F4100"/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87.015000000000001</v>
          </cell>
          <cell r="E4101">
            <v>1</v>
          </cell>
          <cell r="F4101">
            <v>100.06724999999999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66.711499999999987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27.844799999999999</v>
          </cell>
          <cell r="E4103"/>
          <cell r="F4103">
            <v>32.021519999999995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  <cell r="E4104"/>
          <cell r="F4104">
            <v>16.010759999999998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19.889142857142858</v>
          </cell>
          <cell r="E4105"/>
          <cell r="F4105">
            <v>22.872514285714285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  <cell r="E4106"/>
          <cell r="F4106">
            <v>16.010759999999998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6.9611999999999998</v>
          </cell>
          <cell r="E4107"/>
          <cell r="F4107">
            <v>8.0053799999999988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17.402999999999999</v>
          </cell>
          <cell r="E4108"/>
          <cell r="F4108">
            <v>20.013449999999995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87.015000000000001</v>
          </cell>
          <cell r="E4109"/>
          <cell r="F4109">
            <v>100.06724999999999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  <cell r="E4110"/>
          <cell r="F4110">
            <v>50.033624999999994</v>
          </cell>
        </row>
        <row r="4111">
          <cell r="A4111" t="str">
            <v>TOPO1</v>
          </cell>
          <cell r="B4111" t="str">
            <v xml:space="preserve">Topografia </v>
          </cell>
          <cell r="C4111" t="str">
            <v>HORA</v>
          </cell>
          <cell r="D4111">
            <v>250</v>
          </cell>
          <cell r="E4111"/>
          <cell r="F4111"/>
        </row>
        <row r="4112">
          <cell r="A4112" t="str">
            <v>TOPO2</v>
          </cell>
          <cell r="B4112" t="str">
            <v xml:space="preserve">Topografia </v>
          </cell>
          <cell r="C4112" t="str">
            <v>HORA</v>
          </cell>
          <cell r="D4112">
            <v>275</v>
          </cell>
          <cell r="E4112"/>
          <cell r="F4112"/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17.402999999999999</v>
          </cell>
          <cell r="E4113"/>
          <cell r="F4113">
            <v>20.013449999999995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8.7014999999999993</v>
          </cell>
          <cell r="E4114"/>
          <cell r="F4114">
            <v>10.006724999999998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63.283636363636361</v>
          </cell>
          <cell r="E4115"/>
          <cell r="F4115">
            <v>72.776181818181811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126.56727272727272</v>
          </cell>
          <cell r="E4116"/>
          <cell r="F4116">
            <v>145.55236363636362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  <cell r="E4117"/>
          <cell r="F4117">
            <v>200.13449999999997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139.22399999999999</v>
          </cell>
          <cell r="E4118"/>
          <cell r="F4118">
            <v>160.10759999999996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2.3203999999999998</v>
          </cell>
          <cell r="E4119"/>
          <cell r="F4119">
            <v>2.6684599999999996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46.408000000000001</v>
          </cell>
          <cell r="E4120"/>
          <cell r="F4120">
            <v>53.369199999999999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69.611999999999995</v>
          </cell>
          <cell r="E4121"/>
          <cell r="F4121">
            <v>80.053799999999981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  <cell r="E4122"/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  <cell r="E4123"/>
          <cell r="F4123">
            <v>400.26899999999995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10.893896713615025</v>
          </cell>
          <cell r="E4124"/>
          <cell r="F4124">
            <v>12.527981220657278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56.184019370460049</v>
          </cell>
          <cell r="E4125"/>
          <cell r="F4125">
            <v>64.611622276029053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22.455483870967743</v>
          </cell>
          <cell r="E4126"/>
          <cell r="F4126">
            <v>25.823806451612903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400.26899999999995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  <cell r="E4128"/>
          <cell r="F4128">
            <v>200.13449999999997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51.071004784688995</v>
          </cell>
          <cell r="E4129">
            <v>1</v>
          </cell>
          <cell r="F4129">
            <v>58.731655502392343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33.307177033492827</v>
          </cell>
          <cell r="E4131">
            <v>1</v>
          </cell>
          <cell r="F4131">
            <v>38.303253588516746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49.722857142857144</v>
          </cell>
          <cell r="F4132">
            <v>57.181285714285714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92.816000000000003</v>
          </cell>
          <cell r="F4134">
            <v>106.7384</v>
          </cell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/>
          <cell r="B4139"/>
          <cell r="C4139"/>
          <cell r="D4139"/>
          <cell r="E4139"/>
          <cell r="F4139"/>
        </row>
        <row r="4140">
          <cell r="A4140" t="str">
            <v>PONTO QUITO PRECIOS</v>
          </cell>
          <cell r="B4140"/>
          <cell r="D4140"/>
          <cell r="E4140"/>
          <cell r="F4140"/>
        </row>
        <row r="4141">
          <cell r="A4141"/>
          <cell r="B4141"/>
          <cell r="D4141"/>
          <cell r="E4141"/>
          <cell r="F4141"/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  <cell r="E4142"/>
          <cell r="F4142"/>
        </row>
        <row r="4143">
          <cell r="A4143"/>
          <cell r="B4143"/>
          <cell r="D4143"/>
          <cell r="E4143"/>
          <cell r="F4143"/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  <cell r="E4144"/>
          <cell r="F4144"/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  <cell r="E4145"/>
          <cell r="F4145"/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  <cell r="E4146"/>
          <cell r="F4146"/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  <cell r="E4147"/>
          <cell r="F4147"/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  <cell r="E4148"/>
          <cell r="F4148"/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  <cell r="E4150"/>
          <cell r="F4150"/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  <cell r="E4151"/>
          <cell r="F4151"/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  <cell r="E4152"/>
          <cell r="F4152"/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  <cell r="E4154"/>
          <cell r="F4154"/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  <cell r="E4155"/>
          <cell r="F4155"/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  <cell r="E4156"/>
          <cell r="F4156"/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  <cell r="E4157"/>
          <cell r="F4157"/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  <cell r="E4158"/>
          <cell r="F4158"/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  <cell r="E4159"/>
          <cell r="F4159"/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  <cell r="E4160"/>
          <cell r="F4160"/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  <cell r="E4161"/>
          <cell r="F4161"/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  <cell r="E4163"/>
          <cell r="F4163"/>
        </row>
        <row r="4164">
          <cell r="A4164"/>
          <cell r="B4164"/>
          <cell r="D4164"/>
          <cell r="E4164"/>
          <cell r="F4164"/>
        </row>
        <row r="4165">
          <cell r="A4165" t="str">
            <v>TAPALPA, PRECIOS DEL PAY</v>
          </cell>
          <cell r="B4165"/>
          <cell r="C4165"/>
          <cell r="D4165"/>
          <cell r="E4165"/>
          <cell r="F4165"/>
        </row>
        <row r="4166">
          <cell r="A4166"/>
          <cell r="B4166"/>
          <cell r="D4166"/>
          <cell r="E4166"/>
          <cell r="F4166"/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  <cell r="E4167"/>
          <cell r="F4167"/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  <cell r="E4168"/>
          <cell r="F4168"/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  <cell r="E4169"/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  <cell r="E4170"/>
          <cell r="F4170"/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  <cell r="E4171"/>
          <cell r="F4171"/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  <cell r="E4173"/>
          <cell r="F4173"/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  <cell r="E4174"/>
          <cell r="F4174"/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  <cell r="E4175"/>
          <cell r="F4175"/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  <cell r="E4176"/>
          <cell r="F4176"/>
        </row>
        <row r="4177">
          <cell r="A4177" t="str">
            <v>TCDASO</v>
          </cell>
          <cell r="B4177" t="str">
            <v xml:space="preserve">Armar, cimbrar y colar dala de 15 x 20 </v>
          </cell>
          <cell r="C4177" t="str">
            <v>ML</v>
          </cell>
          <cell r="D4177">
            <v>100</v>
          </cell>
          <cell r="E4177"/>
          <cell r="F4177"/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  <cell r="E4178"/>
          <cell r="F4178"/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  <cell r="E4179"/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  <cell r="E4180"/>
          <cell r="F4180"/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  <cell r="E4181"/>
          <cell r="F4181"/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  <cell r="E4182"/>
          <cell r="F4182"/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  <cell r="E4183"/>
          <cell r="F4183"/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  <cell r="E4184"/>
          <cell r="F4184"/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  <cell r="E4185"/>
          <cell r="F4185"/>
        </row>
        <row r="4186">
          <cell r="A4186" t="str">
            <v>TEXCAV</v>
          </cell>
          <cell r="B4186" t="str">
            <v xml:space="preserve">Excavación terreno </v>
          </cell>
          <cell r="C4186" t="str">
            <v>M3</v>
          </cell>
          <cell r="D4186">
            <v>380</v>
          </cell>
          <cell r="E4186"/>
          <cell r="F4186"/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  <cell r="E4187"/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  <cell r="E4188"/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  <cell r="E4189"/>
          <cell r="F4189"/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  <cell r="E4190"/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  <cell r="E4191"/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  <cell r="F4192"/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  <cell r="E4193"/>
          <cell r="F4193"/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  <cell r="E4194"/>
          <cell r="F4194"/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  <cell r="E4195"/>
          <cell r="F4195"/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  <cell r="E4197"/>
          <cell r="F4197"/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  <cell r="E4198"/>
          <cell r="F4198"/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  <cell r="E4199"/>
          <cell r="F4199"/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  <cell r="E4200"/>
          <cell r="F4200"/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  <cell r="E4201"/>
          <cell r="F4201"/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  <cell r="E4202"/>
          <cell r="F4202"/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  <cell r="E4203"/>
          <cell r="F4203"/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  <cell r="E4204"/>
          <cell r="F4204"/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  <cell r="E4205"/>
          <cell r="F4205"/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  <cell r="E4206"/>
          <cell r="F4206"/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  <cell r="E4207"/>
          <cell r="F4207"/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  <cell r="E4208"/>
          <cell r="F4208"/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  <cell r="E4209"/>
          <cell r="F4209"/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  <cell r="E4210"/>
          <cell r="F4210"/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  <cell r="E4211"/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  <cell r="E4212"/>
          <cell r="F4212"/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  <cell r="E4213"/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  <cell r="E4214"/>
          <cell r="F4214"/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  <cell r="E4215"/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  <cell r="E4216"/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  <cell r="E4217"/>
          <cell r="F4217"/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  <cell r="E4219"/>
          <cell r="F4219"/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  <cell r="E4220"/>
          <cell r="F4220"/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  <cell r="E4221"/>
          <cell r="F4221">
            <v>140</v>
          </cell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  <row r="4232">
          <cell r="A4232"/>
          <cell r="B4232"/>
          <cell r="C4232"/>
          <cell r="D4232"/>
          <cell r="E4232"/>
          <cell r="F4232"/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4A77A-4999-4F60-99B2-3626EDEA66D3}">
  <sheetPr codeName="Hoja271">
    <pageSetUpPr fitToPage="1"/>
  </sheetPr>
  <dimension ref="A1:HR126"/>
  <sheetViews>
    <sheetView tabSelected="1" topLeftCell="A46" zoomScaleNormal="100" workbookViewId="0">
      <selection activeCell="R63" sqref="R63"/>
    </sheetView>
  </sheetViews>
  <sheetFormatPr baseColWidth="10" defaultColWidth="9.1796875" defaultRowHeight="12.5" outlineLevelRow="1" x14ac:dyDescent="0.25"/>
  <cols>
    <col min="1" max="1" width="7.453125" customWidth="1"/>
    <col min="2" max="2" width="3.54296875" bestFit="1" customWidth="1"/>
    <col min="3" max="3" width="0.453125" customWidth="1"/>
    <col min="4" max="4" width="2.453125" customWidth="1"/>
    <col min="5" max="6" width="17.7265625" customWidth="1"/>
    <col min="7" max="7" width="9.7265625" customWidth="1"/>
    <col min="8" max="8" width="4.1796875" bestFit="1" customWidth="1"/>
    <col min="9" max="9" width="7" bestFit="1" customWidth="1"/>
    <col min="10" max="12" width="5.7265625" customWidth="1"/>
    <col min="13" max="13" width="7.1796875" customWidth="1"/>
    <col min="14" max="14" width="11.26953125" customWidth="1"/>
    <col min="15" max="15" width="14.7265625" bestFit="1" customWidth="1"/>
    <col min="16" max="16" width="2.7265625" bestFit="1" customWidth="1"/>
    <col min="17" max="17" width="13.7265625" customWidth="1"/>
    <col min="18" max="18" width="11" bestFit="1" customWidth="1"/>
    <col min="19" max="19" width="10.54296875" style="99" bestFit="1" customWidth="1"/>
    <col min="20" max="22" width="9.1796875" customWidth="1"/>
    <col min="23" max="23" width="2.7265625" bestFit="1" customWidth="1"/>
    <col min="24" max="24" width="2.54296875" bestFit="1" customWidth="1"/>
    <col min="25" max="25" width="1.6328125" bestFit="1" customWidth="1"/>
    <col min="26" max="26" width="5.26953125" bestFit="1" customWidth="1"/>
    <col min="27" max="33" width="1.6328125" bestFit="1" customWidth="1"/>
    <col min="34" max="123" width="2.453125" bestFit="1" customWidth="1"/>
    <col min="124" max="124" width="3.26953125" bestFit="1" customWidth="1"/>
    <col min="125" max="125" width="2.7265625" customWidth="1"/>
    <col min="126" max="126" width="2.54296875" bestFit="1" customWidth="1"/>
    <col min="127" max="127" width="5.26953125" bestFit="1" customWidth="1"/>
    <col min="128" max="128" width="7.26953125" bestFit="1" customWidth="1"/>
    <col min="129" max="135" width="5.26953125" bestFit="1" customWidth="1"/>
    <col min="136" max="225" width="2.453125" bestFit="1" customWidth="1"/>
    <col min="226" max="226" width="3.26953125" bestFit="1" customWidth="1"/>
  </cols>
  <sheetData>
    <row r="1" spans="1:226" ht="18" outlineLevel="1" x14ac:dyDescent="0.4">
      <c r="A1" s="1"/>
      <c r="B1" s="2"/>
      <c r="C1" s="3"/>
      <c r="D1" s="4"/>
      <c r="E1" s="145" t="s">
        <v>0</v>
      </c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7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8" outlineLevel="1" x14ac:dyDescent="0.4">
      <c r="A2" s="148"/>
      <c r="B2" s="149"/>
      <c r="C2" s="150"/>
      <c r="D2" s="4"/>
      <c r="E2" s="151" t="s">
        <v>21</v>
      </c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3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5" outlineLevel="1" x14ac:dyDescent="0.35">
      <c r="A3" s="7"/>
      <c r="B3" s="4"/>
      <c r="C3" s="8"/>
      <c r="D3" s="4"/>
      <c r="E3" s="151" t="s">
        <v>22</v>
      </c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53"/>
      <c r="R3" s="119" t="str">
        <f>LEFT(D6,1)</f>
        <v>C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" outlineLevel="1" thickBot="1" x14ac:dyDescent="0.4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20" t="str">
        <f>RIGHT(D6,3)</f>
        <v>435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49999999999999" customHeight="1" outlineLevel="1" thickBot="1" x14ac:dyDescent="0.3">
      <c r="A6" s="154" t="s">
        <v>2</v>
      </c>
      <c r="B6" s="155"/>
      <c r="C6" s="156"/>
      <c r="D6" s="163" t="s">
        <v>25</v>
      </c>
      <c r="E6" s="163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5" t="s">
        <v>33</v>
      </c>
      <c r="Q6" s="166"/>
      <c r="R6" s="139"/>
      <c r="S6" s="65" t="str">
        <f>RIGHT(P6,3)</f>
        <v>003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32.5" outlineLevel="1" x14ac:dyDescent="0.65">
      <c r="A7" s="157"/>
      <c r="B7" s="158"/>
      <c r="C7" s="159"/>
      <c r="D7" s="167" t="str">
        <f>VLOOKUP($D$6,[1]OB!$A$2:$I$5020,4,FALSE)</f>
        <v>URBANIZACIÓN ELECTROLIT EDIFICIO C</v>
      </c>
      <c r="E7" s="168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170" t="s">
        <v>23</v>
      </c>
      <c r="Q7" s="171"/>
      <c r="R7" s="140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" outlineLevel="1" thickBot="1" x14ac:dyDescent="0.4">
      <c r="A8" s="160"/>
      <c r="B8" s="161"/>
      <c r="C8" s="162"/>
      <c r="D8" s="144" t="s">
        <v>26</v>
      </c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1"/>
      <c r="Q8" s="142"/>
      <c r="R8" s="143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29" t="s">
        <v>3</v>
      </c>
      <c r="B10" s="130">
        <f>VLOOKUP(E10,[2]FECHAS!$AB$2:$AE$53,4,0)</f>
        <v>14</v>
      </c>
      <c r="C10" s="130"/>
      <c r="D10" s="130"/>
      <c r="E10" s="131">
        <v>45019</v>
      </c>
      <c r="F10" s="132">
        <f>+E10+6</f>
        <v>45025</v>
      </c>
      <c r="G10" s="133"/>
      <c r="H10" s="134"/>
      <c r="I10" s="134"/>
      <c r="J10" s="137"/>
      <c r="K10" s="134"/>
      <c r="L10" s="134"/>
      <c r="M10" s="134"/>
      <c r="N10" s="134"/>
      <c r="O10" s="134"/>
      <c r="P10" s="134"/>
      <c r="Q10" s="135"/>
      <c r="R10" s="136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" customHeight="1" thickBot="1" x14ac:dyDescent="0.3">
      <c r="A11" s="4"/>
      <c r="B11" s="4"/>
      <c r="C11" s="4"/>
      <c r="D11" s="121" t="s">
        <v>24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49999999999999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12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12">
        <v>100</v>
      </c>
    </row>
    <row r="13" spans="1:226" ht="13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 t="shared" ref="Y13:CJ13" si="0">SUM(Y14:Y121)</f>
        <v>0</v>
      </c>
      <c r="Z13" s="57">
        <f t="shared" si="0"/>
        <v>404.58007116000005</v>
      </c>
      <c r="AA13" s="57">
        <f t="shared" si="0"/>
        <v>0</v>
      </c>
      <c r="AB13" s="57">
        <f t="shared" si="0"/>
        <v>0</v>
      </c>
      <c r="AC13" s="57">
        <f t="shared" si="0"/>
        <v>0</v>
      </c>
      <c r="AD13" s="57">
        <f t="shared" si="0"/>
        <v>0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si="0"/>
        <v>0</v>
      </c>
      <c r="BF13" s="57">
        <f t="shared" si="0"/>
        <v>0</v>
      </c>
      <c r="BG13" s="57">
        <f t="shared" si="0"/>
        <v>0</v>
      </c>
      <c r="BH13" s="57">
        <f t="shared" si="0"/>
        <v>0</v>
      </c>
      <c r="BI13" s="57">
        <f t="shared" si="0"/>
        <v>0</v>
      </c>
      <c r="BJ13" s="57">
        <f t="shared" si="0"/>
        <v>0</v>
      </c>
      <c r="BK13" s="57">
        <f t="shared" si="0"/>
        <v>0</v>
      </c>
      <c r="BL13" s="57">
        <f t="shared" si="0"/>
        <v>0</v>
      </c>
      <c r="BM13" s="57">
        <f t="shared" si="0"/>
        <v>0</v>
      </c>
      <c r="BN13" s="57">
        <f t="shared" si="0"/>
        <v>0</v>
      </c>
      <c r="BO13" s="57">
        <f t="shared" si="0"/>
        <v>0</v>
      </c>
      <c r="BP13" s="57">
        <f t="shared" si="0"/>
        <v>0</v>
      </c>
      <c r="BQ13" s="57">
        <f t="shared" si="0"/>
        <v>0</v>
      </c>
      <c r="BR13" s="57">
        <f t="shared" si="0"/>
        <v>0</v>
      </c>
      <c r="BS13" s="57">
        <f t="shared" si="0"/>
        <v>0</v>
      </c>
      <c r="BT13" s="57">
        <f t="shared" si="0"/>
        <v>0</v>
      </c>
      <c r="BU13" s="57">
        <f t="shared" si="0"/>
        <v>0</v>
      </c>
      <c r="BV13" s="57">
        <f t="shared" si="0"/>
        <v>0</v>
      </c>
      <c r="BW13" s="57">
        <f t="shared" si="0"/>
        <v>0</v>
      </c>
      <c r="BX13" s="57">
        <f t="shared" si="0"/>
        <v>0</v>
      </c>
      <c r="BY13" s="57">
        <f t="shared" si="0"/>
        <v>0</v>
      </c>
      <c r="BZ13" s="57">
        <f t="shared" si="0"/>
        <v>0</v>
      </c>
      <c r="CA13" s="57">
        <f t="shared" si="0"/>
        <v>0</v>
      </c>
      <c r="CB13" s="57">
        <f t="shared" si="0"/>
        <v>0</v>
      </c>
      <c r="CC13" s="57">
        <f t="shared" si="0"/>
        <v>0</v>
      </c>
      <c r="CD13" s="57">
        <f t="shared" si="0"/>
        <v>0</v>
      </c>
      <c r="CE13" s="57">
        <f t="shared" si="0"/>
        <v>0</v>
      </c>
      <c r="CF13" s="57">
        <f t="shared" si="0"/>
        <v>0</v>
      </c>
      <c r="CG13" s="57">
        <f t="shared" si="0"/>
        <v>0</v>
      </c>
      <c r="CH13" s="57">
        <f t="shared" si="0"/>
        <v>0</v>
      </c>
      <c r="CI13" s="57">
        <f t="shared" si="0"/>
        <v>0</v>
      </c>
      <c r="CJ13" s="57">
        <f t="shared" si="0"/>
        <v>0</v>
      </c>
      <c r="CK13" s="57">
        <f t="shared" ref="CK13:DT13" si="1">SUM(CK14:CK121)</f>
        <v>0</v>
      </c>
      <c r="CL13" s="57">
        <f t="shared" si="1"/>
        <v>0</v>
      </c>
      <c r="CM13" s="57">
        <f t="shared" si="1"/>
        <v>0</v>
      </c>
      <c r="CN13" s="57">
        <f t="shared" si="1"/>
        <v>0</v>
      </c>
      <c r="CO13" s="57">
        <f t="shared" si="1"/>
        <v>0</v>
      </c>
      <c r="CP13" s="57">
        <f t="shared" si="1"/>
        <v>0</v>
      </c>
      <c r="CQ13" s="57">
        <f t="shared" si="1"/>
        <v>0</v>
      </c>
      <c r="CR13" s="57">
        <f t="shared" si="1"/>
        <v>0</v>
      </c>
      <c r="CS13" s="57">
        <f t="shared" si="1"/>
        <v>0</v>
      </c>
      <c r="CT13" s="57">
        <f t="shared" si="1"/>
        <v>0</v>
      </c>
      <c r="CU13" s="57">
        <f t="shared" si="1"/>
        <v>0</v>
      </c>
      <c r="CV13" s="57">
        <f t="shared" si="1"/>
        <v>0</v>
      </c>
      <c r="CW13" s="57">
        <f t="shared" si="1"/>
        <v>0</v>
      </c>
      <c r="CX13" s="57">
        <f t="shared" si="1"/>
        <v>0</v>
      </c>
      <c r="CY13" s="57">
        <f t="shared" si="1"/>
        <v>0</v>
      </c>
      <c r="CZ13" s="57">
        <f t="shared" si="1"/>
        <v>0</v>
      </c>
      <c r="DA13" s="57">
        <f t="shared" si="1"/>
        <v>0</v>
      </c>
      <c r="DB13" s="57">
        <f t="shared" si="1"/>
        <v>0</v>
      </c>
      <c r="DC13" s="57">
        <f t="shared" si="1"/>
        <v>0</v>
      </c>
      <c r="DD13" s="57">
        <f t="shared" si="1"/>
        <v>0</v>
      </c>
      <c r="DE13" s="57">
        <f t="shared" si="1"/>
        <v>0</v>
      </c>
      <c r="DF13" s="57">
        <f t="shared" si="1"/>
        <v>0</v>
      </c>
      <c r="DG13" s="57">
        <f t="shared" si="1"/>
        <v>0</v>
      </c>
      <c r="DH13" s="57">
        <f t="shared" si="1"/>
        <v>0</v>
      </c>
      <c r="DI13" s="57">
        <f t="shared" si="1"/>
        <v>0</v>
      </c>
      <c r="DJ13" s="57">
        <f t="shared" si="1"/>
        <v>0</v>
      </c>
      <c r="DK13" s="57">
        <f t="shared" si="1"/>
        <v>0</v>
      </c>
      <c r="DL13" s="57">
        <f t="shared" si="1"/>
        <v>0</v>
      </c>
      <c r="DM13" s="57">
        <f t="shared" si="1"/>
        <v>0</v>
      </c>
      <c r="DN13" s="57">
        <f t="shared" si="1"/>
        <v>0</v>
      </c>
      <c r="DO13" s="57">
        <f t="shared" si="1"/>
        <v>0</v>
      </c>
      <c r="DP13" s="57">
        <f t="shared" si="1"/>
        <v>0</v>
      </c>
      <c r="DQ13" s="57">
        <f t="shared" si="1"/>
        <v>0</v>
      </c>
      <c r="DR13" s="57">
        <f t="shared" si="1"/>
        <v>0</v>
      </c>
      <c r="DS13" s="57">
        <f t="shared" si="1"/>
        <v>0</v>
      </c>
      <c r="DT13" s="113">
        <f t="shared" si="1"/>
        <v>0</v>
      </c>
      <c r="DU13" s="54"/>
      <c r="DV13" s="58" t="s">
        <v>16</v>
      </c>
      <c r="DW13" s="56">
        <f t="shared" ref="DW13:GH13" si="2">SUM(DW14:DW121)</f>
        <v>350</v>
      </c>
      <c r="DX13" s="57">
        <f t="shared" si="2"/>
        <v>27668.987823653439</v>
      </c>
      <c r="DY13" s="57">
        <f t="shared" si="2"/>
        <v>608.38</v>
      </c>
      <c r="DZ13" s="57">
        <f t="shared" si="2"/>
        <v>608.38</v>
      </c>
      <c r="EA13" s="57">
        <f t="shared" si="2"/>
        <v>608.38</v>
      </c>
      <c r="EB13" s="57">
        <f t="shared" si="2"/>
        <v>608.38</v>
      </c>
      <c r="EC13" s="57">
        <f t="shared" si="2"/>
        <v>597.96</v>
      </c>
      <c r="ED13" s="57">
        <f t="shared" si="2"/>
        <v>597.96</v>
      </c>
      <c r="EE13" s="57">
        <f t="shared" si="2"/>
        <v>597.96</v>
      </c>
      <c r="EF13" s="57">
        <f t="shared" si="2"/>
        <v>0</v>
      </c>
      <c r="EG13" s="57">
        <f t="shared" si="2"/>
        <v>0</v>
      </c>
      <c r="EH13" s="57">
        <f t="shared" si="2"/>
        <v>0</v>
      </c>
      <c r="EI13" s="57">
        <f t="shared" si="2"/>
        <v>0</v>
      </c>
      <c r="EJ13" s="57">
        <f t="shared" si="2"/>
        <v>0</v>
      </c>
      <c r="EK13" s="57">
        <f t="shared" si="2"/>
        <v>0</v>
      </c>
      <c r="EL13" s="57">
        <f t="shared" si="2"/>
        <v>0</v>
      </c>
      <c r="EM13" s="57">
        <f t="shared" si="2"/>
        <v>0</v>
      </c>
      <c r="EN13" s="57">
        <f t="shared" si="2"/>
        <v>0</v>
      </c>
      <c r="EO13" s="57">
        <f t="shared" si="2"/>
        <v>0</v>
      </c>
      <c r="EP13" s="57">
        <f t="shared" si="2"/>
        <v>0</v>
      </c>
      <c r="EQ13" s="57">
        <f t="shared" si="2"/>
        <v>0</v>
      </c>
      <c r="ER13" s="57">
        <f t="shared" si="2"/>
        <v>0</v>
      </c>
      <c r="ES13" s="57">
        <f t="shared" si="2"/>
        <v>0</v>
      </c>
      <c r="ET13" s="57">
        <f t="shared" si="2"/>
        <v>0</v>
      </c>
      <c r="EU13" s="57">
        <f t="shared" si="2"/>
        <v>0</v>
      </c>
      <c r="EV13" s="57">
        <f t="shared" si="2"/>
        <v>0</v>
      </c>
      <c r="EW13" s="57">
        <f t="shared" si="2"/>
        <v>0</v>
      </c>
      <c r="EX13" s="57">
        <f t="shared" si="2"/>
        <v>0</v>
      </c>
      <c r="EY13" s="57">
        <f t="shared" si="2"/>
        <v>0</v>
      </c>
      <c r="EZ13" s="57">
        <f t="shared" si="2"/>
        <v>0</v>
      </c>
      <c r="FA13" s="57">
        <f t="shared" si="2"/>
        <v>0</v>
      </c>
      <c r="FB13" s="57">
        <f t="shared" si="2"/>
        <v>0</v>
      </c>
      <c r="FC13" s="57">
        <f t="shared" si="2"/>
        <v>0</v>
      </c>
      <c r="FD13" s="57">
        <f t="shared" si="2"/>
        <v>0</v>
      </c>
      <c r="FE13" s="57">
        <f t="shared" si="2"/>
        <v>0</v>
      </c>
      <c r="FF13" s="57">
        <f t="shared" si="2"/>
        <v>0</v>
      </c>
      <c r="FG13" s="57">
        <f t="shared" si="2"/>
        <v>0</v>
      </c>
      <c r="FH13" s="57">
        <f t="shared" si="2"/>
        <v>0</v>
      </c>
      <c r="FI13" s="57">
        <f t="shared" si="2"/>
        <v>0</v>
      </c>
      <c r="FJ13" s="57">
        <f t="shared" si="2"/>
        <v>0</v>
      </c>
      <c r="FK13" s="57">
        <f t="shared" si="2"/>
        <v>0</v>
      </c>
      <c r="FL13" s="57">
        <f t="shared" si="2"/>
        <v>0</v>
      </c>
      <c r="FM13" s="57">
        <f t="shared" si="2"/>
        <v>0</v>
      </c>
      <c r="FN13" s="57">
        <f t="shared" si="2"/>
        <v>0</v>
      </c>
      <c r="FO13" s="57">
        <f t="shared" si="2"/>
        <v>0</v>
      </c>
      <c r="FP13" s="57">
        <f t="shared" si="2"/>
        <v>0</v>
      </c>
      <c r="FQ13" s="57">
        <f t="shared" si="2"/>
        <v>0</v>
      </c>
      <c r="FR13" s="57">
        <f t="shared" si="2"/>
        <v>0</v>
      </c>
      <c r="FS13" s="57">
        <f t="shared" si="2"/>
        <v>0</v>
      </c>
      <c r="FT13" s="57">
        <f t="shared" si="2"/>
        <v>0</v>
      </c>
      <c r="FU13" s="57">
        <f t="shared" si="2"/>
        <v>0</v>
      </c>
      <c r="FV13" s="57">
        <f t="shared" si="2"/>
        <v>0</v>
      </c>
      <c r="FW13" s="57">
        <f t="shared" si="2"/>
        <v>0</v>
      </c>
      <c r="FX13" s="57">
        <f t="shared" si="2"/>
        <v>0</v>
      </c>
      <c r="FY13" s="57">
        <f t="shared" si="2"/>
        <v>0</v>
      </c>
      <c r="FZ13" s="57">
        <f t="shared" si="2"/>
        <v>0</v>
      </c>
      <c r="GA13" s="57">
        <f t="shared" si="2"/>
        <v>0</v>
      </c>
      <c r="GB13" s="57">
        <f t="shared" si="2"/>
        <v>0</v>
      </c>
      <c r="GC13" s="57">
        <f t="shared" si="2"/>
        <v>0</v>
      </c>
      <c r="GD13" s="57">
        <f t="shared" si="2"/>
        <v>0</v>
      </c>
      <c r="GE13" s="57">
        <f t="shared" si="2"/>
        <v>0</v>
      </c>
      <c r="GF13" s="57">
        <f t="shared" si="2"/>
        <v>0</v>
      </c>
      <c r="GG13" s="57">
        <f t="shared" si="2"/>
        <v>0</v>
      </c>
      <c r="GH13" s="57">
        <f t="shared" si="2"/>
        <v>0</v>
      </c>
      <c r="GI13" s="57">
        <f t="shared" ref="GI13:HR13" si="3">SUM(GI14:GI121)</f>
        <v>0</v>
      </c>
      <c r="GJ13" s="57">
        <f t="shared" si="3"/>
        <v>0</v>
      </c>
      <c r="GK13" s="57">
        <f t="shared" si="3"/>
        <v>0</v>
      </c>
      <c r="GL13" s="57">
        <f t="shared" si="3"/>
        <v>0</v>
      </c>
      <c r="GM13" s="57">
        <f t="shared" si="3"/>
        <v>0</v>
      </c>
      <c r="GN13" s="57">
        <f t="shared" si="3"/>
        <v>0</v>
      </c>
      <c r="GO13" s="57">
        <f t="shared" si="3"/>
        <v>0</v>
      </c>
      <c r="GP13" s="57">
        <f t="shared" si="3"/>
        <v>0</v>
      </c>
      <c r="GQ13" s="57">
        <f t="shared" si="3"/>
        <v>0</v>
      </c>
      <c r="GR13" s="57">
        <f t="shared" si="3"/>
        <v>0</v>
      </c>
      <c r="GS13" s="57">
        <f t="shared" si="3"/>
        <v>0</v>
      </c>
      <c r="GT13" s="57">
        <f t="shared" si="3"/>
        <v>0</v>
      </c>
      <c r="GU13" s="57">
        <f t="shared" si="3"/>
        <v>0</v>
      </c>
      <c r="GV13" s="57">
        <f t="shared" si="3"/>
        <v>0</v>
      </c>
      <c r="GW13" s="57">
        <f t="shared" si="3"/>
        <v>0</v>
      </c>
      <c r="GX13" s="57">
        <f t="shared" si="3"/>
        <v>0</v>
      </c>
      <c r="GY13" s="57">
        <f t="shared" si="3"/>
        <v>0</v>
      </c>
      <c r="GZ13" s="57">
        <f t="shared" si="3"/>
        <v>0</v>
      </c>
      <c r="HA13" s="57">
        <f t="shared" si="3"/>
        <v>0</v>
      </c>
      <c r="HB13" s="57">
        <f t="shared" si="3"/>
        <v>0</v>
      </c>
      <c r="HC13" s="57">
        <f t="shared" si="3"/>
        <v>0</v>
      </c>
      <c r="HD13" s="57">
        <f t="shared" si="3"/>
        <v>0</v>
      </c>
      <c r="HE13" s="57">
        <f t="shared" si="3"/>
        <v>0</v>
      </c>
      <c r="HF13" s="57">
        <f t="shared" si="3"/>
        <v>0</v>
      </c>
      <c r="HG13" s="57">
        <f t="shared" si="3"/>
        <v>0</v>
      </c>
      <c r="HH13" s="57">
        <f t="shared" si="3"/>
        <v>0</v>
      </c>
      <c r="HI13" s="57">
        <f t="shared" si="3"/>
        <v>0</v>
      </c>
      <c r="HJ13" s="57">
        <f t="shared" si="3"/>
        <v>0</v>
      </c>
      <c r="HK13" s="57">
        <f t="shared" si="3"/>
        <v>0</v>
      </c>
      <c r="HL13" s="57">
        <f t="shared" si="3"/>
        <v>0</v>
      </c>
      <c r="HM13" s="57">
        <f t="shared" si="3"/>
        <v>0</v>
      </c>
      <c r="HN13" s="57">
        <f t="shared" si="3"/>
        <v>0</v>
      </c>
      <c r="HO13" s="57">
        <f t="shared" si="3"/>
        <v>0</v>
      </c>
      <c r="HP13" s="57">
        <f t="shared" si="3"/>
        <v>0</v>
      </c>
      <c r="HQ13" s="57">
        <f t="shared" si="3"/>
        <v>0</v>
      </c>
      <c r="HR13" s="113">
        <f t="shared" si="3"/>
        <v>0</v>
      </c>
    </row>
    <row r="14" spans="1:226" ht="11.15" customHeight="1" thickTop="1" x14ac:dyDescent="0.25">
      <c r="A14" s="80"/>
      <c r="B14" s="87"/>
      <c r="C14" s="124" t="str">
        <f>IF(A14=0,"",VLOOKUP(A14,[3]CO!$A$3:$F$5327,2,0))</f>
        <v/>
      </c>
      <c r="D14" s="125"/>
      <c r="E14" s="125"/>
      <c r="F14" s="125"/>
      <c r="G14" s="126" t="str">
        <f>IF(A14=0,"",VLOOKUP(A14,[3]CO!$A$3:$F$5327,3,0))</f>
        <v/>
      </c>
      <c r="H14" s="125"/>
      <c r="I14" s="127"/>
      <c r="J14" s="127"/>
      <c r="K14" s="127"/>
      <c r="L14" s="127"/>
      <c r="M14" s="128" t="str">
        <f t="shared" ref="M14:M74" si="4">IF(L14=0,"",PRODUCT(I14:L14))</f>
        <v/>
      </c>
      <c r="N14" s="128" t="str">
        <f>IF(B14=0,"",IF(H14="M",HLOOKUP(B14,$Y$12:$DT$13,2),IF(A14=0,"",VLOOKUP(A14,[3]CO!$A$3:$F$5327,4,0))))</f>
        <v/>
      </c>
      <c r="O14" s="128" t="str">
        <f>IF(L14=0,"",PRODUCT(M14:N14))</f>
        <v/>
      </c>
      <c r="P14" s="87"/>
      <c r="Q14" s="88" t="str">
        <f t="shared" ref="Q14:Q74" si="5">IF(P14=0,"",(HLOOKUP(P14,$DW$12:$HR$13,2)))</f>
        <v/>
      </c>
      <c r="R14" s="89" t="str">
        <f t="shared" ref="R14:R74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RESIDENTE"),VLOOKUP(B14,P$14:Q$121,2),"")*S14)</f>
        <v/>
      </c>
      <c r="S14" s="122"/>
      <c r="T14" s="53" t="str">
        <f>IF(A14=0,"",VLOOKUP(A14,[3]CO!$A$3:$F$5318,5,0))</f>
        <v/>
      </c>
      <c r="U14" s="54">
        <f>IF(T14=1,O14*0.1,)</f>
        <v>0</v>
      </c>
      <c r="V14" s="24"/>
      <c r="Y14" s="62" t="str">
        <f t="shared" ref="Y14:CJ17" si="7">IF($B14=Y$12,$U14,"")</f>
        <v/>
      </c>
      <c r="Z14" s="63" t="str">
        <f t="shared" si="7"/>
        <v/>
      </c>
      <c r="AA14" s="63" t="str">
        <f t="shared" si="7"/>
        <v/>
      </c>
      <c r="AB14" s="63" t="str">
        <f t="shared" si="7"/>
        <v/>
      </c>
      <c r="AC14" s="63" t="str">
        <f t="shared" si="7"/>
        <v/>
      </c>
      <c r="AD14" s="63" t="str">
        <f t="shared" si="7"/>
        <v/>
      </c>
      <c r="AE14" s="63" t="str">
        <f t="shared" si="7"/>
        <v/>
      </c>
      <c r="AF14" s="63" t="str">
        <f t="shared" si="7"/>
        <v/>
      </c>
      <c r="AG14" s="63" t="str">
        <f t="shared" si="7"/>
        <v/>
      </c>
      <c r="AH14" s="63" t="str">
        <f t="shared" si="7"/>
        <v/>
      </c>
      <c r="AI14" s="63" t="str">
        <f t="shared" si="7"/>
        <v/>
      </c>
      <c r="AJ14" s="63" t="str">
        <f t="shared" si="7"/>
        <v/>
      </c>
      <c r="AK14" s="63" t="str">
        <f t="shared" si="7"/>
        <v/>
      </c>
      <c r="AL14" s="63" t="str">
        <f t="shared" si="7"/>
        <v/>
      </c>
      <c r="AM14" s="63" t="str">
        <f t="shared" si="7"/>
        <v/>
      </c>
      <c r="AN14" s="63" t="str">
        <f t="shared" si="7"/>
        <v/>
      </c>
      <c r="AO14" s="63" t="str">
        <f t="shared" si="7"/>
        <v/>
      </c>
      <c r="AP14" s="63" t="str">
        <f t="shared" si="7"/>
        <v/>
      </c>
      <c r="AQ14" s="63" t="str">
        <f t="shared" si="7"/>
        <v/>
      </c>
      <c r="AR14" s="63" t="str">
        <f t="shared" si="7"/>
        <v/>
      </c>
      <c r="AS14" s="63" t="str">
        <f t="shared" si="7"/>
        <v/>
      </c>
      <c r="AT14" s="63" t="str">
        <f t="shared" si="7"/>
        <v/>
      </c>
      <c r="AU14" s="63" t="str">
        <f t="shared" si="7"/>
        <v/>
      </c>
      <c r="AV14" s="63" t="str">
        <f t="shared" si="7"/>
        <v/>
      </c>
      <c r="AW14" s="63" t="str">
        <f t="shared" si="7"/>
        <v/>
      </c>
      <c r="AX14" s="63" t="str">
        <f t="shared" si="7"/>
        <v/>
      </c>
      <c r="AY14" s="63" t="str">
        <f t="shared" si="7"/>
        <v/>
      </c>
      <c r="AZ14" s="63" t="str">
        <f t="shared" si="7"/>
        <v/>
      </c>
      <c r="BA14" s="63" t="str">
        <f t="shared" si="7"/>
        <v/>
      </c>
      <c r="BB14" s="63" t="str">
        <f t="shared" si="7"/>
        <v/>
      </c>
      <c r="BC14" s="63" t="str">
        <f t="shared" si="7"/>
        <v/>
      </c>
      <c r="BD14" s="63" t="str">
        <f t="shared" si="7"/>
        <v/>
      </c>
      <c r="BE14" s="63" t="str">
        <f t="shared" si="7"/>
        <v/>
      </c>
      <c r="BF14" s="63" t="str">
        <f t="shared" si="7"/>
        <v/>
      </c>
      <c r="BG14" s="63" t="str">
        <f t="shared" si="7"/>
        <v/>
      </c>
      <c r="BH14" s="63" t="str">
        <f t="shared" si="7"/>
        <v/>
      </c>
      <c r="BI14" s="63" t="str">
        <f t="shared" si="7"/>
        <v/>
      </c>
      <c r="BJ14" s="63" t="str">
        <f t="shared" si="7"/>
        <v/>
      </c>
      <c r="BK14" s="63" t="str">
        <f t="shared" si="7"/>
        <v/>
      </c>
      <c r="BL14" s="63" t="str">
        <f t="shared" si="7"/>
        <v/>
      </c>
      <c r="BM14" s="63" t="str">
        <f t="shared" si="7"/>
        <v/>
      </c>
      <c r="BN14" s="63" t="str">
        <f t="shared" si="7"/>
        <v/>
      </c>
      <c r="BO14" s="63" t="str">
        <f t="shared" si="7"/>
        <v/>
      </c>
      <c r="BP14" s="63" t="str">
        <f t="shared" si="7"/>
        <v/>
      </c>
      <c r="BQ14" s="63" t="str">
        <f t="shared" si="7"/>
        <v/>
      </c>
      <c r="BR14" s="63" t="str">
        <f t="shared" si="7"/>
        <v/>
      </c>
      <c r="BS14" s="63" t="str">
        <f t="shared" si="7"/>
        <v/>
      </c>
      <c r="BT14" s="63" t="str">
        <f t="shared" si="7"/>
        <v/>
      </c>
      <c r="BU14" s="63" t="str">
        <f t="shared" si="7"/>
        <v/>
      </c>
      <c r="BV14" s="63" t="str">
        <f t="shared" si="7"/>
        <v/>
      </c>
      <c r="BW14" s="63" t="str">
        <f t="shared" si="7"/>
        <v/>
      </c>
      <c r="BX14" s="63" t="str">
        <f t="shared" si="7"/>
        <v/>
      </c>
      <c r="BY14" s="63" t="str">
        <f t="shared" si="7"/>
        <v/>
      </c>
      <c r="BZ14" s="63" t="str">
        <f t="shared" si="7"/>
        <v/>
      </c>
      <c r="CA14" s="63" t="str">
        <f t="shared" si="7"/>
        <v/>
      </c>
      <c r="CB14" s="63" t="str">
        <f t="shared" si="7"/>
        <v/>
      </c>
      <c r="CC14" s="63" t="str">
        <f t="shared" si="7"/>
        <v/>
      </c>
      <c r="CD14" s="63" t="str">
        <f t="shared" si="7"/>
        <v/>
      </c>
      <c r="CE14" s="63" t="str">
        <f t="shared" si="7"/>
        <v/>
      </c>
      <c r="CF14" s="63" t="str">
        <f t="shared" si="7"/>
        <v/>
      </c>
      <c r="CG14" s="63" t="str">
        <f t="shared" si="7"/>
        <v/>
      </c>
      <c r="CH14" s="63" t="str">
        <f t="shared" si="7"/>
        <v/>
      </c>
      <c r="CI14" s="63" t="str">
        <f t="shared" si="7"/>
        <v/>
      </c>
      <c r="CJ14" s="63" t="str">
        <f t="shared" si="7"/>
        <v/>
      </c>
      <c r="CK14" s="63" t="str">
        <f t="shared" ref="CK14:DT23" si="8">IF($B14=CK$12,$U14,"")</f>
        <v/>
      </c>
      <c r="CL14" s="63" t="str">
        <f t="shared" si="8"/>
        <v/>
      </c>
      <c r="CM14" s="63" t="str">
        <f t="shared" si="8"/>
        <v/>
      </c>
      <c r="CN14" s="63" t="str">
        <f t="shared" si="8"/>
        <v/>
      </c>
      <c r="CO14" s="63" t="str">
        <f t="shared" si="8"/>
        <v/>
      </c>
      <c r="CP14" s="63" t="str">
        <f t="shared" si="8"/>
        <v/>
      </c>
      <c r="CQ14" s="63" t="str">
        <f t="shared" si="8"/>
        <v/>
      </c>
      <c r="CR14" s="63" t="str">
        <f t="shared" si="8"/>
        <v/>
      </c>
      <c r="CS14" s="63" t="str">
        <f t="shared" si="8"/>
        <v/>
      </c>
      <c r="CT14" s="63" t="str">
        <f t="shared" si="8"/>
        <v/>
      </c>
      <c r="CU14" s="63" t="str">
        <f t="shared" si="8"/>
        <v/>
      </c>
      <c r="CV14" s="63" t="str">
        <f t="shared" si="8"/>
        <v/>
      </c>
      <c r="CW14" s="63" t="str">
        <f t="shared" si="8"/>
        <v/>
      </c>
      <c r="CX14" s="63" t="str">
        <f t="shared" si="8"/>
        <v/>
      </c>
      <c r="CY14" s="63" t="str">
        <f t="shared" si="8"/>
        <v/>
      </c>
      <c r="CZ14" s="63" t="str">
        <f t="shared" si="8"/>
        <v/>
      </c>
      <c r="DA14" s="63" t="str">
        <f t="shared" si="8"/>
        <v/>
      </c>
      <c r="DB14" s="63" t="str">
        <f t="shared" si="8"/>
        <v/>
      </c>
      <c r="DC14" s="63" t="str">
        <f t="shared" si="8"/>
        <v/>
      </c>
      <c r="DD14" s="63" t="str">
        <f t="shared" si="8"/>
        <v/>
      </c>
      <c r="DE14" s="63" t="str">
        <f t="shared" si="8"/>
        <v/>
      </c>
      <c r="DF14" s="63" t="str">
        <f t="shared" si="8"/>
        <v/>
      </c>
      <c r="DG14" s="63" t="str">
        <f t="shared" si="8"/>
        <v/>
      </c>
      <c r="DH14" s="63" t="str">
        <f t="shared" si="8"/>
        <v/>
      </c>
      <c r="DI14" s="63" t="str">
        <f t="shared" si="8"/>
        <v/>
      </c>
      <c r="DJ14" s="63" t="str">
        <f t="shared" si="8"/>
        <v/>
      </c>
      <c r="DK14" s="63" t="str">
        <f t="shared" si="8"/>
        <v/>
      </c>
      <c r="DL14" s="63" t="str">
        <f t="shared" si="8"/>
        <v/>
      </c>
      <c r="DM14" s="63" t="str">
        <f t="shared" si="8"/>
        <v/>
      </c>
      <c r="DN14" s="63" t="str">
        <f t="shared" si="8"/>
        <v/>
      </c>
      <c r="DO14" s="63" t="str">
        <f t="shared" si="8"/>
        <v/>
      </c>
      <c r="DP14" s="63" t="str">
        <f t="shared" si="8"/>
        <v/>
      </c>
      <c r="DQ14" s="63" t="str">
        <f t="shared" si="8"/>
        <v/>
      </c>
      <c r="DR14" s="63" t="str">
        <f t="shared" si="8"/>
        <v/>
      </c>
      <c r="DS14" s="63" t="str">
        <f t="shared" si="8"/>
        <v/>
      </c>
      <c r="DT14" s="114" t="str">
        <f t="shared" si="8"/>
        <v/>
      </c>
      <c r="DU14" s="54"/>
      <c r="DW14" s="59" t="str">
        <f t="shared" ref="DW14:GH17" si="9">IF($B14=DW$12,$O14,"")</f>
        <v/>
      </c>
      <c r="DX14" s="60" t="str">
        <f t="shared" si="9"/>
        <v/>
      </c>
      <c r="DY14" s="60" t="str">
        <f t="shared" si="9"/>
        <v/>
      </c>
      <c r="DZ14" s="60" t="str">
        <f t="shared" si="9"/>
        <v/>
      </c>
      <c r="EA14" s="60" t="str">
        <f t="shared" si="9"/>
        <v/>
      </c>
      <c r="EB14" s="60" t="str">
        <f t="shared" si="9"/>
        <v/>
      </c>
      <c r="EC14" s="60" t="str">
        <f t="shared" si="9"/>
        <v/>
      </c>
      <c r="ED14" s="60" t="str">
        <f t="shared" si="9"/>
        <v/>
      </c>
      <c r="EE14" s="60" t="str">
        <f t="shared" si="9"/>
        <v/>
      </c>
      <c r="EF14" s="60" t="str">
        <f t="shared" si="9"/>
        <v/>
      </c>
      <c r="EG14" s="60" t="str">
        <f t="shared" si="9"/>
        <v/>
      </c>
      <c r="EH14" s="60" t="str">
        <f t="shared" si="9"/>
        <v/>
      </c>
      <c r="EI14" s="60" t="str">
        <f t="shared" si="9"/>
        <v/>
      </c>
      <c r="EJ14" s="60" t="str">
        <f t="shared" si="9"/>
        <v/>
      </c>
      <c r="EK14" s="60" t="str">
        <f t="shared" si="9"/>
        <v/>
      </c>
      <c r="EL14" s="60" t="str">
        <f t="shared" si="9"/>
        <v/>
      </c>
      <c r="EM14" s="60" t="str">
        <f t="shared" si="9"/>
        <v/>
      </c>
      <c r="EN14" s="60" t="str">
        <f t="shared" si="9"/>
        <v/>
      </c>
      <c r="EO14" s="60" t="str">
        <f t="shared" si="9"/>
        <v/>
      </c>
      <c r="EP14" s="60" t="str">
        <f t="shared" si="9"/>
        <v/>
      </c>
      <c r="EQ14" s="60" t="str">
        <f t="shared" si="9"/>
        <v/>
      </c>
      <c r="ER14" s="60" t="str">
        <f t="shared" si="9"/>
        <v/>
      </c>
      <c r="ES14" s="60" t="str">
        <f t="shared" si="9"/>
        <v/>
      </c>
      <c r="ET14" s="60" t="str">
        <f t="shared" si="9"/>
        <v/>
      </c>
      <c r="EU14" s="60" t="str">
        <f t="shared" si="9"/>
        <v/>
      </c>
      <c r="EV14" s="60" t="str">
        <f t="shared" si="9"/>
        <v/>
      </c>
      <c r="EW14" s="60" t="str">
        <f t="shared" si="9"/>
        <v/>
      </c>
      <c r="EX14" s="60" t="str">
        <f t="shared" si="9"/>
        <v/>
      </c>
      <c r="EY14" s="60" t="str">
        <f t="shared" si="9"/>
        <v/>
      </c>
      <c r="EZ14" s="60" t="str">
        <f t="shared" si="9"/>
        <v/>
      </c>
      <c r="FA14" s="60" t="str">
        <f t="shared" si="9"/>
        <v/>
      </c>
      <c r="FB14" s="60" t="str">
        <f t="shared" si="9"/>
        <v/>
      </c>
      <c r="FC14" s="60" t="str">
        <f t="shared" si="9"/>
        <v/>
      </c>
      <c r="FD14" s="60" t="str">
        <f t="shared" si="9"/>
        <v/>
      </c>
      <c r="FE14" s="60" t="str">
        <f t="shared" si="9"/>
        <v/>
      </c>
      <c r="FF14" s="60" t="str">
        <f t="shared" si="9"/>
        <v/>
      </c>
      <c r="FG14" s="60" t="str">
        <f t="shared" si="9"/>
        <v/>
      </c>
      <c r="FH14" s="60" t="str">
        <f t="shared" si="9"/>
        <v/>
      </c>
      <c r="FI14" s="60" t="str">
        <f t="shared" si="9"/>
        <v/>
      </c>
      <c r="FJ14" s="60" t="str">
        <f t="shared" si="9"/>
        <v/>
      </c>
      <c r="FK14" s="60" t="str">
        <f t="shared" si="9"/>
        <v/>
      </c>
      <c r="FL14" s="60" t="str">
        <f t="shared" si="9"/>
        <v/>
      </c>
      <c r="FM14" s="60" t="str">
        <f t="shared" si="9"/>
        <v/>
      </c>
      <c r="FN14" s="60" t="str">
        <f t="shared" si="9"/>
        <v/>
      </c>
      <c r="FO14" s="60" t="str">
        <f t="shared" si="9"/>
        <v/>
      </c>
      <c r="FP14" s="60" t="str">
        <f t="shared" si="9"/>
        <v/>
      </c>
      <c r="FQ14" s="60" t="str">
        <f t="shared" si="9"/>
        <v/>
      </c>
      <c r="FR14" s="60" t="str">
        <f t="shared" si="9"/>
        <v/>
      </c>
      <c r="FS14" s="60" t="str">
        <f t="shared" si="9"/>
        <v/>
      </c>
      <c r="FT14" s="60" t="str">
        <f t="shared" si="9"/>
        <v/>
      </c>
      <c r="FU14" s="60" t="str">
        <f t="shared" si="9"/>
        <v/>
      </c>
      <c r="FV14" s="60" t="str">
        <f t="shared" si="9"/>
        <v/>
      </c>
      <c r="FW14" s="60" t="str">
        <f t="shared" si="9"/>
        <v/>
      </c>
      <c r="FX14" s="60" t="str">
        <f t="shared" si="9"/>
        <v/>
      </c>
      <c r="FY14" s="60" t="str">
        <f t="shared" si="9"/>
        <v/>
      </c>
      <c r="FZ14" s="60" t="str">
        <f t="shared" si="9"/>
        <v/>
      </c>
      <c r="GA14" s="60" t="str">
        <f t="shared" si="9"/>
        <v/>
      </c>
      <c r="GB14" s="60" t="str">
        <f t="shared" si="9"/>
        <v/>
      </c>
      <c r="GC14" s="60" t="str">
        <f t="shared" si="9"/>
        <v/>
      </c>
      <c r="GD14" s="60" t="str">
        <f t="shared" si="9"/>
        <v/>
      </c>
      <c r="GE14" s="60" t="str">
        <f t="shared" si="9"/>
        <v/>
      </c>
      <c r="GF14" s="60" t="str">
        <f t="shared" si="9"/>
        <v/>
      </c>
      <c r="GG14" s="60" t="str">
        <f t="shared" si="9"/>
        <v/>
      </c>
      <c r="GH14" s="60" t="str">
        <f t="shared" si="9"/>
        <v/>
      </c>
      <c r="GI14" s="60" t="str">
        <f t="shared" ref="GI14:HR23" si="10">IF($B14=GI$12,$O14,"")</f>
        <v/>
      </c>
      <c r="GJ14" s="60" t="str">
        <f t="shared" si="10"/>
        <v/>
      </c>
      <c r="GK14" s="60" t="str">
        <f t="shared" si="10"/>
        <v/>
      </c>
      <c r="GL14" s="60" t="str">
        <f t="shared" si="10"/>
        <v/>
      </c>
      <c r="GM14" s="60" t="str">
        <f t="shared" si="10"/>
        <v/>
      </c>
      <c r="GN14" s="60" t="str">
        <f t="shared" si="10"/>
        <v/>
      </c>
      <c r="GO14" s="60" t="str">
        <f t="shared" si="10"/>
        <v/>
      </c>
      <c r="GP14" s="60" t="str">
        <f t="shared" si="10"/>
        <v/>
      </c>
      <c r="GQ14" s="60" t="str">
        <f t="shared" si="10"/>
        <v/>
      </c>
      <c r="GR14" s="60" t="str">
        <f t="shared" si="10"/>
        <v/>
      </c>
      <c r="GS14" s="60" t="str">
        <f t="shared" si="10"/>
        <v/>
      </c>
      <c r="GT14" s="60" t="str">
        <f t="shared" si="10"/>
        <v/>
      </c>
      <c r="GU14" s="60" t="str">
        <f t="shared" si="10"/>
        <v/>
      </c>
      <c r="GV14" s="60" t="str">
        <f t="shared" si="10"/>
        <v/>
      </c>
      <c r="GW14" s="60" t="str">
        <f t="shared" si="10"/>
        <v/>
      </c>
      <c r="GX14" s="60" t="str">
        <f t="shared" si="10"/>
        <v/>
      </c>
      <c r="GY14" s="60" t="str">
        <f t="shared" si="10"/>
        <v/>
      </c>
      <c r="GZ14" s="60" t="str">
        <f t="shared" si="10"/>
        <v/>
      </c>
      <c r="HA14" s="60" t="str">
        <f t="shared" si="10"/>
        <v/>
      </c>
      <c r="HB14" s="60" t="str">
        <f t="shared" si="10"/>
        <v/>
      </c>
      <c r="HC14" s="60" t="str">
        <f t="shared" si="10"/>
        <v/>
      </c>
      <c r="HD14" s="60" t="str">
        <f t="shared" si="10"/>
        <v/>
      </c>
      <c r="HE14" s="60" t="str">
        <f t="shared" si="10"/>
        <v/>
      </c>
      <c r="HF14" s="60" t="str">
        <f t="shared" si="10"/>
        <v/>
      </c>
      <c r="HG14" s="60" t="str">
        <f t="shared" si="10"/>
        <v/>
      </c>
      <c r="HH14" s="60" t="str">
        <f t="shared" si="10"/>
        <v/>
      </c>
      <c r="HI14" s="60" t="str">
        <f t="shared" si="10"/>
        <v/>
      </c>
      <c r="HJ14" s="60" t="str">
        <f t="shared" si="10"/>
        <v/>
      </c>
      <c r="HK14" s="60" t="str">
        <f t="shared" si="10"/>
        <v/>
      </c>
      <c r="HL14" s="60" t="str">
        <f t="shared" si="10"/>
        <v/>
      </c>
      <c r="HM14" s="60" t="str">
        <f t="shared" si="10"/>
        <v/>
      </c>
      <c r="HN14" s="60" t="str">
        <f t="shared" si="10"/>
        <v/>
      </c>
      <c r="HO14" s="60" t="str">
        <f t="shared" si="10"/>
        <v/>
      </c>
      <c r="HP14" s="60" t="str">
        <f t="shared" si="10"/>
        <v/>
      </c>
      <c r="HQ14" s="60" t="str">
        <f t="shared" si="10"/>
        <v/>
      </c>
      <c r="HR14" s="118" t="str">
        <f t="shared" si="10"/>
        <v/>
      </c>
    </row>
    <row r="15" spans="1:226" ht="11.15" customHeight="1" x14ac:dyDescent="0.25">
      <c r="A15" s="26">
        <v>2774</v>
      </c>
      <c r="B15" s="27">
        <v>1</v>
      </c>
      <c r="C15" s="28" t="str">
        <f>IF(A15=0,"",VLOOKUP(A15,[3]CO!$A$3:$F$5327,2,0))</f>
        <v>MACIAS TOVAR NOE</v>
      </c>
      <c r="D15" s="29"/>
      <c r="E15" s="29"/>
      <c r="F15" s="29"/>
      <c r="G15" s="30" t="str">
        <f>IF(A15=0,"",VLOOKUP(A15,[3]CO!$A$3:$F$5327,3,0))</f>
        <v>OF</v>
      </c>
      <c r="H15" s="29"/>
      <c r="I15" s="31"/>
      <c r="J15" s="31"/>
      <c r="K15" s="31"/>
      <c r="L15" s="31"/>
      <c r="M15" s="32" t="str">
        <f t="shared" si="4"/>
        <v/>
      </c>
      <c r="N15" s="32">
        <f>IF(B15=0,"",IF(H15="M",HLOOKUP(B15,$Y$12:$DT$13,2),IF(A15=0,"",VLOOKUP(A15,[3]CO!$A$3:$F$5327,4,0))))</f>
        <v>608.38</v>
      </c>
      <c r="O15" s="32" t="str">
        <f t="shared" ref="O15:O121" si="11">IF(L15=0,"",PRODUCT(M15:N15))</f>
        <v/>
      </c>
      <c r="P15" s="33"/>
      <c r="Q15" s="34" t="str">
        <f t="shared" si="5"/>
        <v/>
      </c>
      <c r="R15" s="35">
        <f t="shared" si="6"/>
        <v>210</v>
      </c>
      <c r="S15" s="122">
        <v>0.6</v>
      </c>
      <c r="T15" s="53">
        <f>IF(A15=0,"",VLOOKUP(A15,[3]CO!$A$3:$F$5318,5,0))</f>
        <v>0</v>
      </c>
      <c r="U15" s="54">
        <f t="shared" ref="U15:U74" si="12">IF(T15=1,O15*0.1,)</f>
        <v>0</v>
      </c>
      <c r="V15" s="24"/>
      <c r="W15" s="25"/>
      <c r="X15" s="25"/>
      <c r="Y15" s="64">
        <f t="shared" si="7"/>
        <v>0</v>
      </c>
      <c r="Z15" s="55" t="str">
        <f t="shared" si="7"/>
        <v/>
      </c>
      <c r="AA15" s="55" t="str">
        <f t="shared" si="7"/>
        <v/>
      </c>
      <c r="AB15" s="55" t="str">
        <f t="shared" si="7"/>
        <v/>
      </c>
      <c r="AC15" s="55" t="str">
        <f t="shared" si="7"/>
        <v/>
      </c>
      <c r="AD15" s="55" t="str">
        <f t="shared" si="7"/>
        <v/>
      </c>
      <c r="AE15" s="55" t="str">
        <f t="shared" si="7"/>
        <v/>
      </c>
      <c r="AF15" s="55" t="str">
        <f t="shared" si="7"/>
        <v/>
      </c>
      <c r="AG15" s="55" t="str">
        <f t="shared" si="7"/>
        <v/>
      </c>
      <c r="AH15" s="55" t="str">
        <f t="shared" si="7"/>
        <v/>
      </c>
      <c r="AI15" s="55" t="str">
        <f t="shared" si="7"/>
        <v/>
      </c>
      <c r="AJ15" s="55" t="str">
        <f t="shared" si="7"/>
        <v/>
      </c>
      <c r="AK15" s="55" t="str">
        <f t="shared" si="7"/>
        <v/>
      </c>
      <c r="AL15" s="55" t="str">
        <f t="shared" si="7"/>
        <v/>
      </c>
      <c r="AM15" s="55" t="str">
        <f t="shared" si="7"/>
        <v/>
      </c>
      <c r="AN15" s="55" t="str">
        <f t="shared" si="7"/>
        <v/>
      </c>
      <c r="AO15" s="55" t="str">
        <f t="shared" si="7"/>
        <v/>
      </c>
      <c r="AP15" s="55" t="str">
        <f t="shared" si="7"/>
        <v/>
      </c>
      <c r="AQ15" s="55" t="str">
        <f t="shared" si="7"/>
        <v/>
      </c>
      <c r="AR15" s="55" t="str">
        <f t="shared" si="7"/>
        <v/>
      </c>
      <c r="AS15" s="55" t="str">
        <f t="shared" si="7"/>
        <v/>
      </c>
      <c r="AT15" s="55" t="str">
        <f t="shared" si="7"/>
        <v/>
      </c>
      <c r="AU15" s="55" t="str">
        <f t="shared" si="7"/>
        <v/>
      </c>
      <c r="AV15" s="55" t="str">
        <f t="shared" si="7"/>
        <v/>
      </c>
      <c r="AW15" s="55" t="str">
        <f t="shared" si="7"/>
        <v/>
      </c>
      <c r="AX15" s="55" t="str">
        <f t="shared" si="7"/>
        <v/>
      </c>
      <c r="AY15" s="55" t="str">
        <f t="shared" si="7"/>
        <v/>
      </c>
      <c r="AZ15" s="55" t="str">
        <f t="shared" si="7"/>
        <v/>
      </c>
      <c r="BA15" s="55" t="str">
        <f t="shared" si="7"/>
        <v/>
      </c>
      <c r="BB15" s="55" t="str">
        <f t="shared" si="7"/>
        <v/>
      </c>
      <c r="BC15" s="55" t="str">
        <f t="shared" si="7"/>
        <v/>
      </c>
      <c r="BD15" s="55" t="str">
        <f t="shared" si="7"/>
        <v/>
      </c>
      <c r="BE15" s="55" t="str">
        <f t="shared" si="7"/>
        <v/>
      </c>
      <c r="BF15" s="55" t="str">
        <f t="shared" si="7"/>
        <v/>
      </c>
      <c r="BG15" s="55" t="str">
        <f t="shared" si="7"/>
        <v/>
      </c>
      <c r="BH15" s="55" t="str">
        <f t="shared" si="7"/>
        <v/>
      </c>
      <c r="BI15" s="55" t="str">
        <f t="shared" si="7"/>
        <v/>
      </c>
      <c r="BJ15" s="55" t="str">
        <f t="shared" si="7"/>
        <v/>
      </c>
      <c r="BK15" s="55" t="str">
        <f t="shared" si="7"/>
        <v/>
      </c>
      <c r="BL15" s="55" t="str">
        <f t="shared" si="7"/>
        <v/>
      </c>
      <c r="BM15" s="55" t="str">
        <f t="shared" si="7"/>
        <v/>
      </c>
      <c r="BN15" s="55" t="str">
        <f t="shared" si="7"/>
        <v/>
      </c>
      <c r="BO15" s="55" t="str">
        <f t="shared" si="7"/>
        <v/>
      </c>
      <c r="BP15" s="55" t="str">
        <f t="shared" si="7"/>
        <v/>
      </c>
      <c r="BQ15" s="55" t="str">
        <f t="shared" si="7"/>
        <v/>
      </c>
      <c r="BR15" s="55" t="str">
        <f t="shared" si="7"/>
        <v/>
      </c>
      <c r="BS15" s="55" t="str">
        <f t="shared" si="7"/>
        <v/>
      </c>
      <c r="BT15" s="55" t="str">
        <f t="shared" si="7"/>
        <v/>
      </c>
      <c r="BU15" s="55" t="str">
        <f t="shared" si="7"/>
        <v/>
      </c>
      <c r="BV15" s="55" t="str">
        <f t="shared" si="7"/>
        <v/>
      </c>
      <c r="BW15" s="55" t="str">
        <f t="shared" si="7"/>
        <v/>
      </c>
      <c r="BX15" s="55" t="str">
        <f t="shared" si="7"/>
        <v/>
      </c>
      <c r="BY15" s="55" t="str">
        <f t="shared" si="7"/>
        <v/>
      </c>
      <c r="BZ15" s="55" t="str">
        <f t="shared" si="7"/>
        <v/>
      </c>
      <c r="CA15" s="55" t="str">
        <f t="shared" si="7"/>
        <v/>
      </c>
      <c r="CB15" s="55" t="str">
        <f t="shared" si="7"/>
        <v/>
      </c>
      <c r="CC15" s="55" t="str">
        <f t="shared" si="7"/>
        <v/>
      </c>
      <c r="CD15" s="55" t="str">
        <f t="shared" si="7"/>
        <v/>
      </c>
      <c r="CE15" s="55" t="str">
        <f t="shared" si="7"/>
        <v/>
      </c>
      <c r="CF15" s="55" t="str">
        <f t="shared" si="7"/>
        <v/>
      </c>
      <c r="CG15" s="55" t="str">
        <f t="shared" si="7"/>
        <v/>
      </c>
      <c r="CH15" s="55" t="str">
        <f t="shared" si="7"/>
        <v/>
      </c>
      <c r="CI15" s="55" t="str">
        <f t="shared" si="7"/>
        <v/>
      </c>
      <c r="CJ15" s="55" t="str">
        <f t="shared" si="7"/>
        <v/>
      </c>
      <c r="CK15" s="55" t="str">
        <f t="shared" si="8"/>
        <v/>
      </c>
      <c r="CL15" s="55" t="str">
        <f t="shared" si="8"/>
        <v/>
      </c>
      <c r="CM15" s="55" t="str">
        <f t="shared" si="8"/>
        <v/>
      </c>
      <c r="CN15" s="55" t="str">
        <f t="shared" si="8"/>
        <v/>
      </c>
      <c r="CO15" s="55" t="str">
        <f t="shared" si="8"/>
        <v/>
      </c>
      <c r="CP15" s="55" t="str">
        <f t="shared" si="8"/>
        <v/>
      </c>
      <c r="CQ15" s="55" t="str">
        <f t="shared" si="8"/>
        <v/>
      </c>
      <c r="CR15" s="55" t="str">
        <f t="shared" si="8"/>
        <v/>
      </c>
      <c r="CS15" s="55" t="str">
        <f t="shared" si="8"/>
        <v/>
      </c>
      <c r="CT15" s="55" t="str">
        <f t="shared" si="8"/>
        <v/>
      </c>
      <c r="CU15" s="55" t="str">
        <f t="shared" si="8"/>
        <v/>
      </c>
      <c r="CV15" s="55" t="str">
        <f t="shared" si="8"/>
        <v/>
      </c>
      <c r="CW15" s="55" t="str">
        <f t="shared" si="8"/>
        <v/>
      </c>
      <c r="CX15" s="55" t="str">
        <f t="shared" si="8"/>
        <v/>
      </c>
      <c r="CY15" s="55" t="str">
        <f t="shared" si="8"/>
        <v/>
      </c>
      <c r="CZ15" s="55" t="str">
        <f t="shared" si="8"/>
        <v/>
      </c>
      <c r="DA15" s="55" t="str">
        <f t="shared" si="8"/>
        <v/>
      </c>
      <c r="DB15" s="55" t="str">
        <f t="shared" si="8"/>
        <v/>
      </c>
      <c r="DC15" s="55" t="str">
        <f t="shared" si="8"/>
        <v/>
      </c>
      <c r="DD15" s="55" t="str">
        <f t="shared" si="8"/>
        <v/>
      </c>
      <c r="DE15" s="55" t="str">
        <f t="shared" si="8"/>
        <v/>
      </c>
      <c r="DF15" s="55" t="str">
        <f t="shared" si="8"/>
        <v/>
      </c>
      <c r="DG15" s="55" t="str">
        <f t="shared" si="8"/>
        <v/>
      </c>
      <c r="DH15" s="55" t="str">
        <f t="shared" si="8"/>
        <v/>
      </c>
      <c r="DI15" s="55" t="str">
        <f t="shared" si="8"/>
        <v/>
      </c>
      <c r="DJ15" s="55" t="str">
        <f t="shared" si="8"/>
        <v/>
      </c>
      <c r="DK15" s="55" t="str">
        <f t="shared" si="8"/>
        <v/>
      </c>
      <c r="DL15" s="55" t="str">
        <f t="shared" si="8"/>
        <v/>
      </c>
      <c r="DM15" s="55" t="str">
        <f t="shared" si="8"/>
        <v/>
      </c>
      <c r="DN15" s="55" t="str">
        <f t="shared" si="8"/>
        <v/>
      </c>
      <c r="DO15" s="55" t="str">
        <f t="shared" si="8"/>
        <v/>
      </c>
      <c r="DP15" s="55" t="str">
        <f t="shared" si="8"/>
        <v/>
      </c>
      <c r="DQ15" s="55" t="str">
        <f t="shared" si="8"/>
        <v/>
      </c>
      <c r="DR15" s="55" t="str">
        <f t="shared" si="8"/>
        <v/>
      </c>
      <c r="DS15" s="55" t="str">
        <f t="shared" si="8"/>
        <v/>
      </c>
      <c r="DT15" s="110" t="str">
        <f t="shared" si="8"/>
        <v/>
      </c>
      <c r="DU15" s="54"/>
      <c r="DV15" s="25"/>
      <c r="DW15" s="61" t="str">
        <f t="shared" si="9"/>
        <v/>
      </c>
      <c r="DX15" s="50" t="str">
        <f t="shared" si="9"/>
        <v/>
      </c>
      <c r="DY15" s="50" t="str">
        <f t="shared" si="9"/>
        <v/>
      </c>
      <c r="DZ15" s="50" t="str">
        <f t="shared" si="9"/>
        <v/>
      </c>
      <c r="EA15" s="50" t="str">
        <f t="shared" si="9"/>
        <v/>
      </c>
      <c r="EB15" s="50" t="str">
        <f t="shared" si="9"/>
        <v/>
      </c>
      <c r="EC15" s="50" t="str">
        <f t="shared" si="9"/>
        <v/>
      </c>
      <c r="ED15" s="50" t="str">
        <f t="shared" si="9"/>
        <v/>
      </c>
      <c r="EE15" s="50" t="str">
        <f t="shared" si="9"/>
        <v/>
      </c>
      <c r="EF15" s="50" t="str">
        <f t="shared" si="9"/>
        <v/>
      </c>
      <c r="EG15" s="50" t="str">
        <f t="shared" si="9"/>
        <v/>
      </c>
      <c r="EH15" s="50" t="str">
        <f t="shared" si="9"/>
        <v/>
      </c>
      <c r="EI15" s="50" t="str">
        <f t="shared" si="9"/>
        <v/>
      </c>
      <c r="EJ15" s="50" t="str">
        <f t="shared" si="9"/>
        <v/>
      </c>
      <c r="EK15" s="50" t="str">
        <f t="shared" si="9"/>
        <v/>
      </c>
      <c r="EL15" s="50" t="str">
        <f t="shared" si="9"/>
        <v/>
      </c>
      <c r="EM15" s="50" t="str">
        <f t="shared" si="9"/>
        <v/>
      </c>
      <c r="EN15" s="50" t="str">
        <f t="shared" si="9"/>
        <v/>
      </c>
      <c r="EO15" s="50" t="str">
        <f t="shared" si="9"/>
        <v/>
      </c>
      <c r="EP15" s="50" t="str">
        <f t="shared" si="9"/>
        <v/>
      </c>
      <c r="EQ15" s="50" t="str">
        <f t="shared" si="9"/>
        <v/>
      </c>
      <c r="ER15" s="50" t="str">
        <f t="shared" si="9"/>
        <v/>
      </c>
      <c r="ES15" s="50" t="str">
        <f t="shared" si="9"/>
        <v/>
      </c>
      <c r="ET15" s="50" t="str">
        <f t="shared" si="9"/>
        <v/>
      </c>
      <c r="EU15" s="50" t="str">
        <f t="shared" si="9"/>
        <v/>
      </c>
      <c r="EV15" s="50" t="str">
        <f t="shared" si="9"/>
        <v/>
      </c>
      <c r="EW15" s="50" t="str">
        <f t="shared" si="9"/>
        <v/>
      </c>
      <c r="EX15" s="50" t="str">
        <f t="shared" si="9"/>
        <v/>
      </c>
      <c r="EY15" s="50" t="str">
        <f t="shared" si="9"/>
        <v/>
      </c>
      <c r="EZ15" s="50" t="str">
        <f t="shared" si="9"/>
        <v/>
      </c>
      <c r="FA15" s="50" t="str">
        <f t="shared" si="9"/>
        <v/>
      </c>
      <c r="FB15" s="50" t="str">
        <f t="shared" si="9"/>
        <v/>
      </c>
      <c r="FC15" s="50" t="str">
        <f t="shared" si="9"/>
        <v/>
      </c>
      <c r="FD15" s="50" t="str">
        <f t="shared" si="9"/>
        <v/>
      </c>
      <c r="FE15" s="50" t="str">
        <f t="shared" si="9"/>
        <v/>
      </c>
      <c r="FF15" s="50" t="str">
        <f t="shared" si="9"/>
        <v/>
      </c>
      <c r="FG15" s="50" t="str">
        <f t="shared" si="9"/>
        <v/>
      </c>
      <c r="FH15" s="50" t="str">
        <f t="shared" si="9"/>
        <v/>
      </c>
      <c r="FI15" s="50" t="str">
        <f t="shared" si="9"/>
        <v/>
      </c>
      <c r="FJ15" s="50" t="str">
        <f t="shared" si="9"/>
        <v/>
      </c>
      <c r="FK15" s="50" t="str">
        <f t="shared" si="9"/>
        <v/>
      </c>
      <c r="FL15" s="50" t="str">
        <f t="shared" si="9"/>
        <v/>
      </c>
      <c r="FM15" s="50" t="str">
        <f t="shared" si="9"/>
        <v/>
      </c>
      <c r="FN15" s="50" t="str">
        <f t="shared" si="9"/>
        <v/>
      </c>
      <c r="FO15" s="50" t="str">
        <f t="shared" si="9"/>
        <v/>
      </c>
      <c r="FP15" s="50" t="str">
        <f t="shared" si="9"/>
        <v/>
      </c>
      <c r="FQ15" s="50" t="str">
        <f t="shared" si="9"/>
        <v/>
      </c>
      <c r="FR15" s="50" t="str">
        <f t="shared" si="9"/>
        <v/>
      </c>
      <c r="FS15" s="50" t="str">
        <f t="shared" si="9"/>
        <v/>
      </c>
      <c r="FT15" s="50" t="str">
        <f t="shared" si="9"/>
        <v/>
      </c>
      <c r="FU15" s="50" t="str">
        <f t="shared" si="9"/>
        <v/>
      </c>
      <c r="FV15" s="50" t="str">
        <f t="shared" si="9"/>
        <v/>
      </c>
      <c r="FW15" s="50" t="str">
        <f t="shared" si="9"/>
        <v/>
      </c>
      <c r="FX15" s="50" t="str">
        <f t="shared" si="9"/>
        <v/>
      </c>
      <c r="FY15" s="50" t="str">
        <f t="shared" si="9"/>
        <v/>
      </c>
      <c r="FZ15" s="50" t="str">
        <f t="shared" si="9"/>
        <v/>
      </c>
      <c r="GA15" s="50" t="str">
        <f t="shared" si="9"/>
        <v/>
      </c>
      <c r="GB15" s="50" t="str">
        <f t="shared" si="9"/>
        <v/>
      </c>
      <c r="GC15" s="50" t="str">
        <f t="shared" si="9"/>
        <v/>
      </c>
      <c r="GD15" s="50" t="str">
        <f t="shared" si="9"/>
        <v/>
      </c>
      <c r="GE15" s="50" t="str">
        <f t="shared" si="9"/>
        <v/>
      </c>
      <c r="GF15" s="50" t="str">
        <f t="shared" si="9"/>
        <v/>
      </c>
      <c r="GG15" s="50" t="str">
        <f t="shared" si="9"/>
        <v/>
      </c>
      <c r="GH15" s="50" t="str">
        <f t="shared" si="9"/>
        <v/>
      </c>
      <c r="GI15" s="50" t="str">
        <f t="shared" si="10"/>
        <v/>
      </c>
      <c r="GJ15" s="50" t="str">
        <f t="shared" si="10"/>
        <v/>
      </c>
      <c r="GK15" s="50" t="str">
        <f t="shared" si="10"/>
        <v/>
      </c>
      <c r="GL15" s="50" t="str">
        <f t="shared" si="10"/>
        <v/>
      </c>
      <c r="GM15" s="50" t="str">
        <f t="shared" si="10"/>
        <v/>
      </c>
      <c r="GN15" s="50" t="str">
        <f t="shared" si="10"/>
        <v/>
      </c>
      <c r="GO15" s="50" t="str">
        <f t="shared" si="10"/>
        <v/>
      </c>
      <c r="GP15" s="50" t="str">
        <f t="shared" si="10"/>
        <v/>
      </c>
      <c r="GQ15" s="50" t="str">
        <f t="shared" si="10"/>
        <v/>
      </c>
      <c r="GR15" s="50" t="str">
        <f t="shared" si="10"/>
        <v/>
      </c>
      <c r="GS15" s="50" t="str">
        <f t="shared" si="10"/>
        <v/>
      </c>
      <c r="GT15" s="50" t="str">
        <f t="shared" si="10"/>
        <v/>
      </c>
      <c r="GU15" s="50" t="str">
        <f t="shared" si="10"/>
        <v/>
      </c>
      <c r="GV15" s="50" t="str">
        <f t="shared" si="10"/>
        <v/>
      </c>
      <c r="GW15" s="50" t="str">
        <f t="shared" si="10"/>
        <v/>
      </c>
      <c r="GX15" s="50" t="str">
        <f t="shared" si="10"/>
        <v/>
      </c>
      <c r="GY15" s="50" t="str">
        <f t="shared" si="10"/>
        <v/>
      </c>
      <c r="GZ15" s="50" t="str">
        <f t="shared" si="10"/>
        <v/>
      </c>
      <c r="HA15" s="50" t="str">
        <f t="shared" si="10"/>
        <v/>
      </c>
      <c r="HB15" s="50" t="str">
        <f t="shared" si="10"/>
        <v/>
      </c>
      <c r="HC15" s="50" t="str">
        <f t="shared" si="10"/>
        <v/>
      </c>
      <c r="HD15" s="50" t="str">
        <f t="shared" si="10"/>
        <v/>
      </c>
      <c r="HE15" s="50" t="str">
        <f t="shared" si="10"/>
        <v/>
      </c>
      <c r="HF15" s="50" t="str">
        <f t="shared" si="10"/>
        <v/>
      </c>
      <c r="HG15" s="50" t="str">
        <f t="shared" si="10"/>
        <v/>
      </c>
      <c r="HH15" s="50" t="str">
        <f t="shared" si="10"/>
        <v/>
      </c>
      <c r="HI15" s="50" t="str">
        <f t="shared" si="10"/>
        <v/>
      </c>
      <c r="HJ15" s="50" t="str">
        <f t="shared" si="10"/>
        <v/>
      </c>
      <c r="HK15" s="50" t="str">
        <f t="shared" si="10"/>
        <v/>
      </c>
      <c r="HL15" s="50" t="str">
        <f t="shared" si="10"/>
        <v/>
      </c>
      <c r="HM15" s="50" t="str">
        <f t="shared" si="10"/>
        <v/>
      </c>
      <c r="HN15" s="50" t="str">
        <f t="shared" si="10"/>
        <v/>
      </c>
      <c r="HO15" s="50" t="str">
        <f t="shared" si="10"/>
        <v/>
      </c>
      <c r="HP15" s="50" t="str">
        <f t="shared" si="10"/>
        <v/>
      </c>
      <c r="HQ15" s="50" t="str">
        <f t="shared" si="10"/>
        <v/>
      </c>
      <c r="HR15" s="116" t="str">
        <f t="shared" si="10"/>
        <v/>
      </c>
    </row>
    <row r="16" spans="1:226" ht="11.15" customHeight="1" x14ac:dyDescent="0.25">
      <c r="A16" s="26">
        <v>3630</v>
      </c>
      <c r="B16" s="27">
        <v>1</v>
      </c>
      <c r="C16" s="28" t="str">
        <f>IF(A16=0,"",VLOOKUP(A16,[3]CO!$A$3:$F$5327,2,0))</f>
        <v>LUEVANOS ORTIZ JOSE JAVIER</v>
      </c>
      <c r="D16" s="29"/>
      <c r="E16" s="29"/>
      <c r="F16" s="29"/>
      <c r="G16" s="30" t="str">
        <f>IF(A16=0,"",VLOOKUP(A16,[3]CO!$A$3:$F$5327,3,0))</f>
        <v>PEON</v>
      </c>
      <c r="H16" s="29"/>
      <c r="I16" s="31"/>
      <c r="J16" s="31"/>
      <c r="K16" s="31"/>
      <c r="L16" s="31"/>
      <c r="M16" s="32" t="str">
        <f t="shared" si="4"/>
        <v/>
      </c>
      <c r="N16" s="32">
        <f>IF(B16=0,"",IF(H16="M",HLOOKUP(B16,$Y$12:$DT$13,2),IF(A16=0,"",VLOOKUP(A16,[3]CO!$A$3:$F$5327,4,0))))</f>
        <v>337.98</v>
      </c>
      <c r="O16" s="32" t="str">
        <f t="shared" si="11"/>
        <v/>
      </c>
      <c r="P16" s="33"/>
      <c r="Q16" s="34" t="str">
        <f t="shared" si="5"/>
        <v/>
      </c>
      <c r="R16" s="35">
        <f t="shared" si="6"/>
        <v>140</v>
      </c>
      <c r="S16" s="122">
        <v>0.4</v>
      </c>
      <c r="T16" s="53">
        <f>IF(A16=0,"",VLOOKUP(A16,[3]CO!$A$3:$F$5318,5,0))</f>
        <v>0</v>
      </c>
      <c r="U16" s="54">
        <f t="shared" si="12"/>
        <v>0</v>
      </c>
      <c r="V16" s="24"/>
      <c r="W16" s="25"/>
      <c r="X16" s="25"/>
      <c r="Y16" s="64">
        <f t="shared" si="7"/>
        <v>0</v>
      </c>
      <c r="Z16" s="55" t="str">
        <f t="shared" si="7"/>
        <v/>
      </c>
      <c r="AA16" s="55" t="str">
        <f t="shared" si="7"/>
        <v/>
      </c>
      <c r="AB16" s="55" t="str">
        <f t="shared" si="7"/>
        <v/>
      </c>
      <c r="AC16" s="55" t="str">
        <f t="shared" si="7"/>
        <v/>
      </c>
      <c r="AD16" s="55" t="str">
        <f t="shared" si="7"/>
        <v/>
      </c>
      <c r="AE16" s="55" t="str">
        <f t="shared" si="7"/>
        <v/>
      </c>
      <c r="AF16" s="55" t="str">
        <f t="shared" si="7"/>
        <v/>
      </c>
      <c r="AG16" s="55" t="str">
        <f t="shared" si="7"/>
        <v/>
      </c>
      <c r="AH16" s="55" t="str">
        <f t="shared" si="7"/>
        <v/>
      </c>
      <c r="AI16" s="55" t="str">
        <f t="shared" si="7"/>
        <v/>
      </c>
      <c r="AJ16" s="55" t="str">
        <f t="shared" si="7"/>
        <v/>
      </c>
      <c r="AK16" s="55" t="str">
        <f t="shared" si="7"/>
        <v/>
      </c>
      <c r="AL16" s="55" t="str">
        <f t="shared" si="7"/>
        <v/>
      </c>
      <c r="AM16" s="55" t="str">
        <f t="shared" si="7"/>
        <v/>
      </c>
      <c r="AN16" s="55" t="str">
        <f t="shared" si="7"/>
        <v/>
      </c>
      <c r="AO16" s="55" t="str">
        <f t="shared" si="7"/>
        <v/>
      </c>
      <c r="AP16" s="55" t="str">
        <f t="shared" si="7"/>
        <v/>
      </c>
      <c r="AQ16" s="55" t="str">
        <f t="shared" si="7"/>
        <v/>
      </c>
      <c r="AR16" s="55" t="str">
        <f t="shared" si="7"/>
        <v/>
      </c>
      <c r="AS16" s="55" t="str">
        <f t="shared" si="7"/>
        <v/>
      </c>
      <c r="AT16" s="55" t="str">
        <f t="shared" si="7"/>
        <v/>
      </c>
      <c r="AU16" s="55" t="str">
        <f t="shared" si="7"/>
        <v/>
      </c>
      <c r="AV16" s="55" t="str">
        <f t="shared" si="7"/>
        <v/>
      </c>
      <c r="AW16" s="55" t="str">
        <f t="shared" si="7"/>
        <v/>
      </c>
      <c r="AX16" s="55" t="str">
        <f t="shared" si="7"/>
        <v/>
      </c>
      <c r="AY16" s="55" t="str">
        <f t="shared" si="7"/>
        <v/>
      </c>
      <c r="AZ16" s="55" t="str">
        <f t="shared" si="7"/>
        <v/>
      </c>
      <c r="BA16" s="55" t="str">
        <f t="shared" si="7"/>
        <v/>
      </c>
      <c r="BB16" s="55" t="str">
        <f t="shared" si="7"/>
        <v/>
      </c>
      <c r="BC16" s="55" t="str">
        <f t="shared" si="7"/>
        <v/>
      </c>
      <c r="BD16" s="55" t="str">
        <f t="shared" si="7"/>
        <v/>
      </c>
      <c r="BE16" s="55" t="str">
        <f t="shared" si="7"/>
        <v/>
      </c>
      <c r="BF16" s="55" t="str">
        <f t="shared" si="7"/>
        <v/>
      </c>
      <c r="BG16" s="55" t="str">
        <f t="shared" si="7"/>
        <v/>
      </c>
      <c r="BH16" s="55" t="str">
        <f t="shared" si="7"/>
        <v/>
      </c>
      <c r="BI16" s="55" t="str">
        <f t="shared" si="7"/>
        <v/>
      </c>
      <c r="BJ16" s="55" t="str">
        <f t="shared" si="7"/>
        <v/>
      </c>
      <c r="BK16" s="55" t="str">
        <f t="shared" si="7"/>
        <v/>
      </c>
      <c r="BL16" s="55" t="str">
        <f t="shared" si="7"/>
        <v/>
      </c>
      <c r="BM16" s="55" t="str">
        <f t="shared" si="7"/>
        <v/>
      </c>
      <c r="BN16" s="55" t="str">
        <f t="shared" si="7"/>
        <v/>
      </c>
      <c r="BO16" s="55" t="str">
        <f t="shared" si="7"/>
        <v/>
      </c>
      <c r="BP16" s="55" t="str">
        <f t="shared" si="7"/>
        <v/>
      </c>
      <c r="BQ16" s="55" t="str">
        <f t="shared" si="7"/>
        <v/>
      </c>
      <c r="BR16" s="55" t="str">
        <f t="shared" si="7"/>
        <v/>
      </c>
      <c r="BS16" s="55" t="str">
        <f t="shared" si="7"/>
        <v/>
      </c>
      <c r="BT16" s="55" t="str">
        <f t="shared" si="7"/>
        <v/>
      </c>
      <c r="BU16" s="55" t="str">
        <f t="shared" si="7"/>
        <v/>
      </c>
      <c r="BV16" s="55" t="str">
        <f t="shared" si="7"/>
        <v/>
      </c>
      <c r="BW16" s="55" t="str">
        <f t="shared" si="7"/>
        <v/>
      </c>
      <c r="BX16" s="55" t="str">
        <f t="shared" si="7"/>
        <v/>
      </c>
      <c r="BY16" s="55" t="str">
        <f t="shared" si="7"/>
        <v/>
      </c>
      <c r="BZ16" s="55" t="str">
        <f t="shared" si="7"/>
        <v/>
      </c>
      <c r="CA16" s="55" t="str">
        <f t="shared" si="7"/>
        <v/>
      </c>
      <c r="CB16" s="55" t="str">
        <f t="shared" si="7"/>
        <v/>
      </c>
      <c r="CC16" s="55" t="str">
        <f t="shared" si="7"/>
        <v/>
      </c>
      <c r="CD16" s="55" t="str">
        <f t="shared" si="7"/>
        <v/>
      </c>
      <c r="CE16" s="55" t="str">
        <f t="shared" si="7"/>
        <v/>
      </c>
      <c r="CF16" s="55" t="str">
        <f t="shared" si="7"/>
        <v/>
      </c>
      <c r="CG16" s="55" t="str">
        <f t="shared" si="7"/>
        <v/>
      </c>
      <c r="CH16" s="55" t="str">
        <f t="shared" si="7"/>
        <v/>
      </c>
      <c r="CI16" s="55" t="str">
        <f t="shared" si="7"/>
        <v/>
      </c>
      <c r="CJ16" s="55" t="str">
        <f t="shared" si="7"/>
        <v/>
      </c>
      <c r="CK16" s="55" t="str">
        <f t="shared" si="8"/>
        <v/>
      </c>
      <c r="CL16" s="55" t="str">
        <f t="shared" si="8"/>
        <v/>
      </c>
      <c r="CM16" s="55" t="str">
        <f t="shared" si="8"/>
        <v/>
      </c>
      <c r="CN16" s="55" t="str">
        <f t="shared" si="8"/>
        <v/>
      </c>
      <c r="CO16" s="55" t="str">
        <f t="shared" si="8"/>
        <v/>
      </c>
      <c r="CP16" s="55" t="str">
        <f t="shared" si="8"/>
        <v/>
      </c>
      <c r="CQ16" s="55" t="str">
        <f t="shared" si="8"/>
        <v/>
      </c>
      <c r="CR16" s="55" t="str">
        <f t="shared" si="8"/>
        <v/>
      </c>
      <c r="CS16" s="55" t="str">
        <f t="shared" si="8"/>
        <v/>
      </c>
      <c r="CT16" s="55" t="str">
        <f t="shared" si="8"/>
        <v/>
      </c>
      <c r="CU16" s="55" t="str">
        <f t="shared" si="8"/>
        <v/>
      </c>
      <c r="CV16" s="55" t="str">
        <f t="shared" si="8"/>
        <v/>
      </c>
      <c r="CW16" s="55" t="str">
        <f t="shared" si="8"/>
        <v/>
      </c>
      <c r="CX16" s="55" t="str">
        <f t="shared" si="8"/>
        <v/>
      </c>
      <c r="CY16" s="55" t="str">
        <f t="shared" si="8"/>
        <v/>
      </c>
      <c r="CZ16" s="55" t="str">
        <f t="shared" si="8"/>
        <v/>
      </c>
      <c r="DA16" s="55" t="str">
        <f t="shared" si="8"/>
        <v/>
      </c>
      <c r="DB16" s="55" t="str">
        <f t="shared" si="8"/>
        <v/>
      </c>
      <c r="DC16" s="55" t="str">
        <f t="shared" si="8"/>
        <v/>
      </c>
      <c r="DD16" s="55" t="str">
        <f t="shared" si="8"/>
        <v/>
      </c>
      <c r="DE16" s="55" t="str">
        <f t="shared" si="8"/>
        <v/>
      </c>
      <c r="DF16" s="55" t="str">
        <f t="shared" si="8"/>
        <v/>
      </c>
      <c r="DG16" s="55" t="str">
        <f t="shared" si="8"/>
        <v/>
      </c>
      <c r="DH16" s="55" t="str">
        <f t="shared" si="8"/>
        <v/>
      </c>
      <c r="DI16" s="55" t="str">
        <f t="shared" si="8"/>
        <v/>
      </c>
      <c r="DJ16" s="55" t="str">
        <f t="shared" si="8"/>
        <v/>
      </c>
      <c r="DK16" s="55" t="str">
        <f t="shared" si="8"/>
        <v/>
      </c>
      <c r="DL16" s="55" t="str">
        <f t="shared" si="8"/>
        <v/>
      </c>
      <c r="DM16" s="55" t="str">
        <f t="shared" si="8"/>
        <v/>
      </c>
      <c r="DN16" s="55" t="str">
        <f t="shared" si="8"/>
        <v/>
      </c>
      <c r="DO16" s="55" t="str">
        <f t="shared" si="8"/>
        <v/>
      </c>
      <c r="DP16" s="55" t="str">
        <f t="shared" si="8"/>
        <v/>
      </c>
      <c r="DQ16" s="55" t="str">
        <f t="shared" si="8"/>
        <v/>
      </c>
      <c r="DR16" s="55" t="str">
        <f t="shared" si="8"/>
        <v/>
      </c>
      <c r="DS16" s="55" t="str">
        <f t="shared" si="8"/>
        <v/>
      </c>
      <c r="DT16" s="110" t="str">
        <f t="shared" si="8"/>
        <v/>
      </c>
      <c r="DU16" s="54"/>
      <c r="DV16" s="25"/>
      <c r="DW16" s="61" t="str">
        <f t="shared" si="9"/>
        <v/>
      </c>
      <c r="DX16" s="50" t="str">
        <f t="shared" si="9"/>
        <v/>
      </c>
      <c r="DY16" s="50" t="str">
        <f t="shared" si="9"/>
        <v/>
      </c>
      <c r="DZ16" s="50" t="str">
        <f t="shared" si="9"/>
        <v/>
      </c>
      <c r="EA16" s="50" t="str">
        <f t="shared" si="9"/>
        <v/>
      </c>
      <c r="EB16" s="50" t="str">
        <f t="shared" si="9"/>
        <v/>
      </c>
      <c r="EC16" s="50" t="str">
        <f t="shared" si="9"/>
        <v/>
      </c>
      <c r="ED16" s="50" t="str">
        <f t="shared" si="9"/>
        <v/>
      </c>
      <c r="EE16" s="50" t="str">
        <f t="shared" si="9"/>
        <v/>
      </c>
      <c r="EF16" s="50" t="str">
        <f t="shared" si="9"/>
        <v/>
      </c>
      <c r="EG16" s="50" t="str">
        <f t="shared" si="9"/>
        <v/>
      </c>
      <c r="EH16" s="50" t="str">
        <f t="shared" si="9"/>
        <v/>
      </c>
      <c r="EI16" s="50" t="str">
        <f t="shared" si="9"/>
        <v/>
      </c>
      <c r="EJ16" s="50" t="str">
        <f t="shared" si="9"/>
        <v/>
      </c>
      <c r="EK16" s="50" t="str">
        <f t="shared" si="9"/>
        <v/>
      </c>
      <c r="EL16" s="50" t="str">
        <f t="shared" si="9"/>
        <v/>
      </c>
      <c r="EM16" s="50" t="str">
        <f t="shared" si="9"/>
        <v/>
      </c>
      <c r="EN16" s="50" t="str">
        <f t="shared" si="9"/>
        <v/>
      </c>
      <c r="EO16" s="50" t="str">
        <f t="shared" si="9"/>
        <v/>
      </c>
      <c r="EP16" s="50" t="str">
        <f t="shared" si="9"/>
        <v/>
      </c>
      <c r="EQ16" s="50" t="str">
        <f t="shared" si="9"/>
        <v/>
      </c>
      <c r="ER16" s="50" t="str">
        <f t="shared" si="9"/>
        <v/>
      </c>
      <c r="ES16" s="50" t="str">
        <f t="shared" si="9"/>
        <v/>
      </c>
      <c r="ET16" s="50" t="str">
        <f t="shared" si="9"/>
        <v/>
      </c>
      <c r="EU16" s="50" t="str">
        <f t="shared" si="9"/>
        <v/>
      </c>
      <c r="EV16" s="50" t="str">
        <f t="shared" si="9"/>
        <v/>
      </c>
      <c r="EW16" s="50" t="str">
        <f t="shared" si="9"/>
        <v/>
      </c>
      <c r="EX16" s="50" t="str">
        <f t="shared" si="9"/>
        <v/>
      </c>
      <c r="EY16" s="50" t="str">
        <f t="shared" si="9"/>
        <v/>
      </c>
      <c r="EZ16" s="50" t="str">
        <f t="shared" si="9"/>
        <v/>
      </c>
      <c r="FA16" s="50" t="str">
        <f t="shared" si="9"/>
        <v/>
      </c>
      <c r="FB16" s="50" t="str">
        <f t="shared" si="9"/>
        <v/>
      </c>
      <c r="FC16" s="50" t="str">
        <f t="shared" si="9"/>
        <v/>
      </c>
      <c r="FD16" s="50" t="str">
        <f t="shared" si="9"/>
        <v/>
      </c>
      <c r="FE16" s="50" t="str">
        <f t="shared" si="9"/>
        <v/>
      </c>
      <c r="FF16" s="50" t="str">
        <f t="shared" si="9"/>
        <v/>
      </c>
      <c r="FG16" s="50" t="str">
        <f t="shared" si="9"/>
        <v/>
      </c>
      <c r="FH16" s="50" t="str">
        <f t="shared" si="9"/>
        <v/>
      </c>
      <c r="FI16" s="50" t="str">
        <f t="shared" si="9"/>
        <v/>
      </c>
      <c r="FJ16" s="50" t="str">
        <f t="shared" si="9"/>
        <v/>
      </c>
      <c r="FK16" s="50" t="str">
        <f t="shared" si="9"/>
        <v/>
      </c>
      <c r="FL16" s="50" t="str">
        <f t="shared" si="9"/>
        <v/>
      </c>
      <c r="FM16" s="50" t="str">
        <f t="shared" si="9"/>
        <v/>
      </c>
      <c r="FN16" s="50" t="str">
        <f t="shared" si="9"/>
        <v/>
      </c>
      <c r="FO16" s="50" t="str">
        <f t="shared" si="9"/>
        <v/>
      </c>
      <c r="FP16" s="50" t="str">
        <f t="shared" si="9"/>
        <v/>
      </c>
      <c r="FQ16" s="50" t="str">
        <f t="shared" si="9"/>
        <v/>
      </c>
      <c r="FR16" s="50" t="str">
        <f t="shared" si="9"/>
        <v/>
      </c>
      <c r="FS16" s="50" t="str">
        <f t="shared" si="9"/>
        <v/>
      </c>
      <c r="FT16" s="50" t="str">
        <f t="shared" si="9"/>
        <v/>
      </c>
      <c r="FU16" s="50" t="str">
        <f t="shared" si="9"/>
        <v/>
      </c>
      <c r="FV16" s="50" t="str">
        <f t="shared" si="9"/>
        <v/>
      </c>
      <c r="FW16" s="50" t="str">
        <f t="shared" si="9"/>
        <v/>
      </c>
      <c r="FX16" s="50" t="str">
        <f t="shared" si="9"/>
        <v/>
      </c>
      <c r="FY16" s="50" t="str">
        <f t="shared" si="9"/>
        <v/>
      </c>
      <c r="FZ16" s="50" t="str">
        <f t="shared" si="9"/>
        <v/>
      </c>
      <c r="GA16" s="50" t="str">
        <f t="shared" si="9"/>
        <v/>
      </c>
      <c r="GB16" s="50" t="str">
        <f t="shared" si="9"/>
        <v/>
      </c>
      <c r="GC16" s="50" t="str">
        <f t="shared" si="9"/>
        <v/>
      </c>
      <c r="GD16" s="50" t="str">
        <f t="shared" si="9"/>
        <v/>
      </c>
      <c r="GE16" s="50" t="str">
        <f t="shared" si="9"/>
        <v/>
      </c>
      <c r="GF16" s="50" t="str">
        <f t="shared" si="9"/>
        <v/>
      </c>
      <c r="GG16" s="50" t="str">
        <f t="shared" si="9"/>
        <v/>
      </c>
      <c r="GH16" s="50" t="str">
        <f t="shared" si="9"/>
        <v/>
      </c>
      <c r="GI16" s="50" t="str">
        <f t="shared" si="10"/>
        <v/>
      </c>
      <c r="GJ16" s="50" t="str">
        <f t="shared" si="10"/>
        <v/>
      </c>
      <c r="GK16" s="50" t="str">
        <f t="shared" si="10"/>
        <v/>
      </c>
      <c r="GL16" s="50" t="str">
        <f t="shared" si="10"/>
        <v/>
      </c>
      <c r="GM16" s="50" t="str">
        <f t="shared" si="10"/>
        <v/>
      </c>
      <c r="GN16" s="50" t="str">
        <f t="shared" si="10"/>
        <v/>
      </c>
      <c r="GO16" s="50" t="str">
        <f t="shared" si="10"/>
        <v/>
      </c>
      <c r="GP16" s="50" t="str">
        <f t="shared" si="10"/>
        <v/>
      </c>
      <c r="GQ16" s="50" t="str">
        <f t="shared" si="10"/>
        <v/>
      </c>
      <c r="GR16" s="50" t="str">
        <f t="shared" si="10"/>
        <v/>
      </c>
      <c r="GS16" s="50" t="str">
        <f t="shared" si="10"/>
        <v/>
      </c>
      <c r="GT16" s="50" t="str">
        <f t="shared" si="10"/>
        <v/>
      </c>
      <c r="GU16" s="50" t="str">
        <f t="shared" si="10"/>
        <v/>
      </c>
      <c r="GV16" s="50" t="str">
        <f t="shared" si="10"/>
        <v/>
      </c>
      <c r="GW16" s="50" t="str">
        <f t="shared" si="10"/>
        <v/>
      </c>
      <c r="GX16" s="50" t="str">
        <f t="shared" si="10"/>
        <v/>
      </c>
      <c r="GY16" s="50" t="str">
        <f t="shared" si="10"/>
        <v/>
      </c>
      <c r="GZ16" s="50" t="str">
        <f t="shared" si="10"/>
        <v/>
      </c>
      <c r="HA16" s="50" t="str">
        <f t="shared" si="10"/>
        <v/>
      </c>
      <c r="HB16" s="50" t="str">
        <f t="shared" si="10"/>
        <v/>
      </c>
      <c r="HC16" s="50" t="str">
        <f t="shared" si="10"/>
        <v/>
      </c>
      <c r="HD16" s="50" t="str">
        <f t="shared" si="10"/>
        <v/>
      </c>
      <c r="HE16" s="50" t="str">
        <f t="shared" si="10"/>
        <v/>
      </c>
      <c r="HF16" s="50" t="str">
        <f t="shared" si="10"/>
        <v/>
      </c>
      <c r="HG16" s="50" t="str">
        <f t="shared" si="10"/>
        <v/>
      </c>
      <c r="HH16" s="50" t="str">
        <f t="shared" si="10"/>
        <v/>
      </c>
      <c r="HI16" s="50" t="str">
        <f t="shared" si="10"/>
        <v/>
      </c>
      <c r="HJ16" s="50" t="str">
        <f t="shared" si="10"/>
        <v/>
      </c>
      <c r="HK16" s="50" t="str">
        <f t="shared" si="10"/>
        <v/>
      </c>
      <c r="HL16" s="50" t="str">
        <f t="shared" si="10"/>
        <v/>
      </c>
      <c r="HM16" s="50" t="str">
        <f t="shared" si="10"/>
        <v/>
      </c>
      <c r="HN16" s="50" t="str">
        <f t="shared" si="10"/>
        <v/>
      </c>
      <c r="HO16" s="50" t="str">
        <f t="shared" si="10"/>
        <v/>
      </c>
      <c r="HP16" s="50" t="str">
        <f t="shared" si="10"/>
        <v/>
      </c>
      <c r="HQ16" s="50" t="str">
        <f t="shared" si="10"/>
        <v/>
      </c>
      <c r="HR16" s="116" t="str">
        <f t="shared" si="10"/>
        <v/>
      </c>
    </row>
    <row r="17" spans="1:226" ht="11.15" customHeight="1" x14ac:dyDescent="0.25">
      <c r="A17" s="26"/>
      <c r="B17" s="27"/>
      <c r="C17" s="28" t="str">
        <f>IF(A17=0,"",VLOOKUP(A17,[3]CO!$A$3:$F$5327,2,0))</f>
        <v/>
      </c>
      <c r="D17" s="29" t="s">
        <v>34</v>
      </c>
      <c r="E17" s="29"/>
      <c r="F17" s="29"/>
      <c r="G17" s="30" t="str">
        <f>IF(A17=0,"",VLOOKUP(A17,[3]CO!$A$3:$F$5327,3,0))</f>
        <v/>
      </c>
      <c r="H17" s="29"/>
      <c r="I17" s="31"/>
      <c r="J17" s="31"/>
      <c r="K17" s="31"/>
      <c r="L17" s="31"/>
      <c r="M17" s="32" t="str">
        <f t="shared" si="4"/>
        <v/>
      </c>
      <c r="N17" s="32" t="str">
        <f>IF(B17=0,"",IF(H17="M",HLOOKUP(B17,$Y$12:$DT$13,2),IF(A17=0,"",VLOOKUP(A17,[3]CO!$A$3:$F$5327,4,0))))</f>
        <v/>
      </c>
      <c r="O17" s="32" t="str">
        <f t="shared" si="11"/>
        <v/>
      </c>
      <c r="P17" s="33"/>
      <c r="Q17" s="34" t="str">
        <f t="shared" si="5"/>
        <v/>
      </c>
      <c r="R17" s="35" t="str">
        <f t="shared" si="6"/>
        <v/>
      </c>
      <c r="S17" s="122"/>
      <c r="T17" s="53" t="str">
        <f>IF(A17=0,"",VLOOKUP(A17,[3]CO!$A$3:$F$5318,5,0))</f>
        <v/>
      </c>
      <c r="U17" s="54">
        <f t="shared" si="12"/>
        <v>0</v>
      </c>
      <c r="V17" s="24"/>
      <c r="W17" s="25"/>
      <c r="X17" s="25"/>
      <c r="Y17" s="64" t="str">
        <f t="shared" si="7"/>
        <v/>
      </c>
      <c r="Z17" s="55" t="str">
        <f t="shared" si="7"/>
        <v/>
      </c>
      <c r="AA17" s="55" t="str">
        <f t="shared" si="7"/>
        <v/>
      </c>
      <c r="AB17" s="55" t="str">
        <f t="shared" si="7"/>
        <v/>
      </c>
      <c r="AC17" s="55" t="str">
        <f t="shared" si="7"/>
        <v/>
      </c>
      <c r="AD17" s="55" t="str">
        <f t="shared" si="7"/>
        <v/>
      </c>
      <c r="AE17" s="55" t="str">
        <f t="shared" si="7"/>
        <v/>
      </c>
      <c r="AF17" s="55" t="str">
        <f t="shared" si="7"/>
        <v/>
      </c>
      <c r="AG17" s="55" t="str">
        <f t="shared" si="7"/>
        <v/>
      </c>
      <c r="AH17" s="55" t="str">
        <f t="shared" si="7"/>
        <v/>
      </c>
      <c r="AI17" s="55" t="str">
        <f t="shared" si="7"/>
        <v/>
      </c>
      <c r="AJ17" s="55" t="str">
        <f t="shared" si="7"/>
        <v/>
      </c>
      <c r="AK17" s="55" t="str">
        <f t="shared" si="7"/>
        <v/>
      </c>
      <c r="AL17" s="55" t="str">
        <f t="shared" si="7"/>
        <v/>
      </c>
      <c r="AM17" s="55" t="str">
        <f t="shared" si="7"/>
        <v/>
      </c>
      <c r="AN17" s="55" t="str">
        <f t="shared" si="7"/>
        <v/>
      </c>
      <c r="AO17" s="55" t="str">
        <f t="shared" si="7"/>
        <v/>
      </c>
      <c r="AP17" s="55" t="str">
        <f t="shared" si="7"/>
        <v/>
      </c>
      <c r="AQ17" s="55" t="str">
        <f t="shared" si="7"/>
        <v/>
      </c>
      <c r="AR17" s="55" t="str">
        <f t="shared" si="7"/>
        <v/>
      </c>
      <c r="AS17" s="55" t="str">
        <f t="shared" si="7"/>
        <v/>
      </c>
      <c r="AT17" s="55" t="str">
        <f t="shared" si="7"/>
        <v/>
      </c>
      <c r="AU17" s="55" t="str">
        <f t="shared" si="7"/>
        <v/>
      </c>
      <c r="AV17" s="55" t="str">
        <f t="shared" si="7"/>
        <v/>
      </c>
      <c r="AW17" s="55" t="str">
        <f t="shared" si="7"/>
        <v/>
      </c>
      <c r="AX17" s="55" t="str">
        <f t="shared" si="7"/>
        <v/>
      </c>
      <c r="AY17" s="55" t="str">
        <f t="shared" si="7"/>
        <v/>
      </c>
      <c r="AZ17" s="55" t="str">
        <f t="shared" si="7"/>
        <v/>
      </c>
      <c r="BA17" s="55" t="str">
        <f t="shared" si="7"/>
        <v/>
      </c>
      <c r="BB17" s="55" t="str">
        <f t="shared" si="7"/>
        <v/>
      </c>
      <c r="BC17" s="55" t="str">
        <f t="shared" si="7"/>
        <v/>
      </c>
      <c r="BD17" s="55" t="str">
        <f t="shared" si="7"/>
        <v/>
      </c>
      <c r="BE17" s="55" t="str">
        <f t="shared" si="7"/>
        <v/>
      </c>
      <c r="BF17" s="55" t="str">
        <f t="shared" si="7"/>
        <v/>
      </c>
      <c r="BG17" s="55" t="str">
        <f t="shared" si="7"/>
        <v/>
      </c>
      <c r="BH17" s="55" t="str">
        <f t="shared" si="7"/>
        <v/>
      </c>
      <c r="BI17" s="55" t="str">
        <f t="shared" si="7"/>
        <v/>
      </c>
      <c r="BJ17" s="55" t="str">
        <f t="shared" si="7"/>
        <v/>
      </c>
      <c r="BK17" s="55" t="str">
        <f t="shared" si="7"/>
        <v/>
      </c>
      <c r="BL17" s="55" t="str">
        <f t="shared" si="7"/>
        <v/>
      </c>
      <c r="BM17" s="55" t="str">
        <f t="shared" si="7"/>
        <v/>
      </c>
      <c r="BN17" s="55" t="str">
        <f t="shared" si="7"/>
        <v/>
      </c>
      <c r="BO17" s="55" t="str">
        <f t="shared" si="7"/>
        <v/>
      </c>
      <c r="BP17" s="55" t="str">
        <f t="shared" si="7"/>
        <v/>
      </c>
      <c r="BQ17" s="55" t="str">
        <f t="shared" si="7"/>
        <v/>
      </c>
      <c r="BR17" s="55" t="str">
        <f t="shared" si="7"/>
        <v/>
      </c>
      <c r="BS17" s="55" t="str">
        <f t="shared" si="7"/>
        <v/>
      </c>
      <c r="BT17" s="55" t="str">
        <f t="shared" si="7"/>
        <v/>
      </c>
      <c r="BU17" s="55" t="str">
        <f t="shared" si="7"/>
        <v/>
      </c>
      <c r="BV17" s="55" t="str">
        <f t="shared" si="7"/>
        <v/>
      </c>
      <c r="BW17" s="55" t="str">
        <f t="shared" si="7"/>
        <v/>
      </c>
      <c r="BX17" s="55" t="str">
        <f t="shared" si="7"/>
        <v/>
      </c>
      <c r="BY17" s="55" t="str">
        <f t="shared" si="7"/>
        <v/>
      </c>
      <c r="BZ17" s="55" t="str">
        <f t="shared" si="7"/>
        <v/>
      </c>
      <c r="CA17" s="55" t="str">
        <f t="shared" si="7"/>
        <v/>
      </c>
      <c r="CB17" s="55" t="str">
        <f t="shared" si="7"/>
        <v/>
      </c>
      <c r="CC17" s="55" t="str">
        <f t="shared" si="7"/>
        <v/>
      </c>
      <c r="CD17" s="55" t="str">
        <f t="shared" si="7"/>
        <v/>
      </c>
      <c r="CE17" s="55" t="str">
        <f t="shared" si="7"/>
        <v/>
      </c>
      <c r="CF17" s="55" t="str">
        <f t="shared" si="7"/>
        <v/>
      </c>
      <c r="CG17" s="55" t="str">
        <f t="shared" si="7"/>
        <v/>
      </c>
      <c r="CH17" s="55" t="str">
        <f t="shared" si="7"/>
        <v/>
      </c>
      <c r="CI17" s="55" t="str">
        <f t="shared" si="7"/>
        <v/>
      </c>
      <c r="CJ17" s="55" t="str">
        <f t="shared" ref="CJ17:CY32" si="13">IF($B17=CJ$12,$U17,"")</f>
        <v/>
      </c>
      <c r="CK17" s="55" t="str">
        <f t="shared" si="13"/>
        <v/>
      </c>
      <c r="CL17" s="55" t="str">
        <f t="shared" si="13"/>
        <v/>
      </c>
      <c r="CM17" s="55" t="str">
        <f t="shared" si="13"/>
        <v/>
      </c>
      <c r="CN17" s="55" t="str">
        <f t="shared" si="13"/>
        <v/>
      </c>
      <c r="CO17" s="55" t="str">
        <f t="shared" si="13"/>
        <v/>
      </c>
      <c r="CP17" s="55" t="str">
        <f t="shared" si="13"/>
        <v/>
      </c>
      <c r="CQ17" s="55" t="str">
        <f t="shared" si="13"/>
        <v/>
      </c>
      <c r="CR17" s="55" t="str">
        <f t="shared" si="13"/>
        <v/>
      </c>
      <c r="CS17" s="55" t="str">
        <f t="shared" si="13"/>
        <v/>
      </c>
      <c r="CT17" s="55" t="str">
        <f t="shared" si="13"/>
        <v/>
      </c>
      <c r="CU17" s="55" t="str">
        <f t="shared" si="13"/>
        <v/>
      </c>
      <c r="CV17" s="55" t="str">
        <f t="shared" si="13"/>
        <v/>
      </c>
      <c r="CW17" s="55" t="str">
        <f t="shared" si="13"/>
        <v/>
      </c>
      <c r="CX17" s="55" t="str">
        <f t="shared" si="13"/>
        <v/>
      </c>
      <c r="CY17" s="55" t="str">
        <f t="shared" si="13"/>
        <v/>
      </c>
      <c r="CZ17" s="55" t="str">
        <f t="shared" si="8"/>
        <v/>
      </c>
      <c r="DA17" s="55" t="str">
        <f t="shared" si="8"/>
        <v/>
      </c>
      <c r="DB17" s="55" t="str">
        <f t="shared" si="8"/>
        <v/>
      </c>
      <c r="DC17" s="55" t="str">
        <f t="shared" si="8"/>
        <v/>
      </c>
      <c r="DD17" s="55" t="str">
        <f t="shared" si="8"/>
        <v/>
      </c>
      <c r="DE17" s="55" t="str">
        <f t="shared" si="8"/>
        <v/>
      </c>
      <c r="DF17" s="55" t="str">
        <f t="shared" si="8"/>
        <v/>
      </c>
      <c r="DG17" s="55" t="str">
        <f t="shared" si="8"/>
        <v/>
      </c>
      <c r="DH17" s="55" t="str">
        <f t="shared" si="8"/>
        <v/>
      </c>
      <c r="DI17" s="55" t="str">
        <f t="shared" si="8"/>
        <v/>
      </c>
      <c r="DJ17" s="55" t="str">
        <f t="shared" si="8"/>
        <v/>
      </c>
      <c r="DK17" s="55" t="str">
        <f t="shared" si="8"/>
        <v/>
      </c>
      <c r="DL17" s="55" t="str">
        <f t="shared" si="8"/>
        <v/>
      </c>
      <c r="DM17" s="55" t="str">
        <f t="shared" si="8"/>
        <v/>
      </c>
      <c r="DN17" s="55" t="str">
        <f t="shared" si="8"/>
        <v/>
      </c>
      <c r="DO17" s="55" t="str">
        <f t="shared" si="8"/>
        <v/>
      </c>
      <c r="DP17" s="55" t="str">
        <f t="shared" si="8"/>
        <v/>
      </c>
      <c r="DQ17" s="55" t="str">
        <f t="shared" si="8"/>
        <v/>
      </c>
      <c r="DR17" s="55" t="str">
        <f t="shared" si="8"/>
        <v/>
      </c>
      <c r="DS17" s="55" t="str">
        <f t="shared" si="8"/>
        <v/>
      </c>
      <c r="DT17" s="110" t="str">
        <f t="shared" si="8"/>
        <v/>
      </c>
      <c r="DU17" s="54"/>
      <c r="DV17" s="25"/>
      <c r="DW17" s="61" t="str">
        <f t="shared" si="9"/>
        <v/>
      </c>
      <c r="DX17" s="50" t="str">
        <f t="shared" si="9"/>
        <v/>
      </c>
      <c r="DY17" s="50" t="str">
        <f t="shared" si="9"/>
        <v/>
      </c>
      <c r="DZ17" s="50" t="str">
        <f t="shared" si="9"/>
        <v/>
      </c>
      <c r="EA17" s="50" t="str">
        <f t="shared" si="9"/>
        <v/>
      </c>
      <c r="EB17" s="50" t="str">
        <f t="shared" si="9"/>
        <v/>
      </c>
      <c r="EC17" s="50" t="str">
        <f t="shared" si="9"/>
        <v/>
      </c>
      <c r="ED17" s="50" t="str">
        <f t="shared" si="9"/>
        <v/>
      </c>
      <c r="EE17" s="50" t="str">
        <f t="shared" si="9"/>
        <v/>
      </c>
      <c r="EF17" s="50" t="str">
        <f t="shared" si="9"/>
        <v/>
      </c>
      <c r="EG17" s="50" t="str">
        <f t="shared" si="9"/>
        <v/>
      </c>
      <c r="EH17" s="50" t="str">
        <f t="shared" si="9"/>
        <v/>
      </c>
      <c r="EI17" s="50" t="str">
        <f t="shared" si="9"/>
        <v/>
      </c>
      <c r="EJ17" s="50" t="str">
        <f t="shared" si="9"/>
        <v/>
      </c>
      <c r="EK17" s="50" t="str">
        <f t="shared" si="9"/>
        <v/>
      </c>
      <c r="EL17" s="50" t="str">
        <f t="shared" si="9"/>
        <v/>
      </c>
      <c r="EM17" s="50" t="str">
        <f t="shared" si="9"/>
        <v/>
      </c>
      <c r="EN17" s="50" t="str">
        <f t="shared" si="9"/>
        <v/>
      </c>
      <c r="EO17" s="50" t="str">
        <f t="shared" si="9"/>
        <v/>
      </c>
      <c r="EP17" s="50" t="str">
        <f t="shared" si="9"/>
        <v/>
      </c>
      <c r="EQ17" s="50" t="str">
        <f t="shared" si="9"/>
        <v/>
      </c>
      <c r="ER17" s="50" t="str">
        <f t="shared" si="9"/>
        <v/>
      </c>
      <c r="ES17" s="50" t="str">
        <f t="shared" si="9"/>
        <v/>
      </c>
      <c r="ET17" s="50" t="str">
        <f t="shared" si="9"/>
        <v/>
      </c>
      <c r="EU17" s="50" t="str">
        <f t="shared" si="9"/>
        <v/>
      </c>
      <c r="EV17" s="50" t="str">
        <f t="shared" si="9"/>
        <v/>
      </c>
      <c r="EW17" s="50" t="str">
        <f t="shared" si="9"/>
        <v/>
      </c>
      <c r="EX17" s="50" t="str">
        <f t="shared" si="9"/>
        <v/>
      </c>
      <c r="EY17" s="50" t="str">
        <f t="shared" si="9"/>
        <v/>
      </c>
      <c r="EZ17" s="50" t="str">
        <f t="shared" si="9"/>
        <v/>
      </c>
      <c r="FA17" s="50" t="str">
        <f t="shared" si="9"/>
        <v/>
      </c>
      <c r="FB17" s="50" t="str">
        <f t="shared" si="9"/>
        <v/>
      </c>
      <c r="FC17" s="50" t="str">
        <f t="shared" si="9"/>
        <v/>
      </c>
      <c r="FD17" s="50" t="str">
        <f t="shared" si="9"/>
        <v/>
      </c>
      <c r="FE17" s="50" t="str">
        <f t="shared" si="9"/>
        <v/>
      </c>
      <c r="FF17" s="50" t="str">
        <f t="shared" si="9"/>
        <v/>
      </c>
      <c r="FG17" s="50" t="str">
        <f t="shared" si="9"/>
        <v/>
      </c>
      <c r="FH17" s="50" t="str">
        <f t="shared" si="9"/>
        <v/>
      </c>
      <c r="FI17" s="50" t="str">
        <f t="shared" si="9"/>
        <v/>
      </c>
      <c r="FJ17" s="50" t="str">
        <f t="shared" si="9"/>
        <v/>
      </c>
      <c r="FK17" s="50" t="str">
        <f t="shared" si="9"/>
        <v/>
      </c>
      <c r="FL17" s="50" t="str">
        <f t="shared" si="9"/>
        <v/>
      </c>
      <c r="FM17" s="50" t="str">
        <f t="shared" si="9"/>
        <v/>
      </c>
      <c r="FN17" s="50" t="str">
        <f t="shared" si="9"/>
        <v/>
      </c>
      <c r="FO17" s="50" t="str">
        <f t="shared" si="9"/>
        <v/>
      </c>
      <c r="FP17" s="50" t="str">
        <f t="shared" si="9"/>
        <v/>
      </c>
      <c r="FQ17" s="50" t="str">
        <f t="shared" si="9"/>
        <v/>
      </c>
      <c r="FR17" s="50" t="str">
        <f t="shared" si="9"/>
        <v/>
      </c>
      <c r="FS17" s="50" t="str">
        <f t="shared" si="9"/>
        <v/>
      </c>
      <c r="FT17" s="50" t="str">
        <f t="shared" si="9"/>
        <v/>
      </c>
      <c r="FU17" s="50" t="str">
        <f t="shared" si="9"/>
        <v/>
      </c>
      <c r="FV17" s="50" t="str">
        <f t="shared" si="9"/>
        <v/>
      </c>
      <c r="FW17" s="50" t="str">
        <f t="shared" si="9"/>
        <v/>
      </c>
      <c r="FX17" s="50" t="str">
        <f t="shared" si="9"/>
        <v/>
      </c>
      <c r="FY17" s="50" t="str">
        <f t="shared" si="9"/>
        <v/>
      </c>
      <c r="FZ17" s="50" t="str">
        <f t="shared" si="9"/>
        <v/>
      </c>
      <c r="GA17" s="50" t="str">
        <f t="shared" si="9"/>
        <v/>
      </c>
      <c r="GB17" s="50" t="str">
        <f t="shared" si="9"/>
        <v/>
      </c>
      <c r="GC17" s="50" t="str">
        <f t="shared" si="9"/>
        <v/>
      </c>
      <c r="GD17" s="50" t="str">
        <f t="shared" si="9"/>
        <v/>
      </c>
      <c r="GE17" s="50" t="str">
        <f t="shared" si="9"/>
        <v/>
      </c>
      <c r="GF17" s="50" t="str">
        <f t="shared" si="9"/>
        <v/>
      </c>
      <c r="GG17" s="50" t="str">
        <f t="shared" si="9"/>
        <v/>
      </c>
      <c r="GH17" s="50" t="str">
        <f t="shared" ref="GH17:GW32" si="14">IF($B17=GH$12,$O17,"")</f>
        <v/>
      </c>
      <c r="GI17" s="50" t="str">
        <f t="shared" si="14"/>
        <v/>
      </c>
      <c r="GJ17" s="50" t="str">
        <f t="shared" si="14"/>
        <v/>
      </c>
      <c r="GK17" s="50" t="str">
        <f t="shared" si="14"/>
        <v/>
      </c>
      <c r="GL17" s="50" t="str">
        <f t="shared" si="14"/>
        <v/>
      </c>
      <c r="GM17" s="50" t="str">
        <f t="shared" si="14"/>
        <v/>
      </c>
      <c r="GN17" s="50" t="str">
        <f t="shared" si="14"/>
        <v/>
      </c>
      <c r="GO17" s="50" t="str">
        <f t="shared" si="14"/>
        <v/>
      </c>
      <c r="GP17" s="50" t="str">
        <f t="shared" si="14"/>
        <v/>
      </c>
      <c r="GQ17" s="50" t="str">
        <f t="shared" si="14"/>
        <v/>
      </c>
      <c r="GR17" s="50" t="str">
        <f t="shared" si="14"/>
        <v/>
      </c>
      <c r="GS17" s="50" t="str">
        <f t="shared" si="14"/>
        <v/>
      </c>
      <c r="GT17" s="50" t="str">
        <f t="shared" si="14"/>
        <v/>
      </c>
      <c r="GU17" s="50" t="str">
        <f t="shared" si="14"/>
        <v/>
      </c>
      <c r="GV17" s="50" t="str">
        <f t="shared" si="14"/>
        <v/>
      </c>
      <c r="GW17" s="50" t="str">
        <f t="shared" si="14"/>
        <v/>
      </c>
      <c r="GX17" s="50" t="str">
        <f t="shared" si="10"/>
        <v/>
      </c>
      <c r="GY17" s="50" t="str">
        <f t="shared" si="10"/>
        <v/>
      </c>
      <c r="GZ17" s="50" t="str">
        <f t="shared" si="10"/>
        <v/>
      </c>
      <c r="HA17" s="50" t="str">
        <f t="shared" si="10"/>
        <v/>
      </c>
      <c r="HB17" s="50" t="str">
        <f t="shared" si="10"/>
        <v/>
      </c>
      <c r="HC17" s="50" t="str">
        <f t="shared" si="10"/>
        <v/>
      </c>
      <c r="HD17" s="50" t="str">
        <f t="shared" si="10"/>
        <v/>
      </c>
      <c r="HE17" s="50" t="str">
        <f t="shared" si="10"/>
        <v/>
      </c>
      <c r="HF17" s="50" t="str">
        <f t="shared" si="10"/>
        <v/>
      </c>
      <c r="HG17" s="50" t="str">
        <f t="shared" si="10"/>
        <v/>
      </c>
      <c r="HH17" s="50" t="str">
        <f t="shared" si="10"/>
        <v/>
      </c>
      <c r="HI17" s="50" t="str">
        <f t="shared" si="10"/>
        <v/>
      </c>
      <c r="HJ17" s="50" t="str">
        <f t="shared" si="10"/>
        <v/>
      </c>
      <c r="HK17" s="50" t="str">
        <f t="shared" si="10"/>
        <v/>
      </c>
      <c r="HL17" s="50" t="str">
        <f t="shared" si="10"/>
        <v/>
      </c>
      <c r="HM17" s="50" t="str">
        <f t="shared" si="10"/>
        <v/>
      </c>
      <c r="HN17" s="50" t="str">
        <f t="shared" si="10"/>
        <v/>
      </c>
      <c r="HO17" s="50" t="str">
        <f t="shared" si="10"/>
        <v/>
      </c>
      <c r="HP17" s="50" t="str">
        <f t="shared" si="10"/>
        <v/>
      </c>
      <c r="HQ17" s="50" t="str">
        <f t="shared" si="10"/>
        <v/>
      </c>
      <c r="HR17" s="116" t="str">
        <f t="shared" si="10"/>
        <v/>
      </c>
    </row>
    <row r="18" spans="1:226" ht="11.15" customHeight="1" x14ac:dyDescent="0.25">
      <c r="A18" s="26" t="s">
        <v>32</v>
      </c>
      <c r="B18" s="27">
        <v>1</v>
      </c>
      <c r="C18" s="28" t="str">
        <f>IF(A18=0,"",VLOOKUP(A18,[3]CO!$A$3:$F$5327,2,0))</f>
        <v>Lote</v>
      </c>
      <c r="D18" s="29" t="s">
        <v>35</v>
      </c>
      <c r="E18" s="29"/>
      <c r="F18" s="29"/>
      <c r="G18" s="30" t="str">
        <f>IF(A18=0,"",VLOOKUP(A18,[3]CO!$A$3:$F$5327,3,0))</f>
        <v>LOTE</v>
      </c>
      <c r="H18" s="29"/>
      <c r="I18" s="31"/>
      <c r="J18" s="31"/>
      <c r="K18" s="31">
        <v>3.5</v>
      </c>
      <c r="L18" s="31">
        <v>1</v>
      </c>
      <c r="M18" s="32">
        <f t="shared" si="4"/>
        <v>3.5</v>
      </c>
      <c r="N18" s="32">
        <f>IF(B18=0,"",IF(H18="M",HLOOKUP(B18,$Y$12:$DT$13,2),IF(A18=0,"",VLOOKUP(A18,[3]CO!$A$3:$F$5327,4,0))))</f>
        <v>100</v>
      </c>
      <c r="O18" s="32">
        <f t="shared" si="11"/>
        <v>350</v>
      </c>
      <c r="P18" s="33">
        <v>1</v>
      </c>
      <c r="Q18" s="34">
        <f t="shared" si="5"/>
        <v>350</v>
      </c>
      <c r="R18" s="35" t="str">
        <f t="shared" si="6"/>
        <v/>
      </c>
      <c r="S18" s="122"/>
      <c r="T18" s="53">
        <f>IF(A18=0,"",VLOOKUP(A18,[3]CO!$A$3:$F$5318,5,0))</f>
        <v>0</v>
      </c>
      <c r="U18" s="54">
        <f t="shared" si="12"/>
        <v>0</v>
      </c>
      <c r="V18" s="24"/>
      <c r="W18" s="25"/>
      <c r="X18" s="25"/>
      <c r="Y18" s="64">
        <f t="shared" ref="Y18:AN33" si="15">IF($B18=Y$12,$U18,"")</f>
        <v>0</v>
      </c>
      <c r="Z18" s="55" t="str">
        <f t="shared" si="15"/>
        <v/>
      </c>
      <c r="AA18" s="55" t="str">
        <f t="shared" si="15"/>
        <v/>
      </c>
      <c r="AB18" s="55" t="str">
        <f t="shared" si="15"/>
        <v/>
      </c>
      <c r="AC18" s="55" t="str">
        <f t="shared" si="15"/>
        <v/>
      </c>
      <c r="AD18" s="55" t="str">
        <f t="shared" si="15"/>
        <v/>
      </c>
      <c r="AE18" s="55" t="str">
        <f t="shared" si="15"/>
        <v/>
      </c>
      <c r="AF18" s="55" t="str">
        <f t="shared" si="15"/>
        <v/>
      </c>
      <c r="AG18" s="55" t="str">
        <f t="shared" si="15"/>
        <v/>
      </c>
      <c r="AH18" s="55" t="str">
        <f t="shared" si="15"/>
        <v/>
      </c>
      <c r="AI18" s="55" t="str">
        <f t="shared" si="15"/>
        <v/>
      </c>
      <c r="AJ18" s="55" t="str">
        <f t="shared" si="15"/>
        <v/>
      </c>
      <c r="AK18" s="55" t="str">
        <f t="shared" si="15"/>
        <v/>
      </c>
      <c r="AL18" s="55" t="str">
        <f t="shared" si="15"/>
        <v/>
      </c>
      <c r="AM18" s="55" t="str">
        <f t="shared" si="15"/>
        <v/>
      </c>
      <c r="AN18" s="55" t="str">
        <f t="shared" si="15"/>
        <v/>
      </c>
      <c r="AO18" s="55" t="str">
        <f t="shared" ref="AO18:BD73" si="16">IF($B18=AO$12,$U18,"")</f>
        <v/>
      </c>
      <c r="AP18" s="55" t="str">
        <f t="shared" si="16"/>
        <v/>
      </c>
      <c r="AQ18" s="55" t="str">
        <f t="shared" si="16"/>
        <v/>
      </c>
      <c r="AR18" s="55" t="str">
        <f t="shared" si="16"/>
        <v/>
      </c>
      <c r="AS18" s="55" t="str">
        <f t="shared" si="16"/>
        <v/>
      </c>
      <c r="AT18" s="55" t="str">
        <f t="shared" si="16"/>
        <v/>
      </c>
      <c r="AU18" s="55" t="str">
        <f t="shared" si="16"/>
        <v/>
      </c>
      <c r="AV18" s="55" t="str">
        <f t="shared" si="16"/>
        <v/>
      </c>
      <c r="AW18" s="55" t="str">
        <f t="shared" si="16"/>
        <v/>
      </c>
      <c r="AX18" s="55" t="str">
        <f t="shared" si="16"/>
        <v/>
      </c>
      <c r="AY18" s="55" t="str">
        <f t="shared" si="16"/>
        <v/>
      </c>
      <c r="AZ18" s="55" t="str">
        <f t="shared" si="16"/>
        <v/>
      </c>
      <c r="BA18" s="55" t="str">
        <f t="shared" si="16"/>
        <v/>
      </c>
      <c r="BB18" s="55" t="str">
        <f t="shared" si="16"/>
        <v/>
      </c>
      <c r="BC18" s="55" t="str">
        <f t="shared" si="16"/>
        <v/>
      </c>
      <c r="BD18" s="55" t="str">
        <f t="shared" si="16"/>
        <v/>
      </c>
      <c r="BE18" s="55" t="str">
        <f t="shared" ref="BE18:CI26" si="17">IF($B18=BE$12,$U18,"")</f>
        <v/>
      </c>
      <c r="BF18" s="55" t="str">
        <f t="shared" si="17"/>
        <v/>
      </c>
      <c r="BG18" s="55" t="str">
        <f t="shared" si="17"/>
        <v/>
      </c>
      <c r="BH18" s="55" t="str">
        <f t="shared" si="17"/>
        <v/>
      </c>
      <c r="BI18" s="55" t="str">
        <f t="shared" si="17"/>
        <v/>
      </c>
      <c r="BJ18" s="55" t="str">
        <f t="shared" si="17"/>
        <v/>
      </c>
      <c r="BK18" s="55" t="str">
        <f t="shared" si="17"/>
        <v/>
      </c>
      <c r="BL18" s="55" t="str">
        <f t="shared" si="17"/>
        <v/>
      </c>
      <c r="BM18" s="55" t="str">
        <f t="shared" si="17"/>
        <v/>
      </c>
      <c r="BN18" s="55" t="str">
        <f t="shared" si="17"/>
        <v/>
      </c>
      <c r="BO18" s="55" t="str">
        <f t="shared" si="17"/>
        <v/>
      </c>
      <c r="BP18" s="55" t="str">
        <f t="shared" si="17"/>
        <v/>
      </c>
      <c r="BQ18" s="55" t="str">
        <f t="shared" si="17"/>
        <v/>
      </c>
      <c r="BR18" s="55" t="str">
        <f t="shared" si="17"/>
        <v/>
      </c>
      <c r="BS18" s="55" t="str">
        <f t="shared" si="17"/>
        <v/>
      </c>
      <c r="BT18" s="55" t="str">
        <f t="shared" si="17"/>
        <v/>
      </c>
      <c r="BU18" s="55" t="str">
        <f t="shared" si="17"/>
        <v/>
      </c>
      <c r="BV18" s="55" t="str">
        <f t="shared" si="17"/>
        <v/>
      </c>
      <c r="BW18" s="55" t="str">
        <f t="shared" si="17"/>
        <v/>
      </c>
      <c r="BX18" s="55" t="str">
        <f t="shared" si="17"/>
        <v/>
      </c>
      <c r="BY18" s="55" t="str">
        <f t="shared" si="17"/>
        <v/>
      </c>
      <c r="BZ18" s="55" t="str">
        <f t="shared" si="17"/>
        <v/>
      </c>
      <c r="CA18" s="55" t="str">
        <f t="shared" si="17"/>
        <v/>
      </c>
      <c r="CB18" s="55" t="str">
        <f t="shared" si="17"/>
        <v/>
      </c>
      <c r="CC18" s="55" t="str">
        <f t="shared" si="17"/>
        <v/>
      </c>
      <c r="CD18" s="55" t="str">
        <f t="shared" si="17"/>
        <v/>
      </c>
      <c r="CE18" s="55" t="str">
        <f t="shared" si="17"/>
        <v/>
      </c>
      <c r="CF18" s="55" t="str">
        <f t="shared" si="17"/>
        <v/>
      </c>
      <c r="CG18" s="55" t="str">
        <f t="shared" si="17"/>
        <v/>
      </c>
      <c r="CH18" s="55" t="str">
        <f t="shared" si="17"/>
        <v/>
      </c>
      <c r="CI18" s="55" t="str">
        <f t="shared" si="17"/>
        <v/>
      </c>
      <c r="CJ18" s="55" t="str">
        <f t="shared" si="13"/>
        <v/>
      </c>
      <c r="CK18" s="55" t="str">
        <f t="shared" si="13"/>
        <v/>
      </c>
      <c r="CL18" s="55" t="str">
        <f t="shared" si="13"/>
        <v/>
      </c>
      <c r="CM18" s="55" t="str">
        <f t="shared" si="13"/>
        <v/>
      </c>
      <c r="CN18" s="55" t="str">
        <f t="shared" si="13"/>
        <v/>
      </c>
      <c r="CO18" s="55" t="str">
        <f t="shared" si="13"/>
        <v/>
      </c>
      <c r="CP18" s="55" t="str">
        <f t="shared" si="13"/>
        <v/>
      </c>
      <c r="CQ18" s="55" t="str">
        <f t="shared" si="13"/>
        <v/>
      </c>
      <c r="CR18" s="55" t="str">
        <f t="shared" si="13"/>
        <v/>
      </c>
      <c r="CS18" s="55" t="str">
        <f t="shared" si="13"/>
        <v/>
      </c>
      <c r="CT18" s="55" t="str">
        <f t="shared" si="13"/>
        <v/>
      </c>
      <c r="CU18" s="55" t="str">
        <f t="shared" si="13"/>
        <v/>
      </c>
      <c r="CV18" s="55" t="str">
        <f t="shared" si="13"/>
        <v/>
      </c>
      <c r="CW18" s="55" t="str">
        <f t="shared" si="13"/>
        <v/>
      </c>
      <c r="CX18" s="55" t="str">
        <f t="shared" si="13"/>
        <v/>
      </c>
      <c r="CY18" s="55" t="str">
        <f t="shared" si="13"/>
        <v/>
      </c>
      <c r="CZ18" s="55" t="str">
        <f t="shared" si="8"/>
        <v/>
      </c>
      <c r="DA18" s="55" t="str">
        <f t="shared" si="8"/>
        <v/>
      </c>
      <c r="DB18" s="55" t="str">
        <f t="shared" si="8"/>
        <v/>
      </c>
      <c r="DC18" s="55" t="str">
        <f t="shared" si="8"/>
        <v/>
      </c>
      <c r="DD18" s="55" t="str">
        <f t="shared" si="8"/>
        <v/>
      </c>
      <c r="DE18" s="55" t="str">
        <f t="shared" si="8"/>
        <v/>
      </c>
      <c r="DF18" s="55" t="str">
        <f t="shared" si="8"/>
        <v/>
      </c>
      <c r="DG18" s="55" t="str">
        <f t="shared" si="8"/>
        <v/>
      </c>
      <c r="DH18" s="55" t="str">
        <f t="shared" si="8"/>
        <v/>
      </c>
      <c r="DI18" s="55" t="str">
        <f t="shared" si="8"/>
        <v/>
      </c>
      <c r="DJ18" s="55" t="str">
        <f t="shared" si="8"/>
        <v/>
      </c>
      <c r="DK18" s="55" t="str">
        <f t="shared" si="8"/>
        <v/>
      </c>
      <c r="DL18" s="55" t="str">
        <f t="shared" si="8"/>
        <v/>
      </c>
      <c r="DM18" s="55" t="str">
        <f t="shared" si="8"/>
        <v/>
      </c>
      <c r="DN18" s="55" t="str">
        <f t="shared" si="8"/>
        <v/>
      </c>
      <c r="DO18" s="55" t="str">
        <f t="shared" si="8"/>
        <v/>
      </c>
      <c r="DP18" s="55" t="str">
        <f t="shared" si="8"/>
        <v/>
      </c>
      <c r="DQ18" s="55" t="str">
        <f t="shared" si="8"/>
        <v/>
      </c>
      <c r="DR18" s="55" t="str">
        <f t="shared" si="8"/>
        <v/>
      </c>
      <c r="DS18" s="55" t="str">
        <f t="shared" si="8"/>
        <v/>
      </c>
      <c r="DT18" s="110" t="str">
        <f t="shared" si="8"/>
        <v/>
      </c>
      <c r="DU18" s="54"/>
      <c r="DV18" s="25"/>
      <c r="DW18" s="61">
        <f t="shared" ref="DW18:EL33" si="18">IF($B18=DW$12,$O18,"")</f>
        <v>350</v>
      </c>
      <c r="DX18" s="50" t="str">
        <f t="shared" si="18"/>
        <v/>
      </c>
      <c r="DY18" s="50" t="str">
        <f t="shared" si="18"/>
        <v/>
      </c>
      <c r="DZ18" s="50" t="str">
        <f t="shared" si="18"/>
        <v/>
      </c>
      <c r="EA18" s="50" t="str">
        <f t="shared" si="18"/>
        <v/>
      </c>
      <c r="EB18" s="50" t="str">
        <f t="shared" si="18"/>
        <v/>
      </c>
      <c r="EC18" s="50" t="str">
        <f t="shared" si="18"/>
        <v/>
      </c>
      <c r="ED18" s="50" t="str">
        <f t="shared" si="18"/>
        <v/>
      </c>
      <c r="EE18" s="50" t="str">
        <f t="shared" si="18"/>
        <v/>
      </c>
      <c r="EF18" s="50" t="str">
        <f t="shared" si="18"/>
        <v/>
      </c>
      <c r="EG18" s="50" t="str">
        <f t="shared" si="18"/>
        <v/>
      </c>
      <c r="EH18" s="50" t="str">
        <f t="shared" si="18"/>
        <v/>
      </c>
      <c r="EI18" s="50" t="str">
        <f t="shared" si="18"/>
        <v/>
      </c>
      <c r="EJ18" s="50" t="str">
        <f t="shared" si="18"/>
        <v/>
      </c>
      <c r="EK18" s="50" t="str">
        <f t="shared" si="18"/>
        <v/>
      </c>
      <c r="EL18" s="50" t="str">
        <f t="shared" si="18"/>
        <v/>
      </c>
      <c r="EM18" s="50" t="str">
        <f t="shared" ref="EM18:FB73" si="19">IF($B18=EM$12,$O18,"")</f>
        <v/>
      </c>
      <c r="EN18" s="50" t="str">
        <f t="shared" si="19"/>
        <v/>
      </c>
      <c r="EO18" s="50" t="str">
        <f t="shared" si="19"/>
        <v/>
      </c>
      <c r="EP18" s="50" t="str">
        <f t="shared" si="19"/>
        <v/>
      </c>
      <c r="EQ18" s="50" t="str">
        <f t="shared" si="19"/>
        <v/>
      </c>
      <c r="ER18" s="50" t="str">
        <f t="shared" si="19"/>
        <v/>
      </c>
      <c r="ES18" s="50" t="str">
        <f t="shared" si="19"/>
        <v/>
      </c>
      <c r="ET18" s="50" t="str">
        <f t="shared" si="19"/>
        <v/>
      </c>
      <c r="EU18" s="50" t="str">
        <f t="shared" si="19"/>
        <v/>
      </c>
      <c r="EV18" s="50" t="str">
        <f t="shared" si="19"/>
        <v/>
      </c>
      <c r="EW18" s="50" t="str">
        <f t="shared" si="19"/>
        <v/>
      </c>
      <c r="EX18" s="50" t="str">
        <f t="shared" si="19"/>
        <v/>
      </c>
      <c r="EY18" s="50" t="str">
        <f t="shared" si="19"/>
        <v/>
      </c>
      <c r="EZ18" s="50" t="str">
        <f t="shared" si="19"/>
        <v/>
      </c>
      <c r="FA18" s="50" t="str">
        <f t="shared" si="19"/>
        <v/>
      </c>
      <c r="FB18" s="50" t="str">
        <f t="shared" si="19"/>
        <v/>
      </c>
      <c r="FC18" s="50" t="str">
        <f t="shared" ref="FC18:GG26" si="20">IF($B18=FC$12,$O18,"")</f>
        <v/>
      </c>
      <c r="FD18" s="50" t="str">
        <f t="shared" si="20"/>
        <v/>
      </c>
      <c r="FE18" s="50" t="str">
        <f t="shared" si="20"/>
        <v/>
      </c>
      <c r="FF18" s="50" t="str">
        <f t="shared" si="20"/>
        <v/>
      </c>
      <c r="FG18" s="50" t="str">
        <f t="shared" si="20"/>
        <v/>
      </c>
      <c r="FH18" s="50" t="str">
        <f t="shared" si="20"/>
        <v/>
      </c>
      <c r="FI18" s="50" t="str">
        <f t="shared" si="20"/>
        <v/>
      </c>
      <c r="FJ18" s="50" t="str">
        <f t="shared" si="20"/>
        <v/>
      </c>
      <c r="FK18" s="50" t="str">
        <f t="shared" si="20"/>
        <v/>
      </c>
      <c r="FL18" s="50" t="str">
        <f t="shared" si="20"/>
        <v/>
      </c>
      <c r="FM18" s="50" t="str">
        <f t="shared" si="20"/>
        <v/>
      </c>
      <c r="FN18" s="50" t="str">
        <f t="shared" si="20"/>
        <v/>
      </c>
      <c r="FO18" s="50" t="str">
        <f t="shared" si="20"/>
        <v/>
      </c>
      <c r="FP18" s="50" t="str">
        <f t="shared" si="20"/>
        <v/>
      </c>
      <c r="FQ18" s="50" t="str">
        <f t="shared" si="20"/>
        <v/>
      </c>
      <c r="FR18" s="50" t="str">
        <f t="shared" si="20"/>
        <v/>
      </c>
      <c r="FS18" s="50" t="str">
        <f t="shared" si="20"/>
        <v/>
      </c>
      <c r="FT18" s="50" t="str">
        <f t="shared" si="20"/>
        <v/>
      </c>
      <c r="FU18" s="50" t="str">
        <f t="shared" si="20"/>
        <v/>
      </c>
      <c r="FV18" s="50" t="str">
        <f t="shared" si="20"/>
        <v/>
      </c>
      <c r="FW18" s="50" t="str">
        <f t="shared" si="20"/>
        <v/>
      </c>
      <c r="FX18" s="50" t="str">
        <f t="shared" si="20"/>
        <v/>
      </c>
      <c r="FY18" s="50" t="str">
        <f t="shared" si="20"/>
        <v/>
      </c>
      <c r="FZ18" s="50" t="str">
        <f t="shared" si="20"/>
        <v/>
      </c>
      <c r="GA18" s="50" t="str">
        <f t="shared" si="20"/>
        <v/>
      </c>
      <c r="GB18" s="50" t="str">
        <f t="shared" si="20"/>
        <v/>
      </c>
      <c r="GC18" s="50" t="str">
        <f t="shared" si="20"/>
        <v/>
      </c>
      <c r="GD18" s="50" t="str">
        <f t="shared" si="20"/>
        <v/>
      </c>
      <c r="GE18" s="50" t="str">
        <f t="shared" si="20"/>
        <v/>
      </c>
      <c r="GF18" s="50" t="str">
        <f t="shared" si="20"/>
        <v/>
      </c>
      <c r="GG18" s="50" t="str">
        <f t="shared" si="20"/>
        <v/>
      </c>
      <c r="GH18" s="50" t="str">
        <f t="shared" si="14"/>
        <v/>
      </c>
      <c r="GI18" s="50" t="str">
        <f t="shared" si="14"/>
        <v/>
      </c>
      <c r="GJ18" s="50" t="str">
        <f t="shared" si="14"/>
        <v/>
      </c>
      <c r="GK18" s="50" t="str">
        <f t="shared" si="14"/>
        <v/>
      </c>
      <c r="GL18" s="50" t="str">
        <f t="shared" si="14"/>
        <v/>
      </c>
      <c r="GM18" s="50" t="str">
        <f t="shared" si="14"/>
        <v/>
      </c>
      <c r="GN18" s="50" t="str">
        <f t="shared" si="14"/>
        <v/>
      </c>
      <c r="GO18" s="50" t="str">
        <f t="shared" si="14"/>
        <v/>
      </c>
      <c r="GP18" s="50" t="str">
        <f t="shared" si="14"/>
        <v/>
      </c>
      <c r="GQ18" s="50" t="str">
        <f t="shared" si="14"/>
        <v/>
      </c>
      <c r="GR18" s="50" t="str">
        <f t="shared" si="14"/>
        <v/>
      </c>
      <c r="GS18" s="50" t="str">
        <f t="shared" si="14"/>
        <v/>
      </c>
      <c r="GT18" s="50" t="str">
        <f t="shared" si="14"/>
        <v/>
      </c>
      <c r="GU18" s="50" t="str">
        <f t="shared" si="14"/>
        <v/>
      </c>
      <c r="GV18" s="50" t="str">
        <f t="shared" si="14"/>
        <v/>
      </c>
      <c r="GW18" s="50" t="str">
        <f t="shared" si="14"/>
        <v/>
      </c>
      <c r="GX18" s="50" t="str">
        <f t="shared" si="10"/>
        <v/>
      </c>
      <c r="GY18" s="50" t="str">
        <f t="shared" si="10"/>
        <v/>
      </c>
      <c r="GZ18" s="50" t="str">
        <f t="shared" si="10"/>
        <v/>
      </c>
      <c r="HA18" s="50" t="str">
        <f t="shared" si="10"/>
        <v/>
      </c>
      <c r="HB18" s="50" t="str">
        <f t="shared" si="10"/>
        <v/>
      </c>
      <c r="HC18" s="50" t="str">
        <f t="shared" si="10"/>
        <v/>
      </c>
      <c r="HD18" s="50" t="str">
        <f t="shared" si="10"/>
        <v/>
      </c>
      <c r="HE18" s="50" t="str">
        <f t="shared" si="10"/>
        <v/>
      </c>
      <c r="HF18" s="50" t="str">
        <f t="shared" si="10"/>
        <v/>
      </c>
      <c r="HG18" s="50" t="str">
        <f t="shared" si="10"/>
        <v/>
      </c>
      <c r="HH18" s="50" t="str">
        <f t="shared" si="10"/>
        <v/>
      </c>
      <c r="HI18" s="50" t="str">
        <f t="shared" si="10"/>
        <v/>
      </c>
      <c r="HJ18" s="50" t="str">
        <f t="shared" si="10"/>
        <v/>
      </c>
      <c r="HK18" s="50" t="str">
        <f t="shared" si="10"/>
        <v/>
      </c>
      <c r="HL18" s="50" t="str">
        <f t="shared" si="10"/>
        <v/>
      </c>
      <c r="HM18" s="50" t="str">
        <f t="shared" si="10"/>
        <v/>
      </c>
      <c r="HN18" s="50" t="str">
        <f t="shared" si="10"/>
        <v/>
      </c>
      <c r="HO18" s="50" t="str">
        <f t="shared" si="10"/>
        <v/>
      </c>
      <c r="HP18" s="50" t="str">
        <f t="shared" si="10"/>
        <v/>
      </c>
      <c r="HQ18" s="50" t="str">
        <f t="shared" si="10"/>
        <v/>
      </c>
      <c r="HR18" s="116" t="str">
        <f t="shared" si="10"/>
        <v/>
      </c>
    </row>
    <row r="19" spans="1:226" ht="11.15" customHeight="1" x14ac:dyDescent="0.25">
      <c r="A19" s="26"/>
      <c r="B19" s="27"/>
      <c r="C19" s="28" t="str">
        <f>IF(A19=0,"",VLOOKUP(A19,[3]CO!$A$3:$F$5327,2,0))</f>
        <v/>
      </c>
      <c r="D19" s="29"/>
      <c r="E19" s="29"/>
      <c r="F19" s="29"/>
      <c r="G19" s="30" t="str">
        <f>IF(A19=0,"",VLOOKUP(A19,[3]CO!$A$3:$F$5327,3,0))</f>
        <v/>
      </c>
      <c r="H19" s="29"/>
      <c r="I19" s="31"/>
      <c r="J19" s="31"/>
      <c r="K19" s="31"/>
      <c r="L19" s="31"/>
      <c r="M19" s="32" t="str">
        <f t="shared" si="4"/>
        <v/>
      </c>
      <c r="N19" s="32" t="str">
        <f>IF(B19=0,"",IF(H19="M",HLOOKUP(B19,$Y$12:$DT$13,2),IF(A19=0,"",VLOOKUP(A19,[3]CO!$A$3:$F$5327,4,0))))</f>
        <v/>
      </c>
      <c r="O19" s="32" t="str">
        <f t="shared" si="11"/>
        <v/>
      </c>
      <c r="P19" s="33"/>
      <c r="Q19" s="34" t="str">
        <f t="shared" si="5"/>
        <v/>
      </c>
      <c r="R19" s="35" t="str">
        <f t="shared" si="6"/>
        <v/>
      </c>
      <c r="S19" s="122"/>
      <c r="T19" s="53" t="str">
        <f>IF(A19=0,"",VLOOKUP(A19,[3]CO!$A$3:$F$5318,5,0))</f>
        <v/>
      </c>
      <c r="U19" s="54">
        <f t="shared" si="12"/>
        <v>0</v>
      </c>
      <c r="V19" s="24"/>
      <c r="W19" s="25"/>
      <c r="X19" s="25"/>
      <c r="Y19" s="64" t="str">
        <f t="shared" si="15"/>
        <v/>
      </c>
      <c r="Z19" s="55" t="str">
        <f t="shared" si="15"/>
        <v/>
      </c>
      <c r="AA19" s="55" t="str">
        <f t="shared" si="15"/>
        <v/>
      </c>
      <c r="AB19" s="55" t="str">
        <f t="shared" si="15"/>
        <v/>
      </c>
      <c r="AC19" s="55" t="str">
        <f t="shared" si="15"/>
        <v/>
      </c>
      <c r="AD19" s="55" t="str">
        <f t="shared" si="15"/>
        <v/>
      </c>
      <c r="AE19" s="55" t="str">
        <f t="shared" si="15"/>
        <v/>
      </c>
      <c r="AF19" s="55" t="str">
        <f t="shared" si="15"/>
        <v/>
      </c>
      <c r="AG19" s="55" t="str">
        <f t="shared" si="15"/>
        <v/>
      </c>
      <c r="AH19" s="55" t="str">
        <f t="shared" si="15"/>
        <v/>
      </c>
      <c r="AI19" s="55" t="str">
        <f t="shared" si="15"/>
        <v/>
      </c>
      <c r="AJ19" s="55" t="str">
        <f t="shared" si="15"/>
        <v/>
      </c>
      <c r="AK19" s="55" t="str">
        <f t="shared" si="15"/>
        <v/>
      </c>
      <c r="AL19" s="55" t="str">
        <f t="shared" si="15"/>
        <v/>
      </c>
      <c r="AM19" s="55" t="str">
        <f t="shared" si="15"/>
        <v/>
      </c>
      <c r="AN19" s="55" t="str">
        <f t="shared" si="15"/>
        <v/>
      </c>
      <c r="AO19" s="55" t="str">
        <f t="shared" si="16"/>
        <v/>
      </c>
      <c r="AP19" s="55" t="str">
        <f t="shared" si="16"/>
        <v/>
      </c>
      <c r="AQ19" s="55" t="str">
        <f t="shared" si="16"/>
        <v/>
      </c>
      <c r="AR19" s="55" t="str">
        <f t="shared" si="16"/>
        <v/>
      </c>
      <c r="AS19" s="55" t="str">
        <f t="shared" si="16"/>
        <v/>
      </c>
      <c r="AT19" s="55" t="str">
        <f t="shared" si="16"/>
        <v/>
      </c>
      <c r="AU19" s="55" t="str">
        <f t="shared" si="16"/>
        <v/>
      </c>
      <c r="AV19" s="55" t="str">
        <f t="shared" si="16"/>
        <v/>
      </c>
      <c r="AW19" s="55" t="str">
        <f t="shared" si="16"/>
        <v/>
      </c>
      <c r="AX19" s="55" t="str">
        <f t="shared" si="16"/>
        <v/>
      </c>
      <c r="AY19" s="55" t="str">
        <f t="shared" si="16"/>
        <v/>
      </c>
      <c r="AZ19" s="55" t="str">
        <f t="shared" si="16"/>
        <v/>
      </c>
      <c r="BA19" s="55" t="str">
        <f t="shared" si="16"/>
        <v/>
      </c>
      <c r="BB19" s="55" t="str">
        <f t="shared" si="16"/>
        <v/>
      </c>
      <c r="BC19" s="55" t="str">
        <f t="shared" si="16"/>
        <v/>
      </c>
      <c r="BD19" s="55" t="str">
        <f t="shared" si="16"/>
        <v/>
      </c>
      <c r="BE19" s="55" t="str">
        <f t="shared" si="17"/>
        <v/>
      </c>
      <c r="BF19" s="55" t="str">
        <f t="shared" si="17"/>
        <v/>
      </c>
      <c r="BG19" s="55" t="str">
        <f t="shared" si="17"/>
        <v/>
      </c>
      <c r="BH19" s="55" t="str">
        <f t="shared" si="17"/>
        <v/>
      </c>
      <c r="BI19" s="55" t="str">
        <f t="shared" si="17"/>
        <v/>
      </c>
      <c r="BJ19" s="55" t="str">
        <f t="shared" si="17"/>
        <v/>
      </c>
      <c r="BK19" s="55" t="str">
        <f t="shared" si="17"/>
        <v/>
      </c>
      <c r="BL19" s="55" t="str">
        <f t="shared" si="17"/>
        <v/>
      </c>
      <c r="BM19" s="55" t="str">
        <f t="shared" si="17"/>
        <v/>
      </c>
      <c r="BN19" s="55" t="str">
        <f t="shared" si="17"/>
        <v/>
      </c>
      <c r="BO19" s="55" t="str">
        <f t="shared" si="17"/>
        <v/>
      </c>
      <c r="BP19" s="55" t="str">
        <f t="shared" si="17"/>
        <v/>
      </c>
      <c r="BQ19" s="55" t="str">
        <f t="shared" si="17"/>
        <v/>
      </c>
      <c r="BR19" s="55" t="str">
        <f t="shared" si="17"/>
        <v/>
      </c>
      <c r="BS19" s="55" t="str">
        <f t="shared" si="17"/>
        <v/>
      </c>
      <c r="BT19" s="55" t="str">
        <f t="shared" si="17"/>
        <v/>
      </c>
      <c r="BU19" s="55" t="str">
        <f t="shared" si="17"/>
        <v/>
      </c>
      <c r="BV19" s="55" t="str">
        <f t="shared" si="17"/>
        <v/>
      </c>
      <c r="BW19" s="55" t="str">
        <f t="shared" si="17"/>
        <v/>
      </c>
      <c r="BX19" s="55" t="str">
        <f t="shared" si="17"/>
        <v/>
      </c>
      <c r="BY19" s="55" t="str">
        <f t="shared" si="17"/>
        <v/>
      </c>
      <c r="BZ19" s="55" t="str">
        <f t="shared" si="17"/>
        <v/>
      </c>
      <c r="CA19" s="55" t="str">
        <f t="shared" si="17"/>
        <v/>
      </c>
      <c r="CB19" s="55" t="str">
        <f t="shared" si="17"/>
        <v/>
      </c>
      <c r="CC19" s="55" t="str">
        <f t="shared" si="17"/>
        <v/>
      </c>
      <c r="CD19" s="55" t="str">
        <f t="shared" si="17"/>
        <v/>
      </c>
      <c r="CE19" s="55" t="str">
        <f t="shared" si="17"/>
        <v/>
      </c>
      <c r="CF19" s="55" t="str">
        <f t="shared" si="17"/>
        <v/>
      </c>
      <c r="CG19" s="55" t="str">
        <f t="shared" si="17"/>
        <v/>
      </c>
      <c r="CH19" s="55" t="str">
        <f t="shared" si="17"/>
        <v/>
      </c>
      <c r="CI19" s="55" t="str">
        <f t="shared" si="17"/>
        <v/>
      </c>
      <c r="CJ19" s="55" t="str">
        <f t="shared" si="13"/>
        <v/>
      </c>
      <c r="CK19" s="55" t="str">
        <f t="shared" si="13"/>
        <v/>
      </c>
      <c r="CL19" s="55" t="str">
        <f t="shared" si="13"/>
        <v/>
      </c>
      <c r="CM19" s="55" t="str">
        <f t="shared" si="13"/>
        <v/>
      </c>
      <c r="CN19" s="55" t="str">
        <f t="shared" si="13"/>
        <v/>
      </c>
      <c r="CO19" s="55" t="str">
        <f t="shared" si="13"/>
        <v/>
      </c>
      <c r="CP19" s="55" t="str">
        <f t="shared" si="13"/>
        <v/>
      </c>
      <c r="CQ19" s="55" t="str">
        <f t="shared" si="13"/>
        <v/>
      </c>
      <c r="CR19" s="55" t="str">
        <f t="shared" si="13"/>
        <v/>
      </c>
      <c r="CS19" s="55" t="str">
        <f t="shared" si="13"/>
        <v/>
      </c>
      <c r="CT19" s="55" t="str">
        <f t="shared" si="13"/>
        <v/>
      </c>
      <c r="CU19" s="55" t="str">
        <f t="shared" si="13"/>
        <v/>
      </c>
      <c r="CV19" s="55" t="str">
        <f t="shared" si="13"/>
        <v/>
      </c>
      <c r="CW19" s="55" t="str">
        <f t="shared" si="13"/>
        <v/>
      </c>
      <c r="CX19" s="55" t="str">
        <f t="shared" si="13"/>
        <v/>
      </c>
      <c r="CY19" s="55" t="str">
        <f t="shared" si="13"/>
        <v/>
      </c>
      <c r="CZ19" s="55" t="str">
        <f t="shared" si="8"/>
        <v/>
      </c>
      <c r="DA19" s="55" t="str">
        <f t="shared" si="8"/>
        <v/>
      </c>
      <c r="DB19" s="55" t="str">
        <f t="shared" si="8"/>
        <v/>
      </c>
      <c r="DC19" s="55" t="str">
        <f t="shared" si="8"/>
        <v/>
      </c>
      <c r="DD19" s="55" t="str">
        <f t="shared" si="8"/>
        <v/>
      </c>
      <c r="DE19" s="55" t="str">
        <f t="shared" si="8"/>
        <v/>
      </c>
      <c r="DF19" s="55" t="str">
        <f t="shared" si="8"/>
        <v/>
      </c>
      <c r="DG19" s="55" t="str">
        <f t="shared" si="8"/>
        <v/>
      </c>
      <c r="DH19" s="55" t="str">
        <f t="shared" si="8"/>
        <v/>
      </c>
      <c r="DI19" s="55" t="str">
        <f t="shared" si="8"/>
        <v/>
      </c>
      <c r="DJ19" s="55" t="str">
        <f t="shared" si="8"/>
        <v/>
      </c>
      <c r="DK19" s="55" t="str">
        <f t="shared" si="8"/>
        <v/>
      </c>
      <c r="DL19" s="55" t="str">
        <f t="shared" si="8"/>
        <v/>
      </c>
      <c r="DM19" s="55" t="str">
        <f t="shared" si="8"/>
        <v/>
      </c>
      <c r="DN19" s="55" t="str">
        <f t="shared" si="8"/>
        <v/>
      </c>
      <c r="DO19" s="55" t="str">
        <f t="shared" si="8"/>
        <v/>
      </c>
      <c r="DP19" s="55" t="str">
        <f t="shared" si="8"/>
        <v/>
      </c>
      <c r="DQ19" s="55" t="str">
        <f t="shared" si="8"/>
        <v/>
      </c>
      <c r="DR19" s="55" t="str">
        <f t="shared" si="8"/>
        <v/>
      </c>
      <c r="DS19" s="55" t="str">
        <f t="shared" si="8"/>
        <v/>
      </c>
      <c r="DT19" s="110" t="str">
        <f t="shared" si="8"/>
        <v/>
      </c>
      <c r="DU19" s="54"/>
      <c r="DV19" s="25"/>
      <c r="DW19" s="61" t="str">
        <f t="shared" si="18"/>
        <v/>
      </c>
      <c r="DX19" s="50" t="str">
        <f t="shared" si="18"/>
        <v/>
      </c>
      <c r="DY19" s="50" t="str">
        <f t="shared" si="18"/>
        <v/>
      </c>
      <c r="DZ19" s="50" t="str">
        <f t="shared" si="18"/>
        <v/>
      </c>
      <c r="EA19" s="50" t="str">
        <f t="shared" si="18"/>
        <v/>
      </c>
      <c r="EB19" s="50" t="str">
        <f t="shared" si="18"/>
        <v/>
      </c>
      <c r="EC19" s="50" t="str">
        <f t="shared" si="18"/>
        <v/>
      </c>
      <c r="ED19" s="50" t="str">
        <f t="shared" si="18"/>
        <v/>
      </c>
      <c r="EE19" s="50" t="str">
        <f t="shared" si="18"/>
        <v/>
      </c>
      <c r="EF19" s="50" t="str">
        <f t="shared" si="18"/>
        <v/>
      </c>
      <c r="EG19" s="50" t="str">
        <f t="shared" si="18"/>
        <v/>
      </c>
      <c r="EH19" s="50" t="str">
        <f t="shared" si="18"/>
        <v/>
      </c>
      <c r="EI19" s="50" t="str">
        <f t="shared" si="18"/>
        <v/>
      </c>
      <c r="EJ19" s="50" t="str">
        <f t="shared" si="18"/>
        <v/>
      </c>
      <c r="EK19" s="50" t="str">
        <f t="shared" si="18"/>
        <v/>
      </c>
      <c r="EL19" s="50" t="str">
        <f t="shared" si="18"/>
        <v/>
      </c>
      <c r="EM19" s="50" t="str">
        <f t="shared" si="19"/>
        <v/>
      </c>
      <c r="EN19" s="50" t="str">
        <f t="shared" si="19"/>
        <v/>
      </c>
      <c r="EO19" s="50" t="str">
        <f t="shared" si="19"/>
        <v/>
      </c>
      <c r="EP19" s="50" t="str">
        <f t="shared" si="19"/>
        <v/>
      </c>
      <c r="EQ19" s="50" t="str">
        <f t="shared" si="19"/>
        <v/>
      </c>
      <c r="ER19" s="50" t="str">
        <f t="shared" si="19"/>
        <v/>
      </c>
      <c r="ES19" s="50" t="str">
        <f t="shared" si="19"/>
        <v/>
      </c>
      <c r="ET19" s="50" t="str">
        <f t="shared" si="19"/>
        <v/>
      </c>
      <c r="EU19" s="50" t="str">
        <f t="shared" si="19"/>
        <v/>
      </c>
      <c r="EV19" s="50" t="str">
        <f t="shared" si="19"/>
        <v/>
      </c>
      <c r="EW19" s="50" t="str">
        <f t="shared" si="19"/>
        <v/>
      </c>
      <c r="EX19" s="50" t="str">
        <f t="shared" si="19"/>
        <v/>
      </c>
      <c r="EY19" s="50" t="str">
        <f t="shared" si="19"/>
        <v/>
      </c>
      <c r="EZ19" s="50" t="str">
        <f t="shared" si="19"/>
        <v/>
      </c>
      <c r="FA19" s="50" t="str">
        <f t="shared" si="19"/>
        <v/>
      </c>
      <c r="FB19" s="50" t="str">
        <f t="shared" si="19"/>
        <v/>
      </c>
      <c r="FC19" s="50" t="str">
        <f t="shared" si="20"/>
        <v/>
      </c>
      <c r="FD19" s="50" t="str">
        <f t="shared" si="20"/>
        <v/>
      </c>
      <c r="FE19" s="50" t="str">
        <f t="shared" si="20"/>
        <v/>
      </c>
      <c r="FF19" s="50" t="str">
        <f t="shared" si="20"/>
        <v/>
      </c>
      <c r="FG19" s="50" t="str">
        <f t="shared" si="20"/>
        <v/>
      </c>
      <c r="FH19" s="50" t="str">
        <f t="shared" si="20"/>
        <v/>
      </c>
      <c r="FI19" s="50" t="str">
        <f t="shared" si="20"/>
        <v/>
      </c>
      <c r="FJ19" s="50" t="str">
        <f t="shared" si="20"/>
        <v/>
      </c>
      <c r="FK19" s="50" t="str">
        <f t="shared" si="20"/>
        <v/>
      </c>
      <c r="FL19" s="50" t="str">
        <f t="shared" si="20"/>
        <v/>
      </c>
      <c r="FM19" s="50" t="str">
        <f t="shared" si="20"/>
        <v/>
      </c>
      <c r="FN19" s="50" t="str">
        <f t="shared" si="20"/>
        <v/>
      </c>
      <c r="FO19" s="50" t="str">
        <f t="shared" si="20"/>
        <v/>
      </c>
      <c r="FP19" s="50" t="str">
        <f t="shared" si="20"/>
        <v/>
      </c>
      <c r="FQ19" s="50" t="str">
        <f t="shared" si="20"/>
        <v/>
      </c>
      <c r="FR19" s="50" t="str">
        <f t="shared" si="20"/>
        <v/>
      </c>
      <c r="FS19" s="50" t="str">
        <f t="shared" si="20"/>
        <v/>
      </c>
      <c r="FT19" s="50" t="str">
        <f t="shared" si="20"/>
        <v/>
      </c>
      <c r="FU19" s="50" t="str">
        <f t="shared" si="20"/>
        <v/>
      </c>
      <c r="FV19" s="50" t="str">
        <f t="shared" si="20"/>
        <v/>
      </c>
      <c r="FW19" s="50" t="str">
        <f t="shared" si="20"/>
        <v/>
      </c>
      <c r="FX19" s="50" t="str">
        <f t="shared" si="20"/>
        <v/>
      </c>
      <c r="FY19" s="50" t="str">
        <f t="shared" si="20"/>
        <v/>
      </c>
      <c r="FZ19" s="50" t="str">
        <f t="shared" si="20"/>
        <v/>
      </c>
      <c r="GA19" s="50" t="str">
        <f t="shared" si="20"/>
        <v/>
      </c>
      <c r="GB19" s="50" t="str">
        <f t="shared" si="20"/>
        <v/>
      </c>
      <c r="GC19" s="50" t="str">
        <f t="shared" si="20"/>
        <v/>
      </c>
      <c r="GD19" s="50" t="str">
        <f t="shared" si="20"/>
        <v/>
      </c>
      <c r="GE19" s="50" t="str">
        <f t="shared" si="20"/>
        <v/>
      </c>
      <c r="GF19" s="50" t="str">
        <f t="shared" si="20"/>
        <v/>
      </c>
      <c r="GG19" s="50" t="str">
        <f t="shared" si="20"/>
        <v/>
      </c>
      <c r="GH19" s="50" t="str">
        <f t="shared" si="14"/>
        <v/>
      </c>
      <c r="GI19" s="50" t="str">
        <f t="shared" si="14"/>
        <v/>
      </c>
      <c r="GJ19" s="50" t="str">
        <f t="shared" si="14"/>
        <v/>
      </c>
      <c r="GK19" s="50" t="str">
        <f t="shared" si="14"/>
        <v/>
      </c>
      <c r="GL19" s="50" t="str">
        <f t="shared" si="14"/>
        <v/>
      </c>
      <c r="GM19" s="50" t="str">
        <f t="shared" si="14"/>
        <v/>
      </c>
      <c r="GN19" s="50" t="str">
        <f t="shared" si="14"/>
        <v/>
      </c>
      <c r="GO19" s="50" t="str">
        <f t="shared" si="14"/>
        <v/>
      </c>
      <c r="GP19" s="50" t="str">
        <f t="shared" si="14"/>
        <v/>
      </c>
      <c r="GQ19" s="50" t="str">
        <f t="shared" si="14"/>
        <v/>
      </c>
      <c r="GR19" s="50" t="str">
        <f t="shared" si="14"/>
        <v/>
      </c>
      <c r="GS19" s="50" t="str">
        <f t="shared" si="14"/>
        <v/>
      </c>
      <c r="GT19" s="50" t="str">
        <f t="shared" si="14"/>
        <v/>
      </c>
      <c r="GU19" s="50" t="str">
        <f t="shared" si="14"/>
        <v/>
      </c>
      <c r="GV19" s="50" t="str">
        <f t="shared" si="14"/>
        <v/>
      </c>
      <c r="GW19" s="50" t="str">
        <f t="shared" si="14"/>
        <v/>
      </c>
      <c r="GX19" s="50" t="str">
        <f t="shared" si="10"/>
        <v/>
      </c>
      <c r="GY19" s="50" t="str">
        <f t="shared" si="10"/>
        <v/>
      </c>
      <c r="GZ19" s="50" t="str">
        <f t="shared" si="10"/>
        <v/>
      </c>
      <c r="HA19" s="50" t="str">
        <f t="shared" si="10"/>
        <v/>
      </c>
      <c r="HB19" s="50" t="str">
        <f t="shared" si="10"/>
        <v/>
      </c>
      <c r="HC19" s="50" t="str">
        <f t="shared" si="10"/>
        <v/>
      </c>
      <c r="HD19" s="50" t="str">
        <f t="shared" si="10"/>
        <v/>
      </c>
      <c r="HE19" s="50" t="str">
        <f t="shared" si="10"/>
        <v/>
      </c>
      <c r="HF19" s="50" t="str">
        <f t="shared" si="10"/>
        <v/>
      </c>
      <c r="HG19" s="50" t="str">
        <f t="shared" si="10"/>
        <v/>
      </c>
      <c r="HH19" s="50" t="str">
        <f t="shared" si="10"/>
        <v/>
      </c>
      <c r="HI19" s="50" t="str">
        <f t="shared" si="10"/>
        <v/>
      </c>
      <c r="HJ19" s="50" t="str">
        <f t="shared" si="10"/>
        <v/>
      </c>
      <c r="HK19" s="50" t="str">
        <f t="shared" si="10"/>
        <v/>
      </c>
      <c r="HL19" s="50" t="str">
        <f t="shared" si="10"/>
        <v/>
      </c>
      <c r="HM19" s="50" t="str">
        <f t="shared" si="10"/>
        <v/>
      </c>
      <c r="HN19" s="50" t="str">
        <f t="shared" si="10"/>
        <v/>
      </c>
      <c r="HO19" s="50" t="str">
        <f t="shared" si="10"/>
        <v/>
      </c>
      <c r="HP19" s="50" t="str">
        <f t="shared" si="10"/>
        <v/>
      </c>
      <c r="HQ19" s="50" t="str">
        <f t="shared" si="10"/>
        <v/>
      </c>
      <c r="HR19" s="116" t="str">
        <f t="shared" si="10"/>
        <v/>
      </c>
    </row>
    <row r="20" spans="1:226" ht="11.15" customHeight="1" x14ac:dyDescent="0.25">
      <c r="A20" s="26">
        <v>2143</v>
      </c>
      <c r="B20" s="27">
        <v>2</v>
      </c>
      <c r="C20" s="28" t="str">
        <f>IF(A20=0,"",VLOOKUP(A20,[3]CO!$A$3:$F$5327,2,0))</f>
        <v>MARTÍNEZ DUEÑAS JOSÉ ARMANDO</v>
      </c>
      <c r="D20" s="29"/>
      <c r="E20" s="29"/>
      <c r="F20" s="29"/>
      <c r="G20" s="30" t="str">
        <f>IF(A20=0,"",VLOOKUP(A20,[3]CO!$A$3:$F$5327,3,0))</f>
        <v>OF</v>
      </c>
      <c r="H20" s="29"/>
      <c r="I20" s="31"/>
      <c r="J20" s="31"/>
      <c r="K20" s="31"/>
      <c r="L20" s="31"/>
      <c r="M20" s="32" t="str">
        <f t="shared" si="4"/>
        <v/>
      </c>
      <c r="N20" s="32">
        <f>IF(B20=0,"",IF(H20="M",HLOOKUP(B20,$Y$12:$DT$13,2),IF(A20=0,"",VLOOKUP(A20,[3]CO!$A$3:$F$5327,4,0))))</f>
        <v>608.38</v>
      </c>
      <c r="O20" s="32" t="str">
        <f t="shared" si="11"/>
        <v/>
      </c>
      <c r="P20" s="33"/>
      <c r="Q20" s="34" t="str">
        <f t="shared" si="5"/>
        <v/>
      </c>
      <c r="R20" s="35">
        <f t="shared" si="6"/>
        <v>6917.2469559133597</v>
      </c>
      <c r="S20" s="122">
        <v>0.25</v>
      </c>
      <c r="T20" s="53">
        <f>IF(A20=0,"",VLOOKUP(A20,[3]CO!$A$3:$F$5318,5,0))</f>
        <v>0</v>
      </c>
      <c r="U20" s="54">
        <f t="shared" si="12"/>
        <v>0</v>
      </c>
      <c r="V20" s="24"/>
      <c r="W20" s="25"/>
      <c r="X20" s="25"/>
      <c r="Y20" s="64" t="str">
        <f t="shared" si="15"/>
        <v/>
      </c>
      <c r="Z20" s="55">
        <f t="shared" si="15"/>
        <v>0</v>
      </c>
      <c r="AA20" s="55" t="str">
        <f t="shared" si="15"/>
        <v/>
      </c>
      <c r="AB20" s="55" t="str">
        <f t="shared" si="15"/>
        <v/>
      </c>
      <c r="AC20" s="55" t="str">
        <f t="shared" si="15"/>
        <v/>
      </c>
      <c r="AD20" s="55" t="str">
        <f t="shared" si="15"/>
        <v/>
      </c>
      <c r="AE20" s="55" t="str">
        <f t="shared" si="15"/>
        <v/>
      </c>
      <c r="AF20" s="55" t="str">
        <f t="shared" si="15"/>
        <v/>
      </c>
      <c r="AG20" s="55" t="str">
        <f t="shared" si="15"/>
        <v/>
      </c>
      <c r="AH20" s="55" t="str">
        <f t="shared" si="15"/>
        <v/>
      </c>
      <c r="AI20" s="55" t="str">
        <f t="shared" si="15"/>
        <v/>
      </c>
      <c r="AJ20" s="55" t="str">
        <f t="shared" si="15"/>
        <v/>
      </c>
      <c r="AK20" s="55" t="str">
        <f t="shared" si="15"/>
        <v/>
      </c>
      <c r="AL20" s="55" t="str">
        <f t="shared" si="15"/>
        <v/>
      </c>
      <c r="AM20" s="55" t="str">
        <f t="shared" si="15"/>
        <v/>
      </c>
      <c r="AN20" s="55" t="str">
        <f t="shared" si="15"/>
        <v/>
      </c>
      <c r="AO20" s="55" t="str">
        <f t="shared" si="16"/>
        <v/>
      </c>
      <c r="AP20" s="55" t="str">
        <f t="shared" si="16"/>
        <v/>
      </c>
      <c r="AQ20" s="55" t="str">
        <f t="shared" si="16"/>
        <v/>
      </c>
      <c r="AR20" s="55" t="str">
        <f t="shared" si="16"/>
        <v/>
      </c>
      <c r="AS20" s="55" t="str">
        <f t="shared" si="16"/>
        <v/>
      </c>
      <c r="AT20" s="55" t="str">
        <f t="shared" si="16"/>
        <v/>
      </c>
      <c r="AU20" s="55" t="str">
        <f t="shared" si="16"/>
        <v/>
      </c>
      <c r="AV20" s="55" t="str">
        <f t="shared" si="16"/>
        <v/>
      </c>
      <c r="AW20" s="55" t="str">
        <f t="shared" si="16"/>
        <v/>
      </c>
      <c r="AX20" s="55" t="str">
        <f t="shared" si="16"/>
        <v/>
      </c>
      <c r="AY20" s="55" t="str">
        <f t="shared" si="16"/>
        <v/>
      </c>
      <c r="AZ20" s="55" t="str">
        <f t="shared" si="16"/>
        <v/>
      </c>
      <c r="BA20" s="55" t="str">
        <f t="shared" si="16"/>
        <v/>
      </c>
      <c r="BB20" s="55" t="str">
        <f t="shared" si="16"/>
        <v/>
      </c>
      <c r="BC20" s="55" t="str">
        <f t="shared" si="16"/>
        <v/>
      </c>
      <c r="BD20" s="55" t="str">
        <f t="shared" si="16"/>
        <v/>
      </c>
      <c r="BE20" s="55" t="str">
        <f t="shared" si="17"/>
        <v/>
      </c>
      <c r="BF20" s="55" t="str">
        <f t="shared" si="17"/>
        <v/>
      </c>
      <c r="BG20" s="55" t="str">
        <f t="shared" si="17"/>
        <v/>
      </c>
      <c r="BH20" s="55" t="str">
        <f t="shared" si="17"/>
        <v/>
      </c>
      <c r="BI20" s="55" t="str">
        <f t="shared" si="17"/>
        <v/>
      </c>
      <c r="BJ20" s="55" t="str">
        <f t="shared" si="17"/>
        <v/>
      </c>
      <c r="BK20" s="55" t="str">
        <f t="shared" si="17"/>
        <v/>
      </c>
      <c r="BL20" s="55" t="str">
        <f t="shared" si="17"/>
        <v/>
      </c>
      <c r="BM20" s="55" t="str">
        <f t="shared" si="17"/>
        <v/>
      </c>
      <c r="BN20" s="55" t="str">
        <f t="shared" si="17"/>
        <v/>
      </c>
      <c r="BO20" s="55" t="str">
        <f t="shared" si="17"/>
        <v/>
      </c>
      <c r="BP20" s="55" t="str">
        <f t="shared" si="17"/>
        <v/>
      </c>
      <c r="BQ20" s="55" t="str">
        <f t="shared" si="17"/>
        <v/>
      </c>
      <c r="BR20" s="55" t="str">
        <f t="shared" si="17"/>
        <v/>
      </c>
      <c r="BS20" s="55" t="str">
        <f t="shared" si="17"/>
        <v/>
      </c>
      <c r="BT20" s="55" t="str">
        <f t="shared" si="17"/>
        <v/>
      </c>
      <c r="BU20" s="55" t="str">
        <f t="shared" si="17"/>
        <v/>
      </c>
      <c r="BV20" s="55" t="str">
        <f t="shared" si="17"/>
        <v/>
      </c>
      <c r="BW20" s="55" t="str">
        <f t="shared" si="17"/>
        <v/>
      </c>
      <c r="BX20" s="55" t="str">
        <f t="shared" si="17"/>
        <v/>
      </c>
      <c r="BY20" s="55" t="str">
        <f t="shared" si="17"/>
        <v/>
      </c>
      <c r="BZ20" s="55" t="str">
        <f t="shared" si="17"/>
        <v/>
      </c>
      <c r="CA20" s="55" t="str">
        <f t="shared" si="17"/>
        <v/>
      </c>
      <c r="CB20" s="55" t="str">
        <f t="shared" si="17"/>
        <v/>
      </c>
      <c r="CC20" s="55" t="str">
        <f t="shared" si="17"/>
        <v/>
      </c>
      <c r="CD20" s="55" t="str">
        <f t="shared" si="17"/>
        <v/>
      </c>
      <c r="CE20" s="55" t="str">
        <f t="shared" si="17"/>
        <v/>
      </c>
      <c r="CF20" s="55" t="str">
        <f t="shared" si="17"/>
        <v/>
      </c>
      <c r="CG20" s="55" t="str">
        <f t="shared" si="17"/>
        <v/>
      </c>
      <c r="CH20" s="55" t="str">
        <f t="shared" si="17"/>
        <v/>
      </c>
      <c r="CI20" s="55" t="str">
        <f t="shared" si="17"/>
        <v/>
      </c>
      <c r="CJ20" s="55" t="str">
        <f t="shared" si="13"/>
        <v/>
      </c>
      <c r="CK20" s="55" t="str">
        <f t="shared" si="13"/>
        <v/>
      </c>
      <c r="CL20" s="55" t="str">
        <f t="shared" si="13"/>
        <v/>
      </c>
      <c r="CM20" s="55" t="str">
        <f t="shared" si="13"/>
        <v/>
      </c>
      <c r="CN20" s="55" t="str">
        <f t="shared" si="13"/>
        <v/>
      </c>
      <c r="CO20" s="55" t="str">
        <f t="shared" si="13"/>
        <v/>
      </c>
      <c r="CP20" s="55" t="str">
        <f t="shared" si="13"/>
        <v/>
      </c>
      <c r="CQ20" s="55" t="str">
        <f t="shared" si="13"/>
        <v/>
      </c>
      <c r="CR20" s="55" t="str">
        <f t="shared" si="13"/>
        <v/>
      </c>
      <c r="CS20" s="55" t="str">
        <f t="shared" si="13"/>
        <v/>
      </c>
      <c r="CT20" s="55" t="str">
        <f t="shared" si="13"/>
        <v/>
      </c>
      <c r="CU20" s="55" t="str">
        <f t="shared" si="13"/>
        <v/>
      </c>
      <c r="CV20" s="55" t="str">
        <f t="shared" si="13"/>
        <v/>
      </c>
      <c r="CW20" s="55" t="str">
        <f t="shared" si="13"/>
        <v/>
      </c>
      <c r="CX20" s="55" t="str">
        <f t="shared" si="13"/>
        <v/>
      </c>
      <c r="CY20" s="55" t="str">
        <f t="shared" si="13"/>
        <v/>
      </c>
      <c r="CZ20" s="55" t="str">
        <f t="shared" si="8"/>
        <v/>
      </c>
      <c r="DA20" s="55" t="str">
        <f t="shared" si="8"/>
        <v/>
      </c>
      <c r="DB20" s="55" t="str">
        <f t="shared" si="8"/>
        <v/>
      </c>
      <c r="DC20" s="55" t="str">
        <f t="shared" si="8"/>
        <v/>
      </c>
      <c r="DD20" s="55" t="str">
        <f t="shared" si="8"/>
        <v/>
      </c>
      <c r="DE20" s="55" t="str">
        <f t="shared" si="8"/>
        <v/>
      </c>
      <c r="DF20" s="55" t="str">
        <f t="shared" si="8"/>
        <v/>
      </c>
      <c r="DG20" s="55" t="str">
        <f t="shared" si="8"/>
        <v/>
      </c>
      <c r="DH20" s="55" t="str">
        <f t="shared" si="8"/>
        <v/>
      </c>
      <c r="DI20" s="55" t="str">
        <f t="shared" si="8"/>
        <v/>
      </c>
      <c r="DJ20" s="55" t="str">
        <f t="shared" si="8"/>
        <v/>
      </c>
      <c r="DK20" s="55" t="str">
        <f t="shared" si="8"/>
        <v/>
      </c>
      <c r="DL20" s="55" t="str">
        <f t="shared" si="8"/>
        <v/>
      </c>
      <c r="DM20" s="55" t="str">
        <f t="shared" si="8"/>
        <v/>
      </c>
      <c r="DN20" s="55" t="str">
        <f t="shared" si="8"/>
        <v/>
      </c>
      <c r="DO20" s="55" t="str">
        <f t="shared" si="8"/>
        <v/>
      </c>
      <c r="DP20" s="55" t="str">
        <f t="shared" si="8"/>
        <v/>
      </c>
      <c r="DQ20" s="55" t="str">
        <f t="shared" si="8"/>
        <v/>
      </c>
      <c r="DR20" s="55" t="str">
        <f t="shared" si="8"/>
        <v/>
      </c>
      <c r="DS20" s="55" t="str">
        <f t="shared" si="8"/>
        <v/>
      </c>
      <c r="DT20" s="110" t="str">
        <f t="shared" si="8"/>
        <v/>
      </c>
      <c r="DU20" s="54"/>
      <c r="DV20" s="25"/>
      <c r="DW20" s="61" t="str">
        <f t="shared" si="18"/>
        <v/>
      </c>
      <c r="DX20" s="50" t="str">
        <f t="shared" si="18"/>
        <v/>
      </c>
      <c r="DY20" s="50" t="str">
        <f t="shared" si="18"/>
        <v/>
      </c>
      <c r="DZ20" s="50" t="str">
        <f t="shared" si="18"/>
        <v/>
      </c>
      <c r="EA20" s="50" t="str">
        <f t="shared" si="18"/>
        <v/>
      </c>
      <c r="EB20" s="50" t="str">
        <f t="shared" si="18"/>
        <v/>
      </c>
      <c r="EC20" s="50" t="str">
        <f t="shared" si="18"/>
        <v/>
      </c>
      <c r="ED20" s="50" t="str">
        <f t="shared" si="18"/>
        <v/>
      </c>
      <c r="EE20" s="50" t="str">
        <f t="shared" si="18"/>
        <v/>
      </c>
      <c r="EF20" s="50" t="str">
        <f t="shared" si="18"/>
        <v/>
      </c>
      <c r="EG20" s="50" t="str">
        <f t="shared" si="18"/>
        <v/>
      </c>
      <c r="EH20" s="50" t="str">
        <f t="shared" si="18"/>
        <v/>
      </c>
      <c r="EI20" s="50" t="str">
        <f t="shared" si="18"/>
        <v/>
      </c>
      <c r="EJ20" s="50" t="str">
        <f t="shared" si="18"/>
        <v/>
      </c>
      <c r="EK20" s="50" t="str">
        <f t="shared" si="18"/>
        <v/>
      </c>
      <c r="EL20" s="50" t="str">
        <f t="shared" si="18"/>
        <v/>
      </c>
      <c r="EM20" s="50" t="str">
        <f t="shared" si="19"/>
        <v/>
      </c>
      <c r="EN20" s="50" t="str">
        <f t="shared" si="19"/>
        <v/>
      </c>
      <c r="EO20" s="50" t="str">
        <f t="shared" si="19"/>
        <v/>
      </c>
      <c r="EP20" s="50" t="str">
        <f t="shared" si="19"/>
        <v/>
      </c>
      <c r="EQ20" s="50" t="str">
        <f t="shared" si="19"/>
        <v/>
      </c>
      <c r="ER20" s="50" t="str">
        <f t="shared" si="19"/>
        <v/>
      </c>
      <c r="ES20" s="50" t="str">
        <f t="shared" si="19"/>
        <v/>
      </c>
      <c r="ET20" s="50" t="str">
        <f t="shared" si="19"/>
        <v/>
      </c>
      <c r="EU20" s="50" t="str">
        <f t="shared" si="19"/>
        <v/>
      </c>
      <c r="EV20" s="50" t="str">
        <f t="shared" si="19"/>
        <v/>
      </c>
      <c r="EW20" s="50" t="str">
        <f t="shared" si="19"/>
        <v/>
      </c>
      <c r="EX20" s="50" t="str">
        <f t="shared" si="19"/>
        <v/>
      </c>
      <c r="EY20" s="50" t="str">
        <f t="shared" si="19"/>
        <v/>
      </c>
      <c r="EZ20" s="50" t="str">
        <f t="shared" si="19"/>
        <v/>
      </c>
      <c r="FA20" s="50" t="str">
        <f t="shared" si="19"/>
        <v/>
      </c>
      <c r="FB20" s="50" t="str">
        <f t="shared" si="19"/>
        <v/>
      </c>
      <c r="FC20" s="50" t="str">
        <f t="shared" si="20"/>
        <v/>
      </c>
      <c r="FD20" s="50" t="str">
        <f t="shared" si="20"/>
        <v/>
      </c>
      <c r="FE20" s="50" t="str">
        <f t="shared" si="20"/>
        <v/>
      </c>
      <c r="FF20" s="50" t="str">
        <f t="shared" si="20"/>
        <v/>
      </c>
      <c r="FG20" s="50" t="str">
        <f t="shared" si="20"/>
        <v/>
      </c>
      <c r="FH20" s="50" t="str">
        <f t="shared" si="20"/>
        <v/>
      </c>
      <c r="FI20" s="50" t="str">
        <f t="shared" si="20"/>
        <v/>
      </c>
      <c r="FJ20" s="50" t="str">
        <f t="shared" si="20"/>
        <v/>
      </c>
      <c r="FK20" s="50" t="str">
        <f t="shared" si="20"/>
        <v/>
      </c>
      <c r="FL20" s="50" t="str">
        <f t="shared" si="20"/>
        <v/>
      </c>
      <c r="FM20" s="50" t="str">
        <f t="shared" si="20"/>
        <v/>
      </c>
      <c r="FN20" s="50" t="str">
        <f t="shared" si="20"/>
        <v/>
      </c>
      <c r="FO20" s="50" t="str">
        <f t="shared" si="20"/>
        <v/>
      </c>
      <c r="FP20" s="50" t="str">
        <f t="shared" si="20"/>
        <v/>
      </c>
      <c r="FQ20" s="50" t="str">
        <f t="shared" si="20"/>
        <v/>
      </c>
      <c r="FR20" s="50" t="str">
        <f t="shared" si="20"/>
        <v/>
      </c>
      <c r="FS20" s="50" t="str">
        <f t="shared" si="20"/>
        <v/>
      </c>
      <c r="FT20" s="50" t="str">
        <f t="shared" si="20"/>
        <v/>
      </c>
      <c r="FU20" s="50" t="str">
        <f t="shared" si="20"/>
        <v/>
      </c>
      <c r="FV20" s="50" t="str">
        <f t="shared" si="20"/>
        <v/>
      </c>
      <c r="FW20" s="50" t="str">
        <f t="shared" si="20"/>
        <v/>
      </c>
      <c r="FX20" s="50" t="str">
        <f t="shared" si="20"/>
        <v/>
      </c>
      <c r="FY20" s="50" t="str">
        <f t="shared" si="20"/>
        <v/>
      </c>
      <c r="FZ20" s="50" t="str">
        <f t="shared" si="20"/>
        <v/>
      </c>
      <c r="GA20" s="50" t="str">
        <f t="shared" si="20"/>
        <v/>
      </c>
      <c r="GB20" s="50" t="str">
        <f t="shared" si="20"/>
        <v/>
      </c>
      <c r="GC20" s="50" t="str">
        <f t="shared" si="20"/>
        <v/>
      </c>
      <c r="GD20" s="50" t="str">
        <f t="shared" si="20"/>
        <v/>
      </c>
      <c r="GE20" s="50" t="str">
        <f t="shared" si="20"/>
        <v/>
      </c>
      <c r="GF20" s="50" t="str">
        <f t="shared" si="20"/>
        <v/>
      </c>
      <c r="GG20" s="50" t="str">
        <f t="shared" si="20"/>
        <v/>
      </c>
      <c r="GH20" s="50" t="str">
        <f t="shared" si="14"/>
        <v/>
      </c>
      <c r="GI20" s="50" t="str">
        <f t="shared" si="14"/>
        <v/>
      </c>
      <c r="GJ20" s="50" t="str">
        <f t="shared" si="14"/>
        <v/>
      </c>
      <c r="GK20" s="50" t="str">
        <f t="shared" si="14"/>
        <v/>
      </c>
      <c r="GL20" s="50" t="str">
        <f t="shared" si="14"/>
        <v/>
      </c>
      <c r="GM20" s="50" t="str">
        <f t="shared" si="14"/>
        <v/>
      </c>
      <c r="GN20" s="50" t="str">
        <f t="shared" si="14"/>
        <v/>
      </c>
      <c r="GO20" s="50" t="str">
        <f t="shared" si="14"/>
        <v/>
      </c>
      <c r="GP20" s="50" t="str">
        <f t="shared" si="14"/>
        <v/>
      </c>
      <c r="GQ20" s="50" t="str">
        <f t="shared" si="14"/>
        <v/>
      </c>
      <c r="GR20" s="50" t="str">
        <f t="shared" si="14"/>
        <v/>
      </c>
      <c r="GS20" s="50" t="str">
        <f t="shared" si="14"/>
        <v/>
      </c>
      <c r="GT20" s="50" t="str">
        <f t="shared" si="14"/>
        <v/>
      </c>
      <c r="GU20" s="50" t="str">
        <f t="shared" si="14"/>
        <v/>
      </c>
      <c r="GV20" s="50" t="str">
        <f t="shared" si="14"/>
        <v/>
      </c>
      <c r="GW20" s="50" t="str">
        <f t="shared" si="14"/>
        <v/>
      </c>
      <c r="GX20" s="50" t="str">
        <f t="shared" si="10"/>
        <v/>
      </c>
      <c r="GY20" s="50" t="str">
        <f t="shared" si="10"/>
        <v/>
      </c>
      <c r="GZ20" s="50" t="str">
        <f t="shared" si="10"/>
        <v/>
      </c>
      <c r="HA20" s="50" t="str">
        <f t="shared" si="10"/>
        <v/>
      </c>
      <c r="HB20" s="50" t="str">
        <f t="shared" si="10"/>
        <v/>
      </c>
      <c r="HC20" s="50" t="str">
        <f t="shared" si="10"/>
        <v/>
      </c>
      <c r="HD20" s="50" t="str">
        <f t="shared" si="10"/>
        <v/>
      </c>
      <c r="HE20" s="50" t="str">
        <f t="shared" si="10"/>
        <v/>
      </c>
      <c r="HF20" s="50" t="str">
        <f t="shared" si="10"/>
        <v/>
      </c>
      <c r="HG20" s="50" t="str">
        <f t="shared" si="10"/>
        <v/>
      </c>
      <c r="HH20" s="50" t="str">
        <f t="shared" si="10"/>
        <v/>
      </c>
      <c r="HI20" s="50" t="str">
        <f t="shared" si="10"/>
        <v/>
      </c>
      <c r="HJ20" s="50" t="str">
        <f t="shared" si="10"/>
        <v/>
      </c>
      <c r="HK20" s="50" t="str">
        <f t="shared" si="10"/>
        <v/>
      </c>
      <c r="HL20" s="50" t="str">
        <f t="shared" si="10"/>
        <v/>
      </c>
      <c r="HM20" s="50" t="str">
        <f t="shared" si="10"/>
        <v/>
      </c>
      <c r="HN20" s="50" t="str">
        <f t="shared" si="10"/>
        <v/>
      </c>
      <c r="HO20" s="50" t="str">
        <f t="shared" si="10"/>
        <v/>
      </c>
      <c r="HP20" s="50" t="str">
        <f t="shared" si="10"/>
        <v/>
      </c>
      <c r="HQ20" s="50" t="str">
        <f t="shared" si="10"/>
        <v/>
      </c>
      <c r="HR20" s="116" t="str">
        <f t="shared" si="10"/>
        <v/>
      </c>
    </row>
    <row r="21" spans="1:226" ht="11.15" customHeight="1" x14ac:dyDescent="0.25">
      <c r="A21" s="26">
        <v>2703</v>
      </c>
      <c r="B21" s="27">
        <v>2</v>
      </c>
      <c r="C21" s="28" t="str">
        <f>IF(A21=0,"",VLOOKUP(A21,[3]CO!$A$3:$F$5327,2,0))</f>
        <v>MARTÍNEZ DUEÑAS FRANCISCO</v>
      </c>
      <c r="D21" s="29"/>
      <c r="E21" s="29"/>
      <c r="F21" s="29"/>
      <c r="G21" s="30" t="str">
        <f>IF(A21=0,"",VLOOKUP(A21,[3]CO!$A$3:$F$5327,3,0))</f>
        <v>OF</v>
      </c>
      <c r="H21" s="29"/>
      <c r="I21" s="31"/>
      <c r="J21" s="31"/>
      <c r="K21" s="31"/>
      <c r="L21" s="31"/>
      <c r="M21" s="32" t="str">
        <f t="shared" si="4"/>
        <v/>
      </c>
      <c r="N21" s="32">
        <f>IF(B21=0,"",IF(H21="M",HLOOKUP(B21,$Y$12:$DT$13,2),IF(A21=0,"",VLOOKUP(A21,[3]CO!$A$3:$F$5327,4,0))))</f>
        <v>608.38</v>
      </c>
      <c r="O21" s="32" t="str">
        <f t="shared" si="11"/>
        <v/>
      </c>
      <c r="P21" s="33"/>
      <c r="Q21" s="34" t="str">
        <f t="shared" si="5"/>
        <v/>
      </c>
      <c r="R21" s="35">
        <f t="shared" si="6"/>
        <v>6917.2469559133597</v>
      </c>
      <c r="S21" s="122">
        <v>0.25</v>
      </c>
      <c r="T21" s="53">
        <f>IF(A21=0,"",VLOOKUP(A21,[3]CO!$A$3:$F$5318,5,0))</f>
        <v>0</v>
      </c>
      <c r="U21" s="54">
        <f t="shared" si="12"/>
        <v>0</v>
      </c>
      <c r="V21" s="24"/>
      <c r="W21" s="25"/>
      <c r="X21" s="25"/>
      <c r="Y21" s="64" t="str">
        <f t="shared" si="15"/>
        <v/>
      </c>
      <c r="Z21" s="55">
        <f t="shared" si="15"/>
        <v>0</v>
      </c>
      <c r="AA21" s="55" t="str">
        <f t="shared" si="15"/>
        <v/>
      </c>
      <c r="AB21" s="55" t="str">
        <f t="shared" si="15"/>
        <v/>
      </c>
      <c r="AC21" s="55" t="str">
        <f t="shared" si="15"/>
        <v/>
      </c>
      <c r="AD21" s="55" t="str">
        <f t="shared" si="15"/>
        <v/>
      </c>
      <c r="AE21" s="55" t="str">
        <f t="shared" si="15"/>
        <v/>
      </c>
      <c r="AF21" s="55" t="str">
        <f t="shared" si="15"/>
        <v/>
      </c>
      <c r="AG21" s="55" t="str">
        <f t="shared" si="15"/>
        <v/>
      </c>
      <c r="AH21" s="55" t="str">
        <f t="shared" si="15"/>
        <v/>
      </c>
      <c r="AI21" s="55" t="str">
        <f t="shared" si="15"/>
        <v/>
      </c>
      <c r="AJ21" s="55" t="str">
        <f t="shared" si="15"/>
        <v/>
      </c>
      <c r="AK21" s="55" t="str">
        <f t="shared" si="15"/>
        <v/>
      </c>
      <c r="AL21" s="55" t="str">
        <f t="shared" si="15"/>
        <v/>
      </c>
      <c r="AM21" s="55" t="str">
        <f t="shared" si="15"/>
        <v/>
      </c>
      <c r="AN21" s="55" t="str">
        <f t="shared" si="15"/>
        <v/>
      </c>
      <c r="AO21" s="55" t="str">
        <f t="shared" si="16"/>
        <v/>
      </c>
      <c r="AP21" s="55" t="str">
        <f t="shared" si="16"/>
        <v/>
      </c>
      <c r="AQ21" s="55" t="str">
        <f t="shared" si="16"/>
        <v/>
      </c>
      <c r="AR21" s="55" t="str">
        <f t="shared" si="16"/>
        <v/>
      </c>
      <c r="AS21" s="55" t="str">
        <f t="shared" si="16"/>
        <v/>
      </c>
      <c r="AT21" s="55" t="str">
        <f t="shared" si="16"/>
        <v/>
      </c>
      <c r="AU21" s="55" t="str">
        <f t="shared" si="16"/>
        <v/>
      </c>
      <c r="AV21" s="55" t="str">
        <f t="shared" si="16"/>
        <v/>
      </c>
      <c r="AW21" s="55" t="str">
        <f t="shared" si="16"/>
        <v/>
      </c>
      <c r="AX21" s="55" t="str">
        <f t="shared" si="16"/>
        <v/>
      </c>
      <c r="AY21" s="55" t="str">
        <f t="shared" si="16"/>
        <v/>
      </c>
      <c r="AZ21" s="55" t="str">
        <f t="shared" si="16"/>
        <v/>
      </c>
      <c r="BA21" s="55" t="str">
        <f t="shared" si="16"/>
        <v/>
      </c>
      <c r="BB21" s="55" t="str">
        <f t="shared" si="16"/>
        <v/>
      </c>
      <c r="BC21" s="55" t="str">
        <f t="shared" si="16"/>
        <v/>
      </c>
      <c r="BD21" s="55" t="str">
        <f t="shared" si="16"/>
        <v/>
      </c>
      <c r="BE21" s="55" t="str">
        <f t="shared" si="17"/>
        <v/>
      </c>
      <c r="BF21" s="55" t="str">
        <f t="shared" si="17"/>
        <v/>
      </c>
      <c r="BG21" s="55" t="str">
        <f t="shared" si="17"/>
        <v/>
      </c>
      <c r="BH21" s="55" t="str">
        <f t="shared" si="17"/>
        <v/>
      </c>
      <c r="BI21" s="55" t="str">
        <f t="shared" si="17"/>
        <v/>
      </c>
      <c r="BJ21" s="55" t="str">
        <f t="shared" si="17"/>
        <v/>
      </c>
      <c r="BK21" s="55" t="str">
        <f t="shared" si="17"/>
        <v/>
      </c>
      <c r="BL21" s="55" t="str">
        <f t="shared" si="17"/>
        <v/>
      </c>
      <c r="BM21" s="55" t="str">
        <f t="shared" si="17"/>
        <v/>
      </c>
      <c r="BN21" s="55" t="str">
        <f t="shared" si="17"/>
        <v/>
      </c>
      <c r="BO21" s="55" t="str">
        <f t="shared" si="17"/>
        <v/>
      </c>
      <c r="BP21" s="55" t="str">
        <f t="shared" si="17"/>
        <v/>
      </c>
      <c r="BQ21" s="55" t="str">
        <f t="shared" si="17"/>
        <v/>
      </c>
      <c r="BR21" s="55" t="str">
        <f t="shared" si="17"/>
        <v/>
      </c>
      <c r="BS21" s="55" t="str">
        <f t="shared" si="17"/>
        <v/>
      </c>
      <c r="BT21" s="55" t="str">
        <f t="shared" si="17"/>
        <v/>
      </c>
      <c r="BU21" s="55" t="str">
        <f t="shared" si="17"/>
        <v/>
      </c>
      <c r="BV21" s="55" t="str">
        <f t="shared" si="17"/>
        <v/>
      </c>
      <c r="BW21" s="55" t="str">
        <f t="shared" si="17"/>
        <v/>
      </c>
      <c r="BX21" s="55" t="str">
        <f t="shared" si="17"/>
        <v/>
      </c>
      <c r="BY21" s="55" t="str">
        <f t="shared" si="17"/>
        <v/>
      </c>
      <c r="BZ21" s="55" t="str">
        <f t="shared" si="17"/>
        <v/>
      </c>
      <c r="CA21" s="55" t="str">
        <f t="shared" si="17"/>
        <v/>
      </c>
      <c r="CB21" s="55" t="str">
        <f t="shared" si="17"/>
        <v/>
      </c>
      <c r="CC21" s="55" t="str">
        <f t="shared" si="17"/>
        <v/>
      </c>
      <c r="CD21" s="55" t="str">
        <f t="shared" si="17"/>
        <v/>
      </c>
      <c r="CE21" s="55" t="str">
        <f t="shared" si="17"/>
        <v/>
      </c>
      <c r="CF21" s="55" t="str">
        <f t="shared" si="17"/>
        <v/>
      </c>
      <c r="CG21" s="55" t="str">
        <f t="shared" si="17"/>
        <v/>
      </c>
      <c r="CH21" s="55" t="str">
        <f t="shared" si="17"/>
        <v/>
      </c>
      <c r="CI21" s="55" t="str">
        <f t="shared" si="17"/>
        <v/>
      </c>
      <c r="CJ21" s="55" t="str">
        <f t="shared" si="13"/>
        <v/>
      </c>
      <c r="CK21" s="55" t="str">
        <f t="shared" si="13"/>
        <v/>
      </c>
      <c r="CL21" s="55" t="str">
        <f t="shared" si="13"/>
        <v/>
      </c>
      <c r="CM21" s="55" t="str">
        <f t="shared" si="13"/>
        <v/>
      </c>
      <c r="CN21" s="55" t="str">
        <f t="shared" si="13"/>
        <v/>
      </c>
      <c r="CO21" s="55" t="str">
        <f t="shared" si="13"/>
        <v/>
      </c>
      <c r="CP21" s="55" t="str">
        <f t="shared" si="13"/>
        <v/>
      </c>
      <c r="CQ21" s="55" t="str">
        <f t="shared" si="13"/>
        <v/>
      </c>
      <c r="CR21" s="55" t="str">
        <f t="shared" si="13"/>
        <v/>
      </c>
      <c r="CS21" s="55" t="str">
        <f t="shared" si="13"/>
        <v/>
      </c>
      <c r="CT21" s="55" t="str">
        <f t="shared" si="13"/>
        <v/>
      </c>
      <c r="CU21" s="55" t="str">
        <f t="shared" si="13"/>
        <v/>
      </c>
      <c r="CV21" s="55" t="str">
        <f t="shared" si="13"/>
        <v/>
      </c>
      <c r="CW21" s="55" t="str">
        <f t="shared" si="13"/>
        <v/>
      </c>
      <c r="CX21" s="55" t="str">
        <f t="shared" si="13"/>
        <v/>
      </c>
      <c r="CY21" s="55" t="str">
        <f t="shared" si="13"/>
        <v/>
      </c>
      <c r="CZ21" s="55" t="str">
        <f t="shared" si="8"/>
        <v/>
      </c>
      <c r="DA21" s="55" t="str">
        <f t="shared" si="8"/>
        <v/>
      </c>
      <c r="DB21" s="55" t="str">
        <f t="shared" si="8"/>
        <v/>
      </c>
      <c r="DC21" s="55" t="str">
        <f t="shared" si="8"/>
        <v/>
      </c>
      <c r="DD21" s="55" t="str">
        <f t="shared" si="8"/>
        <v/>
      </c>
      <c r="DE21" s="55" t="str">
        <f t="shared" si="8"/>
        <v/>
      </c>
      <c r="DF21" s="55" t="str">
        <f t="shared" si="8"/>
        <v/>
      </c>
      <c r="DG21" s="55" t="str">
        <f t="shared" si="8"/>
        <v/>
      </c>
      <c r="DH21" s="55" t="str">
        <f t="shared" si="8"/>
        <v/>
      </c>
      <c r="DI21" s="55" t="str">
        <f t="shared" si="8"/>
        <v/>
      </c>
      <c r="DJ21" s="55" t="str">
        <f t="shared" si="8"/>
        <v/>
      </c>
      <c r="DK21" s="55" t="str">
        <f t="shared" si="8"/>
        <v/>
      </c>
      <c r="DL21" s="55" t="str">
        <f t="shared" si="8"/>
        <v/>
      </c>
      <c r="DM21" s="55" t="str">
        <f t="shared" si="8"/>
        <v/>
      </c>
      <c r="DN21" s="55" t="str">
        <f t="shared" si="8"/>
        <v/>
      </c>
      <c r="DO21" s="55" t="str">
        <f t="shared" si="8"/>
        <v/>
      </c>
      <c r="DP21" s="55" t="str">
        <f t="shared" si="8"/>
        <v/>
      </c>
      <c r="DQ21" s="55" t="str">
        <f t="shared" si="8"/>
        <v/>
      </c>
      <c r="DR21" s="55" t="str">
        <f t="shared" si="8"/>
        <v/>
      </c>
      <c r="DS21" s="55" t="str">
        <f t="shared" si="8"/>
        <v/>
      </c>
      <c r="DT21" s="110" t="str">
        <f t="shared" si="8"/>
        <v/>
      </c>
      <c r="DU21" s="54"/>
      <c r="DV21" s="25"/>
      <c r="DW21" s="61" t="str">
        <f t="shared" si="18"/>
        <v/>
      </c>
      <c r="DX21" s="50" t="str">
        <f t="shared" si="18"/>
        <v/>
      </c>
      <c r="DY21" s="50" t="str">
        <f t="shared" si="18"/>
        <v/>
      </c>
      <c r="DZ21" s="50" t="str">
        <f t="shared" si="18"/>
        <v/>
      </c>
      <c r="EA21" s="50" t="str">
        <f t="shared" si="18"/>
        <v/>
      </c>
      <c r="EB21" s="50" t="str">
        <f t="shared" si="18"/>
        <v/>
      </c>
      <c r="EC21" s="50" t="str">
        <f t="shared" si="18"/>
        <v/>
      </c>
      <c r="ED21" s="50" t="str">
        <f t="shared" si="18"/>
        <v/>
      </c>
      <c r="EE21" s="50" t="str">
        <f t="shared" si="18"/>
        <v/>
      </c>
      <c r="EF21" s="50" t="str">
        <f t="shared" si="18"/>
        <v/>
      </c>
      <c r="EG21" s="50" t="str">
        <f t="shared" si="18"/>
        <v/>
      </c>
      <c r="EH21" s="50" t="str">
        <f t="shared" si="18"/>
        <v/>
      </c>
      <c r="EI21" s="50" t="str">
        <f t="shared" si="18"/>
        <v/>
      </c>
      <c r="EJ21" s="50" t="str">
        <f t="shared" si="18"/>
        <v/>
      </c>
      <c r="EK21" s="50" t="str">
        <f t="shared" si="18"/>
        <v/>
      </c>
      <c r="EL21" s="50" t="str">
        <f t="shared" si="18"/>
        <v/>
      </c>
      <c r="EM21" s="50" t="str">
        <f t="shared" si="19"/>
        <v/>
      </c>
      <c r="EN21" s="50" t="str">
        <f t="shared" si="19"/>
        <v/>
      </c>
      <c r="EO21" s="50" t="str">
        <f t="shared" si="19"/>
        <v/>
      </c>
      <c r="EP21" s="50" t="str">
        <f t="shared" si="19"/>
        <v/>
      </c>
      <c r="EQ21" s="50" t="str">
        <f t="shared" si="19"/>
        <v/>
      </c>
      <c r="ER21" s="50" t="str">
        <f t="shared" si="19"/>
        <v/>
      </c>
      <c r="ES21" s="50" t="str">
        <f t="shared" si="19"/>
        <v/>
      </c>
      <c r="ET21" s="50" t="str">
        <f t="shared" si="19"/>
        <v/>
      </c>
      <c r="EU21" s="50" t="str">
        <f t="shared" si="19"/>
        <v/>
      </c>
      <c r="EV21" s="50" t="str">
        <f t="shared" si="19"/>
        <v/>
      </c>
      <c r="EW21" s="50" t="str">
        <f t="shared" si="19"/>
        <v/>
      </c>
      <c r="EX21" s="50" t="str">
        <f t="shared" si="19"/>
        <v/>
      </c>
      <c r="EY21" s="50" t="str">
        <f t="shared" si="19"/>
        <v/>
      </c>
      <c r="EZ21" s="50" t="str">
        <f t="shared" si="19"/>
        <v/>
      </c>
      <c r="FA21" s="50" t="str">
        <f t="shared" si="19"/>
        <v/>
      </c>
      <c r="FB21" s="50" t="str">
        <f t="shared" si="19"/>
        <v/>
      </c>
      <c r="FC21" s="50" t="str">
        <f t="shared" si="20"/>
        <v/>
      </c>
      <c r="FD21" s="50" t="str">
        <f t="shared" si="20"/>
        <v/>
      </c>
      <c r="FE21" s="50" t="str">
        <f t="shared" si="20"/>
        <v/>
      </c>
      <c r="FF21" s="50" t="str">
        <f t="shared" si="20"/>
        <v/>
      </c>
      <c r="FG21" s="50" t="str">
        <f t="shared" si="20"/>
        <v/>
      </c>
      <c r="FH21" s="50" t="str">
        <f t="shared" si="20"/>
        <v/>
      </c>
      <c r="FI21" s="50" t="str">
        <f t="shared" si="20"/>
        <v/>
      </c>
      <c r="FJ21" s="50" t="str">
        <f t="shared" si="20"/>
        <v/>
      </c>
      <c r="FK21" s="50" t="str">
        <f t="shared" si="20"/>
        <v/>
      </c>
      <c r="FL21" s="50" t="str">
        <f t="shared" si="20"/>
        <v/>
      </c>
      <c r="FM21" s="50" t="str">
        <f t="shared" si="20"/>
        <v/>
      </c>
      <c r="FN21" s="50" t="str">
        <f t="shared" si="20"/>
        <v/>
      </c>
      <c r="FO21" s="50" t="str">
        <f t="shared" si="20"/>
        <v/>
      </c>
      <c r="FP21" s="50" t="str">
        <f t="shared" si="20"/>
        <v/>
      </c>
      <c r="FQ21" s="50" t="str">
        <f t="shared" si="20"/>
        <v/>
      </c>
      <c r="FR21" s="50" t="str">
        <f t="shared" si="20"/>
        <v/>
      </c>
      <c r="FS21" s="50" t="str">
        <f t="shared" si="20"/>
        <v/>
      </c>
      <c r="FT21" s="50" t="str">
        <f t="shared" si="20"/>
        <v/>
      </c>
      <c r="FU21" s="50" t="str">
        <f t="shared" si="20"/>
        <v/>
      </c>
      <c r="FV21" s="50" t="str">
        <f t="shared" si="20"/>
        <v/>
      </c>
      <c r="FW21" s="50" t="str">
        <f t="shared" si="20"/>
        <v/>
      </c>
      <c r="FX21" s="50" t="str">
        <f t="shared" si="20"/>
        <v/>
      </c>
      <c r="FY21" s="50" t="str">
        <f t="shared" si="20"/>
        <v/>
      </c>
      <c r="FZ21" s="50" t="str">
        <f t="shared" si="20"/>
        <v/>
      </c>
      <c r="GA21" s="50" t="str">
        <f t="shared" si="20"/>
        <v/>
      </c>
      <c r="GB21" s="50" t="str">
        <f t="shared" si="20"/>
        <v/>
      </c>
      <c r="GC21" s="50" t="str">
        <f t="shared" si="20"/>
        <v/>
      </c>
      <c r="GD21" s="50" t="str">
        <f t="shared" si="20"/>
        <v/>
      </c>
      <c r="GE21" s="50" t="str">
        <f t="shared" si="20"/>
        <v/>
      </c>
      <c r="GF21" s="50" t="str">
        <f t="shared" si="20"/>
        <v/>
      </c>
      <c r="GG21" s="50" t="str">
        <f t="shared" si="20"/>
        <v/>
      </c>
      <c r="GH21" s="50" t="str">
        <f t="shared" si="14"/>
        <v/>
      </c>
      <c r="GI21" s="50" t="str">
        <f t="shared" si="14"/>
        <v/>
      </c>
      <c r="GJ21" s="50" t="str">
        <f t="shared" si="14"/>
        <v/>
      </c>
      <c r="GK21" s="50" t="str">
        <f t="shared" si="14"/>
        <v/>
      </c>
      <c r="GL21" s="50" t="str">
        <f t="shared" si="14"/>
        <v/>
      </c>
      <c r="GM21" s="50" t="str">
        <f t="shared" si="14"/>
        <v/>
      </c>
      <c r="GN21" s="50" t="str">
        <f t="shared" si="14"/>
        <v/>
      </c>
      <c r="GO21" s="50" t="str">
        <f t="shared" si="14"/>
        <v/>
      </c>
      <c r="GP21" s="50" t="str">
        <f t="shared" si="14"/>
        <v/>
      </c>
      <c r="GQ21" s="50" t="str">
        <f t="shared" si="14"/>
        <v/>
      </c>
      <c r="GR21" s="50" t="str">
        <f t="shared" si="14"/>
        <v/>
      </c>
      <c r="GS21" s="50" t="str">
        <f t="shared" si="14"/>
        <v/>
      </c>
      <c r="GT21" s="50" t="str">
        <f t="shared" si="14"/>
        <v/>
      </c>
      <c r="GU21" s="50" t="str">
        <f t="shared" si="14"/>
        <v/>
      </c>
      <c r="GV21" s="50" t="str">
        <f t="shared" si="14"/>
        <v/>
      </c>
      <c r="GW21" s="50" t="str">
        <f t="shared" si="14"/>
        <v/>
      </c>
      <c r="GX21" s="50" t="str">
        <f t="shared" si="10"/>
        <v/>
      </c>
      <c r="GY21" s="50" t="str">
        <f t="shared" si="10"/>
        <v/>
      </c>
      <c r="GZ21" s="50" t="str">
        <f t="shared" si="10"/>
        <v/>
      </c>
      <c r="HA21" s="50" t="str">
        <f t="shared" si="10"/>
        <v/>
      </c>
      <c r="HB21" s="50" t="str">
        <f t="shared" si="10"/>
        <v/>
      </c>
      <c r="HC21" s="50" t="str">
        <f t="shared" si="10"/>
        <v/>
      </c>
      <c r="HD21" s="50" t="str">
        <f t="shared" si="10"/>
        <v/>
      </c>
      <c r="HE21" s="50" t="str">
        <f t="shared" si="10"/>
        <v/>
      </c>
      <c r="HF21" s="50" t="str">
        <f t="shared" si="10"/>
        <v/>
      </c>
      <c r="HG21" s="50" t="str">
        <f t="shared" si="10"/>
        <v/>
      </c>
      <c r="HH21" s="50" t="str">
        <f t="shared" si="10"/>
        <v/>
      </c>
      <c r="HI21" s="50" t="str">
        <f t="shared" si="10"/>
        <v/>
      </c>
      <c r="HJ21" s="50" t="str">
        <f t="shared" si="10"/>
        <v/>
      </c>
      <c r="HK21" s="50" t="str">
        <f t="shared" si="10"/>
        <v/>
      </c>
      <c r="HL21" s="50" t="str">
        <f t="shared" si="10"/>
        <v/>
      </c>
      <c r="HM21" s="50" t="str">
        <f t="shared" si="10"/>
        <v/>
      </c>
      <c r="HN21" s="50" t="str">
        <f t="shared" si="10"/>
        <v/>
      </c>
      <c r="HO21" s="50" t="str">
        <f t="shared" si="10"/>
        <v/>
      </c>
      <c r="HP21" s="50" t="str">
        <f t="shared" si="10"/>
        <v/>
      </c>
      <c r="HQ21" s="50" t="str">
        <f t="shared" si="10"/>
        <v/>
      </c>
      <c r="HR21" s="116" t="str">
        <f t="shared" si="10"/>
        <v/>
      </c>
    </row>
    <row r="22" spans="1:226" ht="11.15" customHeight="1" x14ac:dyDescent="0.25">
      <c r="A22" s="26">
        <v>2798</v>
      </c>
      <c r="B22" s="27">
        <v>2</v>
      </c>
      <c r="C22" s="28" t="str">
        <f>IF(A22=0,"",VLOOKUP(A22,[3]CO!$A$3:$F$5327,2,0))</f>
        <v>MARTINEZ DUEÑAS JUAN EDUARDO</v>
      </c>
      <c r="D22" s="29"/>
      <c r="E22" s="29"/>
      <c r="F22" s="29"/>
      <c r="G22" s="30" t="str">
        <f>IF(A22=0,"",VLOOKUP(A22,[3]CO!$A$3:$F$5327,3,0))</f>
        <v>OF</v>
      </c>
      <c r="H22" s="29"/>
      <c r="I22" s="31"/>
      <c r="J22" s="31"/>
      <c r="K22" s="31"/>
      <c r="L22" s="31"/>
      <c r="M22" s="32" t="str">
        <f t="shared" si="4"/>
        <v/>
      </c>
      <c r="N22" s="32">
        <f>IF(B22=0,"",IF(H22="M",HLOOKUP(B22,$Y$12:$DT$13,2),IF(A22=0,"",VLOOKUP(A22,[3]CO!$A$3:$F$5327,4,0))))</f>
        <v>608.38</v>
      </c>
      <c r="O22" s="32" t="str">
        <f t="shared" si="11"/>
        <v/>
      </c>
      <c r="P22" s="33"/>
      <c r="Q22" s="34" t="str">
        <f t="shared" si="5"/>
        <v/>
      </c>
      <c r="R22" s="35">
        <f t="shared" si="6"/>
        <v>6917.2469559133597</v>
      </c>
      <c r="S22" s="122">
        <v>0.25</v>
      </c>
      <c r="T22" s="53">
        <f>IF(A22=0,"",VLOOKUP(A22,[3]CO!$A$3:$F$5318,5,0))</f>
        <v>0</v>
      </c>
      <c r="U22" s="54">
        <f t="shared" si="12"/>
        <v>0</v>
      </c>
      <c r="V22" s="24"/>
      <c r="W22" s="25"/>
      <c r="X22" s="25"/>
      <c r="Y22" s="64" t="str">
        <f t="shared" si="15"/>
        <v/>
      </c>
      <c r="Z22" s="55">
        <f t="shared" si="15"/>
        <v>0</v>
      </c>
      <c r="AA22" s="55" t="str">
        <f t="shared" si="15"/>
        <v/>
      </c>
      <c r="AB22" s="55" t="str">
        <f t="shared" si="15"/>
        <v/>
      </c>
      <c r="AC22" s="55" t="str">
        <f t="shared" si="15"/>
        <v/>
      </c>
      <c r="AD22" s="55" t="str">
        <f t="shared" si="15"/>
        <v/>
      </c>
      <c r="AE22" s="55" t="str">
        <f t="shared" si="15"/>
        <v/>
      </c>
      <c r="AF22" s="55" t="str">
        <f t="shared" si="15"/>
        <v/>
      </c>
      <c r="AG22" s="55" t="str">
        <f t="shared" si="15"/>
        <v/>
      </c>
      <c r="AH22" s="55" t="str">
        <f t="shared" si="15"/>
        <v/>
      </c>
      <c r="AI22" s="55" t="str">
        <f t="shared" si="15"/>
        <v/>
      </c>
      <c r="AJ22" s="55" t="str">
        <f t="shared" si="15"/>
        <v/>
      </c>
      <c r="AK22" s="55" t="str">
        <f t="shared" si="15"/>
        <v/>
      </c>
      <c r="AL22" s="55" t="str">
        <f t="shared" si="15"/>
        <v/>
      </c>
      <c r="AM22" s="55" t="str">
        <f t="shared" si="15"/>
        <v/>
      </c>
      <c r="AN22" s="55" t="str">
        <f t="shared" si="15"/>
        <v/>
      </c>
      <c r="AO22" s="55" t="str">
        <f t="shared" si="16"/>
        <v/>
      </c>
      <c r="AP22" s="55" t="str">
        <f t="shared" si="16"/>
        <v/>
      </c>
      <c r="AQ22" s="55" t="str">
        <f t="shared" si="16"/>
        <v/>
      </c>
      <c r="AR22" s="55" t="str">
        <f t="shared" si="16"/>
        <v/>
      </c>
      <c r="AS22" s="55" t="str">
        <f t="shared" si="16"/>
        <v/>
      </c>
      <c r="AT22" s="55" t="str">
        <f t="shared" si="16"/>
        <v/>
      </c>
      <c r="AU22" s="55" t="str">
        <f t="shared" si="16"/>
        <v/>
      </c>
      <c r="AV22" s="55" t="str">
        <f t="shared" si="16"/>
        <v/>
      </c>
      <c r="AW22" s="55" t="str">
        <f t="shared" si="16"/>
        <v/>
      </c>
      <c r="AX22" s="55" t="str">
        <f t="shared" si="16"/>
        <v/>
      </c>
      <c r="AY22" s="55" t="str">
        <f t="shared" si="16"/>
        <v/>
      </c>
      <c r="AZ22" s="55" t="str">
        <f t="shared" si="16"/>
        <v/>
      </c>
      <c r="BA22" s="55" t="str">
        <f t="shared" si="16"/>
        <v/>
      </c>
      <c r="BB22" s="55" t="str">
        <f t="shared" si="16"/>
        <v/>
      </c>
      <c r="BC22" s="55" t="str">
        <f t="shared" si="16"/>
        <v/>
      </c>
      <c r="BD22" s="55" t="str">
        <f t="shared" si="16"/>
        <v/>
      </c>
      <c r="BE22" s="55" t="str">
        <f t="shared" si="17"/>
        <v/>
      </c>
      <c r="BF22" s="55" t="str">
        <f t="shared" si="17"/>
        <v/>
      </c>
      <c r="BG22" s="55" t="str">
        <f t="shared" si="17"/>
        <v/>
      </c>
      <c r="BH22" s="55" t="str">
        <f t="shared" si="17"/>
        <v/>
      </c>
      <c r="BI22" s="55" t="str">
        <f t="shared" si="17"/>
        <v/>
      </c>
      <c r="BJ22" s="55" t="str">
        <f t="shared" si="17"/>
        <v/>
      </c>
      <c r="BK22" s="55" t="str">
        <f t="shared" si="17"/>
        <v/>
      </c>
      <c r="BL22" s="55" t="str">
        <f t="shared" si="17"/>
        <v/>
      </c>
      <c r="BM22" s="55" t="str">
        <f t="shared" si="17"/>
        <v/>
      </c>
      <c r="BN22" s="55" t="str">
        <f t="shared" si="17"/>
        <v/>
      </c>
      <c r="BO22" s="55" t="str">
        <f t="shared" si="17"/>
        <v/>
      </c>
      <c r="BP22" s="55" t="str">
        <f t="shared" si="17"/>
        <v/>
      </c>
      <c r="BQ22" s="55" t="str">
        <f t="shared" si="17"/>
        <v/>
      </c>
      <c r="BR22" s="55" t="str">
        <f t="shared" si="17"/>
        <v/>
      </c>
      <c r="BS22" s="55" t="str">
        <f t="shared" si="17"/>
        <v/>
      </c>
      <c r="BT22" s="55" t="str">
        <f t="shared" si="17"/>
        <v/>
      </c>
      <c r="BU22" s="55" t="str">
        <f t="shared" si="17"/>
        <v/>
      </c>
      <c r="BV22" s="55" t="str">
        <f t="shared" si="17"/>
        <v/>
      </c>
      <c r="BW22" s="55" t="str">
        <f t="shared" si="17"/>
        <v/>
      </c>
      <c r="BX22" s="55" t="str">
        <f t="shared" si="17"/>
        <v/>
      </c>
      <c r="BY22" s="55" t="str">
        <f t="shared" si="17"/>
        <v/>
      </c>
      <c r="BZ22" s="55" t="str">
        <f t="shared" si="17"/>
        <v/>
      </c>
      <c r="CA22" s="55" t="str">
        <f t="shared" si="17"/>
        <v/>
      </c>
      <c r="CB22" s="55" t="str">
        <f t="shared" si="17"/>
        <v/>
      </c>
      <c r="CC22" s="55" t="str">
        <f t="shared" si="17"/>
        <v/>
      </c>
      <c r="CD22" s="55" t="str">
        <f t="shared" si="17"/>
        <v/>
      </c>
      <c r="CE22" s="55" t="str">
        <f t="shared" si="17"/>
        <v/>
      </c>
      <c r="CF22" s="55" t="str">
        <f t="shared" si="17"/>
        <v/>
      </c>
      <c r="CG22" s="55" t="str">
        <f t="shared" si="17"/>
        <v/>
      </c>
      <c r="CH22" s="55" t="str">
        <f t="shared" si="17"/>
        <v/>
      </c>
      <c r="CI22" s="55" t="str">
        <f t="shared" si="17"/>
        <v/>
      </c>
      <c r="CJ22" s="55" t="str">
        <f t="shared" si="13"/>
        <v/>
      </c>
      <c r="CK22" s="55" t="str">
        <f t="shared" si="13"/>
        <v/>
      </c>
      <c r="CL22" s="55" t="str">
        <f t="shared" si="13"/>
        <v/>
      </c>
      <c r="CM22" s="55" t="str">
        <f t="shared" si="13"/>
        <v/>
      </c>
      <c r="CN22" s="55" t="str">
        <f t="shared" si="13"/>
        <v/>
      </c>
      <c r="CO22" s="55" t="str">
        <f t="shared" si="13"/>
        <v/>
      </c>
      <c r="CP22" s="55" t="str">
        <f t="shared" si="13"/>
        <v/>
      </c>
      <c r="CQ22" s="55" t="str">
        <f t="shared" si="13"/>
        <v/>
      </c>
      <c r="CR22" s="55" t="str">
        <f t="shared" si="13"/>
        <v/>
      </c>
      <c r="CS22" s="55" t="str">
        <f t="shared" si="13"/>
        <v/>
      </c>
      <c r="CT22" s="55" t="str">
        <f t="shared" si="13"/>
        <v/>
      </c>
      <c r="CU22" s="55" t="str">
        <f t="shared" si="13"/>
        <v/>
      </c>
      <c r="CV22" s="55" t="str">
        <f t="shared" si="13"/>
        <v/>
      </c>
      <c r="CW22" s="55" t="str">
        <f t="shared" si="13"/>
        <v/>
      </c>
      <c r="CX22" s="55" t="str">
        <f t="shared" si="13"/>
        <v/>
      </c>
      <c r="CY22" s="55" t="str">
        <f t="shared" si="13"/>
        <v/>
      </c>
      <c r="CZ22" s="55" t="str">
        <f t="shared" si="8"/>
        <v/>
      </c>
      <c r="DA22" s="55" t="str">
        <f t="shared" si="8"/>
        <v/>
      </c>
      <c r="DB22" s="55" t="str">
        <f t="shared" si="8"/>
        <v/>
      </c>
      <c r="DC22" s="55" t="str">
        <f t="shared" si="8"/>
        <v/>
      </c>
      <c r="DD22" s="55" t="str">
        <f t="shared" si="8"/>
        <v/>
      </c>
      <c r="DE22" s="55" t="str">
        <f t="shared" si="8"/>
        <v/>
      </c>
      <c r="DF22" s="55" t="str">
        <f t="shared" si="8"/>
        <v/>
      </c>
      <c r="DG22" s="55" t="str">
        <f t="shared" si="8"/>
        <v/>
      </c>
      <c r="DH22" s="55" t="str">
        <f t="shared" si="8"/>
        <v/>
      </c>
      <c r="DI22" s="55" t="str">
        <f t="shared" si="8"/>
        <v/>
      </c>
      <c r="DJ22" s="55" t="str">
        <f t="shared" si="8"/>
        <v/>
      </c>
      <c r="DK22" s="55" t="str">
        <f t="shared" si="8"/>
        <v/>
      </c>
      <c r="DL22" s="55" t="str">
        <f t="shared" si="8"/>
        <v/>
      </c>
      <c r="DM22" s="55" t="str">
        <f t="shared" si="8"/>
        <v/>
      </c>
      <c r="DN22" s="55" t="str">
        <f t="shared" si="8"/>
        <v/>
      </c>
      <c r="DO22" s="55" t="str">
        <f t="shared" si="8"/>
        <v/>
      </c>
      <c r="DP22" s="55" t="str">
        <f t="shared" si="8"/>
        <v/>
      </c>
      <c r="DQ22" s="55" t="str">
        <f t="shared" si="8"/>
        <v/>
      </c>
      <c r="DR22" s="55" t="str">
        <f t="shared" si="8"/>
        <v/>
      </c>
      <c r="DS22" s="55" t="str">
        <f t="shared" si="8"/>
        <v/>
      </c>
      <c r="DT22" s="110" t="str">
        <f t="shared" si="8"/>
        <v/>
      </c>
      <c r="DU22" s="54"/>
      <c r="DV22" s="25"/>
      <c r="DW22" s="61" t="str">
        <f t="shared" si="18"/>
        <v/>
      </c>
      <c r="DX22" s="50" t="str">
        <f t="shared" si="18"/>
        <v/>
      </c>
      <c r="DY22" s="50" t="str">
        <f t="shared" si="18"/>
        <v/>
      </c>
      <c r="DZ22" s="50" t="str">
        <f t="shared" si="18"/>
        <v/>
      </c>
      <c r="EA22" s="50" t="str">
        <f t="shared" si="18"/>
        <v/>
      </c>
      <c r="EB22" s="50" t="str">
        <f t="shared" si="18"/>
        <v/>
      </c>
      <c r="EC22" s="50" t="str">
        <f t="shared" si="18"/>
        <v/>
      </c>
      <c r="ED22" s="50" t="str">
        <f t="shared" si="18"/>
        <v/>
      </c>
      <c r="EE22" s="50" t="str">
        <f t="shared" si="18"/>
        <v/>
      </c>
      <c r="EF22" s="50" t="str">
        <f t="shared" si="18"/>
        <v/>
      </c>
      <c r="EG22" s="50" t="str">
        <f t="shared" si="18"/>
        <v/>
      </c>
      <c r="EH22" s="50" t="str">
        <f t="shared" si="18"/>
        <v/>
      </c>
      <c r="EI22" s="50" t="str">
        <f t="shared" si="18"/>
        <v/>
      </c>
      <c r="EJ22" s="50" t="str">
        <f t="shared" si="18"/>
        <v/>
      </c>
      <c r="EK22" s="50" t="str">
        <f t="shared" si="18"/>
        <v/>
      </c>
      <c r="EL22" s="50" t="str">
        <f t="shared" si="18"/>
        <v/>
      </c>
      <c r="EM22" s="50" t="str">
        <f t="shared" si="19"/>
        <v/>
      </c>
      <c r="EN22" s="50" t="str">
        <f t="shared" si="19"/>
        <v/>
      </c>
      <c r="EO22" s="50" t="str">
        <f t="shared" si="19"/>
        <v/>
      </c>
      <c r="EP22" s="50" t="str">
        <f t="shared" si="19"/>
        <v/>
      </c>
      <c r="EQ22" s="50" t="str">
        <f t="shared" si="19"/>
        <v/>
      </c>
      <c r="ER22" s="50" t="str">
        <f t="shared" si="19"/>
        <v/>
      </c>
      <c r="ES22" s="50" t="str">
        <f t="shared" si="19"/>
        <v/>
      </c>
      <c r="ET22" s="50" t="str">
        <f t="shared" si="19"/>
        <v/>
      </c>
      <c r="EU22" s="50" t="str">
        <f t="shared" si="19"/>
        <v/>
      </c>
      <c r="EV22" s="50" t="str">
        <f t="shared" si="19"/>
        <v/>
      </c>
      <c r="EW22" s="50" t="str">
        <f t="shared" si="19"/>
        <v/>
      </c>
      <c r="EX22" s="50" t="str">
        <f t="shared" si="19"/>
        <v/>
      </c>
      <c r="EY22" s="50" t="str">
        <f t="shared" si="19"/>
        <v/>
      </c>
      <c r="EZ22" s="50" t="str">
        <f t="shared" si="19"/>
        <v/>
      </c>
      <c r="FA22" s="50" t="str">
        <f t="shared" si="19"/>
        <v/>
      </c>
      <c r="FB22" s="50" t="str">
        <f t="shared" si="19"/>
        <v/>
      </c>
      <c r="FC22" s="50" t="str">
        <f t="shared" si="20"/>
        <v/>
      </c>
      <c r="FD22" s="50" t="str">
        <f t="shared" si="20"/>
        <v/>
      </c>
      <c r="FE22" s="50" t="str">
        <f t="shared" si="20"/>
        <v/>
      </c>
      <c r="FF22" s="50" t="str">
        <f t="shared" si="20"/>
        <v/>
      </c>
      <c r="FG22" s="50" t="str">
        <f t="shared" si="20"/>
        <v/>
      </c>
      <c r="FH22" s="50" t="str">
        <f t="shared" si="20"/>
        <v/>
      </c>
      <c r="FI22" s="50" t="str">
        <f t="shared" si="20"/>
        <v/>
      </c>
      <c r="FJ22" s="50" t="str">
        <f t="shared" si="20"/>
        <v/>
      </c>
      <c r="FK22" s="50" t="str">
        <f t="shared" si="20"/>
        <v/>
      </c>
      <c r="FL22" s="50" t="str">
        <f t="shared" si="20"/>
        <v/>
      </c>
      <c r="FM22" s="50" t="str">
        <f t="shared" si="20"/>
        <v/>
      </c>
      <c r="FN22" s="50" t="str">
        <f t="shared" si="20"/>
        <v/>
      </c>
      <c r="FO22" s="50" t="str">
        <f t="shared" si="20"/>
        <v/>
      </c>
      <c r="FP22" s="50" t="str">
        <f t="shared" si="20"/>
        <v/>
      </c>
      <c r="FQ22" s="50" t="str">
        <f t="shared" si="20"/>
        <v/>
      </c>
      <c r="FR22" s="50" t="str">
        <f t="shared" si="20"/>
        <v/>
      </c>
      <c r="FS22" s="50" t="str">
        <f t="shared" si="20"/>
        <v/>
      </c>
      <c r="FT22" s="50" t="str">
        <f t="shared" si="20"/>
        <v/>
      </c>
      <c r="FU22" s="50" t="str">
        <f t="shared" si="20"/>
        <v/>
      </c>
      <c r="FV22" s="50" t="str">
        <f t="shared" si="20"/>
        <v/>
      </c>
      <c r="FW22" s="50" t="str">
        <f t="shared" si="20"/>
        <v/>
      </c>
      <c r="FX22" s="50" t="str">
        <f t="shared" si="20"/>
        <v/>
      </c>
      <c r="FY22" s="50" t="str">
        <f t="shared" si="20"/>
        <v/>
      </c>
      <c r="FZ22" s="50" t="str">
        <f t="shared" si="20"/>
        <v/>
      </c>
      <c r="GA22" s="50" t="str">
        <f t="shared" si="20"/>
        <v/>
      </c>
      <c r="GB22" s="50" t="str">
        <f t="shared" si="20"/>
        <v/>
      </c>
      <c r="GC22" s="50" t="str">
        <f t="shared" si="20"/>
        <v/>
      </c>
      <c r="GD22" s="50" t="str">
        <f t="shared" si="20"/>
        <v/>
      </c>
      <c r="GE22" s="50" t="str">
        <f t="shared" si="20"/>
        <v/>
      </c>
      <c r="GF22" s="50" t="str">
        <f t="shared" si="20"/>
        <v/>
      </c>
      <c r="GG22" s="50" t="str">
        <f t="shared" si="20"/>
        <v/>
      </c>
      <c r="GH22" s="50" t="str">
        <f t="shared" si="14"/>
        <v/>
      </c>
      <c r="GI22" s="50" t="str">
        <f t="shared" si="14"/>
        <v/>
      </c>
      <c r="GJ22" s="50" t="str">
        <f t="shared" si="14"/>
        <v/>
      </c>
      <c r="GK22" s="50" t="str">
        <f t="shared" si="14"/>
        <v/>
      </c>
      <c r="GL22" s="50" t="str">
        <f t="shared" si="14"/>
        <v/>
      </c>
      <c r="GM22" s="50" t="str">
        <f t="shared" si="14"/>
        <v/>
      </c>
      <c r="GN22" s="50" t="str">
        <f t="shared" si="14"/>
        <v/>
      </c>
      <c r="GO22" s="50" t="str">
        <f t="shared" si="14"/>
        <v/>
      </c>
      <c r="GP22" s="50" t="str">
        <f t="shared" si="14"/>
        <v/>
      </c>
      <c r="GQ22" s="50" t="str">
        <f t="shared" si="14"/>
        <v/>
      </c>
      <c r="GR22" s="50" t="str">
        <f t="shared" si="14"/>
        <v/>
      </c>
      <c r="GS22" s="50" t="str">
        <f t="shared" si="14"/>
        <v/>
      </c>
      <c r="GT22" s="50" t="str">
        <f t="shared" si="14"/>
        <v/>
      </c>
      <c r="GU22" s="50" t="str">
        <f t="shared" si="14"/>
        <v/>
      </c>
      <c r="GV22" s="50" t="str">
        <f t="shared" si="14"/>
        <v/>
      </c>
      <c r="GW22" s="50" t="str">
        <f t="shared" si="14"/>
        <v/>
      </c>
      <c r="GX22" s="50" t="str">
        <f t="shared" si="10"/>
        <v/>
      </c>
      <c r="GY22" s="50" t="str">
        <f t="shared" si="10"/>
        <v/>
      </c>
      <c r="GZ22" s="50" t="str">
        <f t="shared" si="10"/>
        <v/>
      </c>
      <c r="HA22" s="50" t="str">
        <f t="shared" si="10"/>
        <v/>
      </c>
      <c r="HB22" s="50" t="str">
        <f t="shared" si="10"/>
        <v/>
      </c>
      <c r="HC22" s="50" t="str">
        <f t="shared" si="10"/>
        <v/>
      </c>
      <c r="HD22" s="50" t="str">
        <f t="shared" si="10"/>
        <v/>
      </c>
      <c r="HE22" s="50" t="str">
        <f t="shared" si="10"/>
        <v/>
      </c>
      <c r="HF22" s="50" t="str">
        <f t="shared" si="10"/>
        <v/>
      </c>
      <c r="HG22" s="50" t="str">
        <f t="shared" si="10"/>
        <v/>
      </c>
      <c r="HH22" s="50" t="str">
        <f t="shared" si="10"/>
        <v/>
      </c>
      <c r="HI22" s="50" t="str">
        <f t="shared" si="10"/>
        <v/>
      </c>
      <c r="HJ22" s="50" t="str">
        <f t="shared" si="10"/>
        <v/>
      </c>
      <c r="HK22" s="50" t="str">
        <f t="shared" si="10"/>
        <v/>
      </c>
      <c r="HL22" s="50" t="str">
        <f t="shared" si="10"/>
        <v/>
      </c>
      <c r="HM22" s="50" t="str">
        <f t="shared" si="10"/>
        <v/>
      </c>
      <c r="HN22" s="50" t="str">
        <f t="shared" si="10"/>
        <v/>
      </c>
      <c r="HO22" s="50" t="str">
        <f t="shared" si="10"/>
        <v/>
      </c>
      <c r="HP22" s="50" t="str">
        <f t="shared" si="10"/>
        <v/>
      </c>
      <c r="HQ22" s="50" t="str">
        <f t="shared" si="10"/>
        <v/>
      </c>
      <c r="HR22" s="116" t="str">
        <f t="shared" si="10"/>
        <v/>
      </c>
    </row>
    <row r="23" spans="1:226" ht="11.15" customHeight="1" x14ac:dyDescent="0.25">
      <c r="A23" s="26">
        <v>4144</v>
      </c>
      <c r="B23" s="27">
        <v>2</v>
      </c>
      <c r="C23" s="28" t="str">
        <f>IF(A23=0,"",VLOOKUP(A23,[3]CO!$A$3:$F$5327,2,0))</f>
        <v>MARTÍNEZ DUEÑAS RIGOBERTO</v>
      </c>
      <c r="D23" s="29"/>
      <c r="E23" s="29"/>
      <c r="F23" s="29"/>
      <c r="G23" s="30" t="str">
        <f>IF(A23=0,"",VLOOKUP(A23,[3]CO!$A$3:$F$5327,3,0))</f>
        <v>OF</v>
      </c>
      <c r="H23" s="29"/>
      <c r="I23" s="31"/>
      <c r="J23" s="31"/>
      <c r="K23" s="31"/>
      <c r="L23" s="31"/>
      <c r="M23" s="32" t="str">
        <f t="shared" si="4"/>
        <v/>
      </c>
      <c r="N23" s="32">
        <f>IF(B23=0,"",IF(H23="M",HLOOKUP(B23,$Y$12:$DT$13,2),IF(A23=0,"",VLOOKUP(A23,[3]CO!$A$3:$F$5327,4,0))))</f>
        <v>608.38</v>
      </c>
      <c r="O23" s="32" t="str">
        <f t="shared" si="11"/>
        <v/>
      </c>
      <c r="P23" s="33"/>
      <c r="Q23" s="34" t="str">
        <f t="shared" si="5"/>
        <v/>
      </c>
      <c r="R23" s="35">
        <f t="shared" si="6"/>
        <v>6917.2469559133597</v>
      </c>
      <c r="S23" s="122">
        <v>0.25</v>
      </c>
      <c r="T23" s="53">
        <f>IF(A23=0,"",VLOOKUP(A23,[3]CO!$A$3:$F$5318,5,0))</f>
        <v>0</v>
      </c>
      <c r="U23" s="54">
        <f t="shared" si="12"/>
        <v>0</v>
      </c>
      <c r="V23" s="24"/>
      <c r="W23" s="25"/>
      <c r="X23" s="25"/>
      <c r="Y23" s="64" t="str">
        <f t="shared" si="15"/>
        <v/>
      </c>
      <c r="Z23" s="55">
        <f t="shared" si="15"/>
        <v>0</v>
      </c>
      <c r="AA23" s="55" t="str">
        <f t="shared" si="15"/>
        <v/>
      </c>
      <c r="AB23" s="55" t="str">
        <f t="shared" si="15"/>
        <v/>
      </c>
      <c r="AC23" s="55" t="str">
        <f t="shared" si="15"/>
        <v/>
      </c>
      <c r="AD23" s="55" t="str">
        <f t="shared" si="15"/>
        <v/>
      </c>
      <c r="AE23" s="55" t="str">
        <f t="shared" si="15"/>
        <v/>
      </c>
      <c r="AF23" s="55" t="str">
        <f t="shared" si="15"/>
        <v/>
      </c>
      <c r="AG23" s="55" t="str">
        <f t="shared" si="15"/>
        <v/>
      </c>
      <c r="AH23" s="55" t="str">
        <f t="shared" si="15"/>
        <v/>
      </c>
      <c r="AI23" s="55" t="str">
        <f t="shared" si="15"/>
        <v/>
      </c>
      <c r="AJ23" s="55" t="str">
        <f t="shared" si="15"/>
        <v/>
      </c>
      <c r="AK23" s="55" t="str">
        <f t="shared" si="15"/>
        <v/>
      </c>
      <c r="AL23" s="55" t="str">
        <f t="shared" si="15"/>
        <v/>
      </c>
      <c r="AM23" s="55" t="str">
        <f t="shared" si="15"/>
        <v/>
      </c>
      <c r="AN23" s="55" t="str">
        <f t="shared" si="15"/>
        <v/>
      </c>
      <c r="AO23" s="55" t="str">
        <f t="shared" si="16"/>
        <v/>
      </c>
      <c r="AP23" s="55" t="str">
        <f t="shared" si="16"/>
        <v/>
      </c>
      <c r="AQ23" s="55" t="str">
        <f t="shared" si="16"/>
        <v/>
      </c>
      <c r="AR23" s="55" t="str">
        <f t="shared" si="16"/>
        <v/>
      </c>
      <c r="AS23" s="55" t="str">
        <f t="shared" si="16"/>
        <v/>
      </c>
      <c r="AT23" s="55" t="str">
        <f t="shared" si="16"/>
        <v/>
      </c>
      <c r="AU23" s="55" t="str">
        <f t="shared" si="16"/>
        <v/>
      </c>
      <c r="AV23" s="55" t="str">
        <f t="shared" si="16"/>
        <v/>
      </c>
      <c r="AW23" s="55" t="str">
        <f t="shared" si="16"/>
        <v/>
      </c>
      <c r="AX23" s="55" t="str">
        <f t="shared" si="16"/>
        <v/>
      </c>
      <c r="AY23" s="55" t="str">
        <f t="shared" si="16"/>
        <v/>
      </c>
      <c r="AZ23" s="55" t="str">
        <f t="shared" si="16"/>
        <v/>
      </c>
      <c r="BA23" s="55" t="str">
        <f t="shared" si="16"/>
        <v/>
      </c>
      <c r="BB23" s="55" t="str">
        <f t="shared" si="16"/>
        <v/>
      </c>
      <c r="BC23" s="55" t="str">
        <f t="shared" si="16"/>
        <v/>
      </c>
      <c r="BD23" s="55" t="str">
        <f t="shared" si="16"/>
        <v/>
      </c>
      <c r="BE23" s="55" t="str">
        <f t="shared" si="17"/>
        <v/>
      </c>
      <c r="BF23" s="55" t="str">
        <f t="shared" si="17"/>
        <v/>
      </c>
      <c r="BG23" s="55" t="str">
        <f t="shared" si="17"/>
        <v/>
      </c>
      <c r="BH23" s="55" t="str">
        <f t="shared" si="17"/>
        <v/>
      </c>
      <c r="BI23" s="55" t="str">
        <f t="shared" si="17"/>
        <v/>
      </c>
      <c r="BJ23" s="55" t="str">
        <f t="shared" si="17"/>
        <v/>
      </c>
      <c r="BK23" s="55" t="str">
        <f t="shared" si="17"/>
        <v/>
      </c>
      <c r="BL23" s="55" t="str">
        <f t="shared" si="17"/>
        <v/>
      </c>
      <c r="BM23" s="55" t="str">
        <f t="shared" si="17"/>
        <v/>
      </c>
      <c r="BN23" s="55" t="str">
        <f t="shared" si="17"/>
        <v/>
      </c>
      <c r="BO23" s="55" t="str">
        <f t="shared" si="17"/>
        <v/>
      </c>
      <c r="BP23" s="55" t="str">
        <f t="shared" si="17"/>
        <v/>
      </c>
      <c r="BQ23" s="55" t="str">
        <f t="shared" si="17"/>
        <v/>
      </c>
      <c r="BR23" s="55" t="str">
        <f t="shared" si="17"/>
        <v/>
      </c>
      <c r="BS23" s="55" t="str">
        <f t="shared" si="17"/>
        <v/>
      </c>
      <c r="BT23" s="55" t="str">
        <f t="shared" si="17"/>
        <v/>
      </c>
      <c r="BU23" s="55" t="str">
        <f t="shared" si="17"/>
        <v/>
      </c>
      <c r="BV23" s="55" t="str">
        <f t="shared" si="17"/>
        <v/>
      </c>
      <c r="BW23" s="55" t="str">
        <f t="shared" si="17"/>
        <v/>
      </c>
      <c r="BX23" s="55" t="str">
        <f t="shared" si="17"/>
        <v/>
      </c>
      <c r="BY23" s="55" t="str">
        <f t="shared" si="17"/>
        <v/>
      </c>
      <c r="BZ23" s="55" t="str">
        <f t="shared" si="17"/>
        <v/>
      </c>
      <c r="CA23" s="55" t="str">
        <f t="shared" si="17"/>
        <v/>
      </c>
      <c r="CB23" s="55" t="str">
        <f t="shared" si="17"/>
        <v/>
      </c>
      <c r="CC23" s="55" t="str">
        <f t="shared" si="17"/>
        <v/>
      </c>
      <c r="CD23" s="55" t="str">
        <f t="shared" si="17"/>
        <v/>
      </c>
      <c r="CE23" s="55" t="str">
        <f t="shared" si="17"/>
        <v/>
      </c>
      <c r="CF23" s="55" t="str">
        <f t="shared" si="17"/>
        <v/>
      </c>
      <c r="CG23" s="55" t="str">
        <f t="shared" si="17"/>
        <v/>
      </c>
      <c r="CH23" s="55" t="str">
        <f t="shared" si="17"/>
        <v/>
      </c>
      <c r="CI23" s="55" t="str">
        <f t="shared" si="17"/>
        <v/>
      </c>
      <c r="CJ23" s="55" t="str">
        <f t="shared" si="13"/>
        <v/>
      </c>
      <c r="CK23" s="55" t="str">
        <f t="shared" si="13"/>
        <v/>
      </c>
      <c r="CL23" s="55" t="str">
        <f t="shared" si="13"/>
        <v/>
      </c>
      <c r="CM23" s="55" t="str">
        <f t="shared" si="13"/>
        <v/>
      </c>
      <c r="CN23" s="55" t="str">
        <f t="shared" si="13"/>
        <v/>
      </c>
      <c r="CO23" s="55" t="str">
        <f t="shared" si="13"/>
        <v/>
      </c>
      <c r="CP23" s="55" t="str">
        <f t="shared" si="13"/>
        <v/>
      </c>
      <c r="CQ23" s="55" t="str">
        <f t="shared" si="13"/>
        <v/>
      </c>
      <c r="CR23" s="55" t="str">
        <f t="shared" si="13"/>
        <v/>
      </c>
      <c r="CS23" s="55" t="str">
        <f t="shared" si="13"/>
        <v/>
      </c>
      <c r="CT23" s="55" t="str">
        <f t="shared" si="13"/>
        <v/>
      </c>
      <c r="CU23" s="55" t="str">
        <f t="shared" si="13"/>
        <v/>
      </c>
      <c r="CV23" s="55" t="str">
        <f t="shared" si="13"/>
        <v/>
      </c>
      <c r="CW23" s="55" t="str">
        <f t="shared" si="13"/>
        <v/>
      </c>
      <c r="CX23" s="55" t="str">
        <f t="shared" si="13"/>
        <v/>
      </c>
      <c r="CY23" s="55" t="str">
        <f t="shared" si="13"/>
        <v/>
      </c>
      <c r="CZ23" s="55" t="str">
        <f t="shared" si="8"/>
        <v/>
      </c>
      <c r="DA23" s="55" t="str">
        <f t="shared" si="8"/>
        <v/>
      </c>
      <c r="DB23" s="55" t="str">
        <f t="shared" si="8"/>
        <v/>
      </c>
      <c r="DC23" s="55" t="str">
        <f t="shared" si="8"/>
        <v/>
      </c>
      <c r="DD23" s="55" t="str">
        <f t="shared" si="8"/>
        <v/>
      </c>
      <c r="DE23" s="55" t="str">
        <f t="shared" si="8"/>
        <v/>
      </c>
      <c r="DF23" s="55" t="str">
        <f t="shared" si="8"/>
        <v/>
      </c>
      <c r="DG23" s="55" t="str">
        <f t="shared" si="8"/>
        <v/>
      </c>
      <c r="DH23" s="55" t="str">
        <f t="shared" si="8"/>
        <v/>
      </c>
      <c r="DI23" s="55" t="str">
        <f t="shared" si="8"/>
        <v/>
      </c>
      <c r="DJ23" s="55" t="str">
        <f t="shared" si="8"/>
        <v/>
      </c>
      <c r="DK23" s="55" t="str">
        <f t="shared" si="8"/>
        <v/>
      </c>
      <c r="DL23" s="55" t="str">
        <f t="shared" si="8"/>
        <v/>
      </c>
      <c r="DM23" s="55" t="str">
        <f t="shared" si="8"/>
        <v/>
      </c>
      <c r="DN23" s="55" t="str">
        <f t="shared" si="8"/>
        <v/>
      </c>
      <c r="DO23" s="55" t="str">
        <f t="shared" si="8"/>
        <v/>
      </c>
      <c r="DP23" s="55" t="str">
        <f t="shared" si="8"/>
        <v/>
      </c>
      <c r="DQ23" s="55" t="str">
        <f t="shared" si="8"/>
        <v/>
      </c>
      <c r="DR23" s="55" t="str">
        <f t="shared" si="8"/>
        <v/>
      </c>
      <c r="DS23" s="55" t="str">
        <f t="shared" si="8"/>
        <v/>
      </c>
      <c r="DT23" s="110" t="str">
        <f t="shared" si="8"/>
        <v/>
      </c>
      <c r="DU23" s="54"/>
      <c r="DV23" s="25"/>
      <c r="DW23" s="61" t="str">
        <f t="shared" si="18"/>
        <v/>
      </c>
      <c r="DX23" s="50" t="str">
        <f t="shared" si="18"/>
        <v/>
      </c>
      <c r="DY23" s="50" t="str">
        <f t="shared" si="18"/>
        <v/>
      </c>
      <c r="DZ23" s="50" t="str">
        <f t="shared" si="18"/>
        <v/>
      </c>
      <c r="EA23" s="50" t="str">
        <f t="shared" si="18"/>
        <v/>
      </c>
      <c r="EB23" s="50" t="str">
        <f t="shared" si="18"/>
        <v/>
      </c>
      <c r="EC23" s="50" t="str">
        <f t="shared" si="18"/>
        <v/>
      </c>
      <c r="ED23" s="50" t="str">
        <f t="shared" si="18"/>
        <v/>
      </c>
      <c r="EE23" s="50" t="str">
        <f t="shared" si="18"/>
        <v/>
      </c>
      <c r="EF23" s="50" t="str">
        <f t="shared" si="18"/>
        <v/>
      </c>
      <c r="EG23" s="50" t="str">
        <f t="shared" si="18"/>
        <v/>
      </c>
      <c r="EH23" s="50" t="str">
        <f t="shared" si="18"/>
        <v/>
      </c>
      <c r="EI23" s="50" t="str">
        <f t="shared" si="18"/>
        <v/>
      </c>
      <c r="EJ23" s="50" t="str">
        <f t="shared" si="18"/>
        <v/>
      </c>
      <c r="EK23" s="50" t="str">
        <f t="shared" si="18"/>
        <v/>
      </c>
      <c r="EL23" s="50" t="str">
        <f t="shared" si="18"/>
        <v/>
      </c>
      <c r="EM23" s="50" t="str">
        <f t="shared" si="19"/>
        <v/>
      </c>
      <c r="EN23" s="50" t="str">
        <f t="shared" si="19"/>
        <v/>
      </c>
      <c r="EO23" s="50" t="str">
        <f t="shared" si="19"/>
        <v/>
      </c>
      <c r="EP23" s="50" t="str">
        <f t="shared" si="19"/>
        <v/>
      </c>
      <c r="EQ23" s="50" t="str">
        <f t="shared" si="19"/>
        <v/>
      </c>
      <c r="ER23" s="50" t="str">
        <f t="shared" si="19"/>
        <v/>
      </c>
      <c r="ES23" s="50" t="str">
        <f t="shared" si="19"/>
        <v/>
      </c>
      <c r="ET23" s="50" t="str">
        <f t="shared" si="19"/>
        <v/>
      </c>
      <c r="EU23" s="50" t="str">
        <f t="shared" si="19"/>
        <v/>
      </c>
      <c r="EV23" s="50" t="str">
        <f t="shared" si="19"/>
        <v/>
      </c>
      <c r="EW23" s="50" t="str">
        <f t="shared" si="19"/>
        <v/>
      </c>
      <c r="EX23" s="50" t="str">
        <f t="shared" si="19"/>
        <v/>
      </c>
      <c r="EY23" s="50" t="str">
        <f t="shared" si="19"/>
        <v/>
      </c>
      <c r="EZ23" s="50" t="str">
        <f t="shared" si="19"/>
        <v/>
      </c>
      <c r="FA23" s="50" t="str">
        <f t="shared" si="19"/>
        <v/>
      </c>
      <c r="FB23" s="50" t="str">
        <f t="shared" si="19"/>
        <v/>
      </c>
      <c r="FC23" s="50" t="str">
        <f t="shared" si="20"/>
        <v/>
      </c>
      <c r="FD23" s="50" t="str">
        <f t="shared" si="20"/>
        <v/>
      </c>
      <c r="FE23" s="50" t="str">
        <f t="shared" si="20"/>
        <v/>
      </c>
      <c r="FF23" s="50" t="str">
        <f t="shared" si="20"/>
        <v/>
      </c>
      <c r="FG23" s="50" t="str">
        <f t="shared" si="20"/>
        <v/>
      </c>
      <c r="FH23" s="50" t="str">
        <f t="shared" si="20"/>
        <v/>
      </c>
      <c r="FI23" s="50" t="str">
        <f t="shared" si="20"/>
        <v/>
      </c>
      <c r="FJ23" s="50" t="str">
        <f t="shared" si="20"/>
        <v/>
      </c>
      <c r="FK23" s="50" t="str">
        <f t="shared" si="20"/>
        <v/>
      </c>
      <c r="FL23" s="50" t="str">
        <f t="shared" si="20"/>
        <v/>
      </c>
      <c r="FM23" s="50" t="str">
        <f t="shared" si="20"/>
        <v/>
      </c>
      <c r="FN23" s="50" t="str">
        <f t="shared" si="20"/>
        <v/>
      </c>
      <c r="FO23" s="50" t="str">
        <f t="shared" si="20"/>
        <v/>
      </c>
      <c r="FP23" s="50" t="str">
        <f t="shared" si="20"/>
        <v/>
      </c>
      <c r="FQ23" s="50" t="str">
        <f t="shared" si="20"/>
        <v/>
      </c>
      <c r="FR23" s="50" t="str">
        <f t="shared" si="20"/>
        <v/>
      </c>
      <c r="FS23" s="50" t="str">
        <f t="shared" si="20"/>
        <v/>
      </c>
      <c r="FT23" s="50" t="str">
        <f t="shared" si="20"/>
        <v/>
      </c>
      <c r="FU23" s="50" t="str">
        <f t="shared" si="20"/>
        <v/>
      </c>
      <c r="FV23" s="50" t="str">
        <f t="shared" si="20"/>
        <v/>
      </c>
      <c r="FW23" s="50" t="str">
        <f t="shared" si="20"/>
        <v/>
      </c>
      <c r="FX23" s="50" t="str">
        <f t="shared" si="20"/>
        <v/>
      </c>
      <c r="FY23" s="50" t="str">
        <f t="shared" si="20"/>
        <v/>
      </c>
      <c r="FZ23" s="50" t="str">
        <f t="shared" si="20"/>
        <v/>
      </c>
      <c r="GA23" s="50" t="str">
        <f t="shared" si="20"/>
        <v/>
      </c>
      <c r="GB23" s="50" t="str">
        <f t="shared" si="20"/>
        <v/>
      </c>
      <c r="GC23" s="50" t="str">
        <f t="shared" si="20"/>
        <v/>
      </c>
      <c r="GD23" s="50" t="str">
        <f t="shared" si="20"/>
        <v/>
      </c>
      <c r="GE23" s="50" t="str">
        <f t="shared" si="20"/>
        <v/>
      </c>
      <c r="GF23" s="50" t="str">
        <f t="shared" si="20"/>
        <v/>
      </c>
      <c r="GG23" s="50" t="str">
        <f t="shared" si="20"/>
        <v/>
      </c>
      <c r="GH23" s="50" t="str">
        <f t="shared" si="14"/>
        <v/>
      </c>
      <c r="GI23" s="50" t="str">
        <f t="shared" si="14"/>
        <v/>
      </c>
      <c r="GJ23" s="50" t="str">
        <f t="shared" si="14"/>
        <v/>
      </c>
      <c r="GK23" s="50" t="str">
        <f t="shared" si="14"/>
        <v/>
      </c>
      <c r="GL23" s="50" t="str">
        <f t="shared" si="14"/>
        <v/>
      </c>
      <c r="GM23" s="50" t="str">
        <f t="shared" si="14"/>
        <v/>
      </c>
      <c r="GN23" s="50" t="str">
        <f t="shared" si="14"/>
        <v/>
      </c>
      <c r="GO23" s="50" t="str">
        <f t="shared" si="14"/>
        <v/>
      </c>
      <c r="GP23" s="50" t="str">
        <f t="shared" si="14"/>
        <v/>
      </c>
      <c r="GQ23" s="50" t="str">
        <f t="shared" si="14"/>
        <v/>
      </c>
      <c r="GR23" s="50" t="str">
        <f t="shared" si="14"/>
        <v/>
      </c>
      <c r="GS23" s="50" t="str">
        <f t="shared" si="14"/>
        <v/>
      </c>
      <c r="GT23" s="50" t="str">
        <f t="shared" si="14"/>
        <v/>
      </c>
      <c r="GU23" s="50" t="str">
        <f t="shared" si="14"/>
        <v/>
      </c>
      <c r="GV23" s="50" t="str">
        <f t="shared" si="14"/>
        <v/>
      </c>
      <c r="GW23" s="50" t="str">
        <f t="shared" si="14"/>
        <v/>
      </c>
      <c r="GX23" s="50" t="str">
        <f t="shared" si="10"/>
        <v/>
      </c>
      <c r="GY23" s="50" t="str">
        <f t="shared" si="10"/>
        <v/>
      </c>
      <c r="GZ23" s="50" t="str">
        <f t="shared" si="10"/>
        <v/>
      </c>
      <c r="HA23" s="50" t="str">
        <f t="shared" si="10"/>
        <v/>
      </c>
      <c r="HB23" s="50" t="str">
        <f t="shared" si="10"/>
        <v/>
      </c>
      <c r="HC23" s="50" t="str">
        <f t="shared" si="10"/>
        <v/>
      </c>
      <c r="HD23" s="50" t="str">
        <f t="shared" si="10"/>
        <v/>
      </c>
      <c r="HE23" s="50" t="str">
        <f t="shared" si="10"/>
        <v/>
      </c>
      <c r="HF23" s="50" t="str">
        <f t="shared" si="10"/>
        <v/>
      </c>
      <c r="HG23" s="50" t="str">
        <f t="shared" si="10"/>
        <v/>
      </c>
      <c r="HH23" s="50" t="str">
        <f t="shared" si="10"/>
        <v/>
      </c>
      <c r="HI23" s="50" t="str">
        <f t="shared" si="10"/>
        <v/>
      </c>
      <c r="HJ23" s="50" t="str">
        <f t="shared" si="10"/>
        <v/>
      </c>
      <c r="HK23" s="50" t="str">
        <f t="shared" si="10"/>
        <v/>
      </c>
      <c r="HL23" s="50" t="str">
        <f t="shared" si="10"/>
        <v/>
      </c>
      <c r="HM23" s="50" t="str">
        <f t="shared" si="10"/>
        <v/>
      </c>
      <c r="HN23" s="50" t="str">
        <f t="shared" si="10"/>
        <v/>
      </c>
      <c r="HO23" s="50" t="str">
        <f t="shared" si="10"/>
        <v/>
      </c>
      <c r="HP23" s="50" t="str">
        <f t="shared" si="10"/>
        <v/>
      </c>
      <c r="HQ23" s="50" t="str">
        <f t="shared" si="10"/>
        <v/>
      </c>
      <c r="HR23" s="116" t="str">
        <f t="shared" si="10"/>
        <v/>
      </c>
    </row>
    <row r="24" spans="1:226" ht="11.15" customHeight="1" x14ac:dyDescent="0.25">
      <c r="A24" s="26"/>
      <c r="B24" s="27"/>
      <c r="C24" s="28" t="str">
        <f>IF(A24=0,"",VLOOKUP(A24,[3]CO!$A$3:$F$5327,2,0))</f>
        <v/>
      </c>
      <c r="D24" s="29" t="s">
        <v>36</v>
      </c>
      <c r="E24" s="29"/>
      <c r="F24" s="29"/>
      <c r="G24" s="30" t="str">
        <f>IF(A24=0,"",VLOOKUP(A24,[3]CO!$A$3:$F$5327,3,0))</f>
        <v/>
      </c>
      <c r="H24" s="29"/>
      <c r="I24" s="31"/>
      <c r="J24" s="31"/>
      <c r="K24" s="31"/>
      <c r="L24" s="31"/>
      <c r="M24" s="32" t="str">
        <f t="shared" si="4"/>
        <v/>
      </c>
      <c r="N24" s="32" t="str">
        <f>IF(B24=0,"",IF(H24="M",HLOOKUP(B24,$Y$12:$DT$13,2),IF(A24=0,"",VLOOKUP(A24,[3]CO!$A$3:$F$5327,4,0))))</f>
        <v/>
      </c>
      <c r="O24" s="32" t="str">
        <f t="shared" si="11"/>
        <v/>
      </c>
      <c r="P24" s="33"/>
      <c r="Q24" s="34" t="str">
        <f t="shared" si="5"/>
        <v/>
      </c>
      <c r="R24" s="35" t="str">
        <f t="shared" si="6"/>
        <v/>
      </c>
      <c r="S24" s="122"/>
      <c r="T24" s="53" t="str">
        <f>IF(A24=0,"",VLOOKUP(A24,[3]CO!$A$3:$F$5318,5,0))</f>
        <v/>
      </c>
      <c r="U24" s="54">
        <f t="shared" si="12"/>
        <v>0</v>
      </c>
      <c r="V24" s="24"/>
      <c r="W24" s="25"/>
      <c r="X24" s="25"/>
      <c r="Y24" s="64" t="str">
        <f t="shared" si="15"/>
        <v/>
      </c>
      <c r="Z24" s="55" t="str">
        <f t="shared" si="15"/>
        <v/>
      </c>
      <c r="AA24" s="55" t="str">
        <f t="shared" si="15"/>
        <v/>
      </c>
      <c r="AB24" s="55" t="str">
        <f t="shared" si="15"/>
        <v/>
      </c>
      <c r="AC24" s="55" t="str">
        <f t="shared" si="15"/>
        <v/>
      </c>
      <c r="AD24" s="55" t="str">
        <f t="shared" si="15"/>
        <v/>
      </c>
      <c r="AE24" s="55" t="str">
        <f t="shared" si="15"/>
        <v/>
      </c>
      <c r="AF24" s="55" t="str">
        <f t="shared" si="15"/>
        <v/>
      </c>
      <c r="AG24" s="55" t="str">
        <f t="shared" si="15"/>
        <v/>
      </c>
      <c r="AH24" s="55" t="str">
        <f t="shared" si="15"/>
        <v/>
      </c>
      <c r="AI24" s="55" t="str">
        <f t="shared" si="15"/>
        <v/>
      </c>
      <c r="AJ24" s="55" t="str">
        <f t="shared" si="15"/>
        <v/>
      </c>
      <c r="AK24" s="55" t="str">
        <f t="shared" si="15"/>
        <v/>
      </c>
      <c r="AL24" s="55" t="str">
        <f t="shared" si="15"/>
        <v/>
      </c>
      <c r="AM24" s="55" t="str">
        <f t="shared" si="15"/>
        <v/>
      </c>
      <c r="AN24" s="55" t="str">
        <f t="shared" si="15"/>
        <v/>
      </c>
      <c r="AO24" s="55" t="str">
        <f t="shared" si="16"/>
        <v/>
      </c>
      <c r="AP24" s="55" t="str">
        <f t="shared" si="16"/>
        <v/>
      </c>
      <c r="AQ24" s="55" t="str">
        <f t="shared" si="16"/>
        <v/>
      </c>
      <c r="AR24" s="55" t="str">
        <f t="shared" si="16"/>
        <v/>
      </c>
      <c r="AS24" s="55" t="str">
        <f t="shared" si="16"/>
        <v/>
      </c>
      <c r="AT24" s="55" t="str">
        <f t="shared" si="16"/>
        <v/>
      </c>
      <c r="AU24" s="55" t="str">
        <f t="shared" si="16"/>
        <v/>
      </c>
      <c r="AV24" s="55" t="str">
        <f t="shared" si="16"/>
        <v/>
      </c>
      <c r="AW24" s="55" t="str">
        <f t="shared" si="16"/>
        <v/>
      </c>
      <c r="AX24" s="55" t="str">
        <f t="shared" si="16"/>
        <v/>
      </c>
      <c r="AY24" s="55" t="str">
        <f t="shared" si="16"/>
        <v/>
      </c>
      <c r="AZ24" s="55" t="str">
        <f t="shared" si="16"/>
        <v/>
      </c>
      <c r="BA24" s="55" t="str">
        <f t="shared" si="16"/>
        <v/>
      </c>
      <c r="BB24" s="55" t="str">
        <f t="shared" si="16"/>
        <v/>
      </c>
      <c r="BC24" s="55" t="str">
        <f t="shared" si="16"/>
        <v/>
      </c>
      <c r="BD24" s="55" t="str">
        <f t="shared" si="16"/>
        <v/>
      </c>
      <c r="BE24" s="55" t="str">
        <f t="shared" si="17"/>
        <v/>
      </c>
      <c r="BF24" s="55" t="str">
        <f t="shared" si="17"/>
        <v/>
      </c>
      <c r="BG24" s="55" t="str">
        <f t="shared" si="17"/>
        <v/>
      </c>
      <c r="BH24" s="55" t="str">
        <f t="shared" si="17"/>
        <v/>
      </c>
      <c r="BI24" s="55" t="str">
        <f t="shared" si="17"/>
        <v/>
      </c>
      <c r="BJ24" s="55" t="str">
        <f t="shared" si="17"/>
        <v/>
      </c>
      <c r="BK24" s="55" t="str">
        <f t="shared" si="17"/>
        <v/>
      </c>
      <c r="BL24" s="55" t="str">
        <f t="shared" si="17"/>
        <v/>
      </c>
      <c r="BM24" s="55" t="str">
        <f t="shared" si="17"/>
        <v/>
      </c>
      <c r="BN24" s="55" t="str">
        <f t="shared" si="17"/>
        <v/>
      </c>
      <c r="BO24" s="55" t="str">
        <f t="shared" si="17"/>
        <v/>
      </c>
      <c r="BP24" s="55" t="str">
        <f t="shared" si="17"/>
        <v/>
      </c>
      <c r="BQ24" s="55" t="str">
        <f t="shared" si="17"/>
        <v/>
      </c>
      <c r="BR24" s="55" t="str">
        <f t="shared" si="17"/>
        <v/>
      </c>
      <c r="BS24" s="55" t="str">
        <f t="shared" si="17"/>
        <v/>
      </c>
      <c r="BT24" s="55" t="str">
        <f t="shared" si="17"/>
        <v/>
      </c>
      <c r="BU24" s="55" t="str">
        <f t="shared" si="17"/>
        <v/>
      </c>
      <c r="BV24" s="55" t="str">
        <f t="shared" si="17"/>
        <v/>
      </c>
      <c r="BW24" s="55" t="str">
        <f t="shared" si="17"/>
        <v/>
      </c>
      <c r="BX24" s="55" t="str">
        <f t="shared" si="17"/>
        <v/>
      </c>
      <c r="BY24" s="55" t="str">
        <f t="shared" si="17"/>
        <v/>
      </c>
      <c r="BZ24" s="55" t="str">
        <f t="shared" si="17"/>
        <v/>
      </c>
      <c r="CA24" s="55" t="str">
        <f t="shared" si="17"/>
        <v/>
      </c>
      <c r="CB24" s="55" t="str">
        <f t="shared" si="17"/>
        <v/>
      </c>
      <c r="CC24" s="55" t="str">
        <f t="shared" si="17"/>
        <v/>
      </c>
      <c r="CD24" s="55" t="str">
        <f t="shared" si="17"/>
        <v/>
      </c>
      <c r="CE24" s="55" t="str">
        <f t="shared" si="17"/>
        <v/>
      </c>
      <c r="CF24" s="55" t="str">
        <f t="shared" si="17"/>
        <v/>
      </c>
      <c r="CG24" s="55" t="str">
        <f t="shared" si="17"/>
        <v/>
      </c>
      <c r="CH24" s="55" t="str">
        <f t="shared" si="17"/>
        <v/>
      </c>
      <c r="CI24" s="55" t="str">
        <f t="shared" si="17"/>
        <v/>
      </c>
      <c r="CJ24" s="55" t="str">
        <f t="shared" si="13"/>
        <v/>
      </c>
      <c r="CK24" s="55" t="str">
        <f t="shared" si="13"/>
        <v/>
      </c>
      <c r="CL24" s="55" t="str">
        <f t="shared" si="13"/>
        <v/>
      </c>
      <c r="CM24" s="55" t="str">
        <f t="shared" si="13"/>
        <v/>
      </c>
      <c r="CN24" s="55" t="str">
        <f t="shared" si="13"/>
        <v/>
      </c>
      <c r="CO24" s="55" t="str">
        <f t="shared" si="13"/>
        <v/>
      </c>
      <c r="CP24" s="55" t="str">
        <f t="shared" si="13"/>
        <v/>
      </c>
      <c r="CQ24" s="55" t="str">
        <f t="shared" si="13"/>
        <v/>
      </c>
      <c r="CR24" s="55" t="str">
        <f t="shared" si="13"/>
        <v/>
      </c>
      <c r="CS24" s="55" t="str">
        <f t="shared" si="13"/>
        <v/>
      </c>
      <c r="CT24" s="55" t="str">
        <f t="shared" si="13"/>
        <v/>
      </c>
      <c r="CU24" s="55" t="str">
        <f t="shared" si="13"/>
        <v/>
      </c>
      <c r="CV24" s="55" t="str">
        <f t="shared" si="13"/>
        <v/>
      </c>
      <c r="CW24" s="55" t="str">
        <f t="shared" si="13"/>
        <v/>
      </c>
      <c r="CX24" s="55" t="str">
        <f t="shared" si="13"/>
        <v/>
      </c>
      <c r="CY24" s="55" t="str">
        <f t="shared" si="13"/>
        <v/>
      </c>
      <c r="CZ24" s="55" t="str">
        <f t="shared" ref="CZ24:DT38" si="21">IF($B24=CZ$12,$U24,"")</f>
        <v/>
      </c>
      <c r="DA24" s="55" t="str">
        <f t="shared" si="21"/>
        <v/>
      </c>
      <c r="DB24" s="55" t="str">
        <f t="shared" si="21"/>
        <v/>
      </c>
      <c r="DC24" s="55" t="str">
        <f t="shared" si="21"/>
        <v/>
      </c>
      <c r="DD24" s="55" t="str">
        <f t="shared" si="21"/>
        <v/>
      </c>
      <c r="DE24" s="55" t="str">
        <f t="shared" si="21"/>
        <v/>
      </c>
      <c r="DF24" s="55" t="str">
        <f t="shared" si="21"/>
        <v/>
      </c>
      <c r="DG24" s="55" t="str">
        <f t="shared" si="21"/>
        <v/>
      </c>
      <c r="DH24" s="55" t="str">
        <f t="shared" si="21"/>
        <v/>
      </c>
      <c r="DI24" s="55" t="str">
        <f t="shared" si="21"/>
        <v/>
      </c>
      <c r="DJ24" s="55" t="str">
        <f t="shared" si="21"/>
        <v/>
      </c>
      <c r="DK24" s="55" t="str">
        <f t="shared" si="21"/>
        <v/>
      </c>
      <c r="DL24" s="55" t="str">
        <f t="shared" si="21"/>
        <v/>
      </c>
      <c r="DM24" s="55" t="str">
        <f t="shared" si="21"/>
        <v/>
      </c>
      <c r="DN24" s="55" t="str">
        <f t="shared" si="21"/>
        <v/>
      </c>
      <c r="DO24" s="55" t="str">
        <f t="shared" si="21"/>
        <v/>
      </c>
      <c r="DP24" s="55" t="str">
        <f t="shared" si="21"/>
        <v/>
      </c>
      <c r="DQ24" s="55" t="str">
        <f t="shared" si="21"/>
        <v/>
      </c>
      <c r="DR24" s="55" t="str">
        <f t="shared" si="21"/>
        <v/>
      </c>
      <c r="DS24" s="55" t="str">
        <f t="shared" si="21"/>
        <v/>
      </c>
      <c r="DT24" s="110" t="str">
        <f t="shared" si="21"/>
        <v/>
      </c>
      <c r="DU24" s="54"/>
      <c r="DV24" s="25"/>
      <c r="DW24" s="61" t="str">
        <f t="shared" si="18"/>
        <v/>
      </c>
      <c r="DX24" s="50" t="str">
        <f t="shared" si="18"/>
        <v/>
      </c>
      <c r="DY24" s="50" t="str">
        <f t="shared" si="18"/>
        <v/>
      </c>
      <c r="DZ24" s="50" t="str">
        <f t="shared" si="18"/>
        <v/>
      </c>
      <c r="EA24" s="50" t="str">
        <f t="shared" si="18"/>
        <v/>
      </c>
      <c r="EB24" s="50" t="str">
        <f t="shared" si="18"/>
        <v/>
      </c>
      <c r="EC24" s="50" t="str">
        <f t="shared" si="18"/>
        <v/>
      </c>
      <c r="ED24" s="50" t="str">
        <f t="shared" si="18"/>
        <v/>
      </c>
      <c r="EE24" s="50" t="str">
        <f t="shared" si="18"/>
        <v/>
      </c>
      <c r="EF24" s="50" t="str">
        <f t="shared" si="18"/>
        <v/>
      </c>
      <c r="EG24" s="50" t="str">
        <f t="shared" si="18"/>
        <v/>
      </c>
      <c r="EH24" s="50" t="str">
        <f t="shared" si="18"/>
        <v/>
      </c>
      <c r="EI24" s="50" t="str">
        <f t="shared" si="18"/>
        <v/>
      </c>
      <c r="EJ24" s="50" t="str">
        <f t="shared" si="18"/>
        <v/>
      </c>
      <c r="EK24" s="50" t="str">
        <f t="shared" si="18"/>
        <v/>
      </c>
      <c r="EL24" s="50" t="str">
        <f t="shared" si="18"/>
        <v/>
      </c>
      <c r="EM24" s="50" t="str">
        <f t="shared" si="19"/>
        <v/>
      </c>
      <c r="EN24" s="50" t="str">
        <f t="shared" si="19"/>
        <v/>
      </c>
      <c r="EO24" s="50" t="str">
        <f t="shared" si="19"/>
        <v/>
      </c>
      <c r="EP24" s="50" t="str">
        <f t="shared" si="19"/>
        <v/>
      </c>
      <c r="EQ24" s="50" t="str">
        <f t="shared" si="19"/>
        <v/>
      </c>
      <c r="ER24" s="50" t="str">
        <f t="shared" si="19"/>
        <v/>
      </c>
      <c r="ES24" s="50" t="str">
        <f t="shared" si="19"/>
        <v/>
      </c>
      <c r="ET24" s="50" t="str">
        <f t="shared" si="19"/>
        <v/>
      </c>
      <c r="EU24" s="50" t="str">
        <f t="shared" si="19"/>
        <v/>
      </c>
      <c r="EV24" s="50" t="str">
        <f t="shared" si="19"/>
        <v/>
      </c>
      <c r="EW24" s="50" t="str">
        <f t="shared" si="19"/>
        <v/>
      </c>
      <c r="EX24" s="50" t="str">
        <f t="shared" si="19"/>
        <v/>
      </c>
      <c r="EY24" s="50" t="str">
        <f t="shared" si="19"/>
        <v/>
      </c>
      <c r="EZ24" s="50" t="str">
        <f t="shared" si="19"/>
        <v/>
      </c>
      <c r="FA24" s="50" t="str">
        <f t="shared" si="19"/>
        <v/>
      </c>
      <c r="FB24" s="50" t="str">
        <f t="shared" si="19"/>
        <v/>
      </c>
      <c r="FC24" s="50" t="str">
        <f t="shared" si="20"/>
        <v/>
      </c>
      <c r="FD24" s="50" t="str">
        <f t="shared" si="20"/>
        <v/>
      </c>
      <c r="FE24" s="50" t="str">
        <f t="shared" si="20"/>
        <v/>
      </c>
      <c r="FF24" s="50" t="str">
        <f t="shared" si="20"/>
        <v/>
      </c>
      <c r="FG24" s="50" t="str">
        <f t="shared" si="20"/>
        <v/>
      </c>
      <c r="FH24" s="50" t="str">
        <f t="shared" si="20"/>
        <v/>
      </c>
      <c r="FI24" s="50" t="str">
        <f t="shared" si="20"/>
        <v/>
      </c>
      <c r="FJ24" s="50" t="str">
        <f t="shared" si="20"/>
        <v/>
      </c>
      <c r="FK24" s="50" t="str">
        <f t="shared" si="20"/>
        <v/>
      </c>
      <c r="FL24" s="50" t="str">
        <f t="shared" si="20"/>
        <v/>
      </c>
      <c r="FM24" s="50" t="str">
        <f t="shared" si="20"/>
        <v/>
      </c>
      <c r="FN24" s="50" t="str">
        <f t="shared" si="20"/>
        <v/>
      </c>
      <c r="FO24" s="50" t="str">
        <f t="shared" si="20"/>
        <v/>
      </c>
      <c r="FP24" s="50" t="str">
        <f t="shared" si="20"/>
        <v/>
      </c>
      <c r="FQ24" s="50" t="str">
        <f t="shared" si="20"/>
        <v/>
      </c>
      <c r="FR24" s="50" t="str">
        <f t="shared" si="20"/>
        <v/>
      </c>
      <c r="FS24" s="50" t="str">
        <f t="shared" si="20"/>
        <v/>
      </c>
      <c r="FT24" s="50" t="str">
        <f t="shared" si="20"/>
        <v/>
      </c>
      <c r="FU24" s="50" t="str">
        <f t="shared" si="20"/>
        <v/>
      </c>
      <c r="FV24" s="50" t="str">
        <f t="shared" si="20"/>
        <v/>
      </c>
      <c r="FW24" s="50" t="str">
        <f t="shared" si="20"/>
        <v/>
      </c>
      <c r="FX24" s="50" t="str">
        <f t="shared" si="20"/>
        <v/>
      </c>
      <c r="FY24" s="50" t="str">
        <f t="shared" si="20"/>
        <v/>
      </c>
      <c r="FZ24" s="50" t="str">
        <f t="shared" si="20"/>
        <v/>
      </c>
      <c r="GA24" s="50" t="str">
        <f t="shared" si="20"/>
        <v/>
      </c>
      <c r="GB24" s="50" t="str">
        <f t="shared" si="20"/>
        <v/>
      </c>
      <c r="GC24" s="50" t="str">
        <f t="shared" si="20"/>
        <v/>
      </c>
      <c r="GD24" s="50" t="str">
        <f t="shared" si="20"/>
        <v/>
      </c>
      <c r="GE24" s="50" t="str">
        <f t="shared" si="20"/>
        <v/>
      </c>
      <c r="GF24" s="50" t="str">
        <f t="shared" si="20"/>
        <v/>
      </c>
      <c r="GG24" s="50" t="str">
        <f t="shared" si="20"/>
        <v/>
      </c>
      <c r="GH24" s="50" t="str">
        <f t="shared" si="14"/>
        <v/>
      </c>
      <c r="GI24" s="50" t="str">
        <f t="shared" si="14"/>
        <v/>
      </c>
      <c r="GJ24" s="50" t="str">
        <f t="shared" si="14"/>
        <v/>
      </c>
      <c r="GK24" s="50" t="str">
        <f t="shared" si="14"/>
        <v/>
      </c>
      <c r="GL24" s="50" t="str">
        <f t="shared" si="14"/>
        <v/>
      </c>
      <c r="GM24" s="50" t="str">
        <f t="shared" si="14"/>
        <v/>
      </c>
      <c r="GN24" s="50" t="str">
        <f t="shared" si="14"/>
        <v/>
      </c>
      <c r="GO24" s="50" t="str">
        <f t="shared" si="14"/>
        <v/>
      </c>
      <c r="GP24" s="50" t="str">
        <f t="shared" si="14"/>
        <v/>
      </c>
      <c r="GQ24" s="50" t="str">
        <f t="shared" si="14"/>
        <v/>
      </c>
      <c r="GR24" s="50" t="str">
        <f t="shared" si="14"/>
        <v/>
      </c>
      <c r="GS24" s="50" t="str">
        <f t="shared" si="14"/>
        <v/>
      </c>
      <c r="GT24" s="50" t="str">
        <f t="shared" si="14"/>
        <v/>
      </c>
      <c r="GU24" s="50" t="str">
        <f t="shared" si="14"/>
        <v/>
      </c>
      <c r="GV24" s="50" t="str">
        <f t="shared" si="14"/>
        <v/>
      </c>
      <c r="GW24" s="50" t="str">
        <f t="shared" si="14"/>
        <v/>
      </c>
      <c r="GX24" s="50" t="str">
        <f t="shared" ref="GX24:HM46" si="22">IF($B24=GX$12,$O24,"")</f>
        <v/>
      </c>
      <c r="GY24" s="50" t="str">
        <f t="shared" si="22"/>
        <v/>
      </c>
      <c r="GZ24" s="50" t="str">
        <f t="shared" si="22"/>
        <v/>
      </c>
      <c r="HA24" s="50" t="str">
        <f t="shared" si="22"/>
        <v/>
      </c>
      <c r="HB24" s="50" t="str">
        <f t="shared" si="22"/>
        <v/>
      </c>
      <c r="HC24" s="50" t="str">
        <f t="shared" si="22"/>
        <v/>
      </c>
      <c r="HD24" s="50" t="str">
        <f t="shared" si="22"/>
        <v/>
      </c>
      <c r="HE24" s="50" t="str">
        <f t="shared" si="22"/>
        <v/>
      </c>
      <c r="HF24" s="50" t="str">
        <f t="shared" si="22"/>
        <v/>
      </c>
      <c r="HG24" s="50" t="str">
        <f t="shared" si="22"/>
        <v/>
      </c>
      <c r="HH24" s="50" t="str">
        <f t="shared" si="22"/>
        <v/>
      </c>
      <c r="HI24" s="50" t="str">
        <f t="shared" si="22"/>
        <v/>
      </c>
      <c r="HJ24" s="50" t="str">
        <f t="shared" si="22"/>
        <v/>
      </c>
      <c r="HK24" s="50" t="str">
        <f t="shared" si="22"/>
        <v/>
      </c>
      <c r="HL24" s="50" t="str">
        <f t="shared" si="22"/>
        <v/>
      </c>
      <c r="HM24" s="50" t="str">
        <f t="shared" si="22"/>
        <v/>
      </c>
      <c r="HN24" s="50" t="str">
        <f t="shared" ref="HN24:HR74" si="23">IF($B24=HN$12,$O24,"")</f>
        <v/>
      </c>
      <c r="HO24" s="50" t="str">
        <f t="shared" si="23"/>
        <v/>
      </c>
      <c r="HP24" s="50" t="str">
        <f t="shared" si="23"/>
        <v/>
      </c>
      <c r="HQ24" s="50" t="str">
        <f t="shared" si="23"/>
        <v/>
      </c>
      <c r="HR24" s="116" t="str">
        <f t="shared" si="23"/>
        <v/>
      </c>
    </row>
    <row r="25" spans="1:226" ht="11.15" customHeight="1" x14ac:dyDescent="0.25">
      <c r="A25" s="26" t="s">
        <v>27</v>
      </c>
      <c r="B25" s="27">
        <v>2</v>
      </c>
      <c r="C25" s="28" t="str">
        <f>IF(A25=0,"",VLOOKUP(A25,[3]CO!$A$3:$F$5327,2,0))</f>
        <v>Excavacion de cepa para drenaje/cimiento</v>
      </c>
      <c r="D25" s="29"/>
      <c r="E25" s="29"/>
      <c r="F25" s="29"/>
      <c r="G25" s="30" t="str">
        <f>IF(A25=0,"",VLOOKUP(A25,[3]CO!$A$3:$F$5327,3,0))</f>
        <v>M3</v>
      </c>
      <c r="H25" s="29"/>
      <c r="I25" s="31">
        <v>6.5</v>
      </c>
      <c r="J25" s="31">
        <v>2.2000000000000002</v>
      </c>
      <c r="K25" s="31">
        <v>1.5</v>
      </c>
      <c r="L25" s="31">
        <v>1</v>
      </c>
      <c r="M25" s="32">
        <f t="shared" si="4"/>
        <v>21.450000000000003</v>
      </c>
      <c r="N25" s="32">
        <f>IF(B25=0,"",IF(H25="M",HLOOKUP(B25,$Y$12:$DT$13,2),IF(A25=0,"",VLOOKUP(A25,[3]CO!$A$3:$F$5327,4,0))))</f>
        <v>179.85875598086128</v>
      </c>
      <c r="O25" s="32">
        <f t="shared" si="11"/>
        <v>3857.9703157894751</v>
      </c>
      <c r="P25" s="33"/>
      <c r="Q25" s="34" t="str">
        <f t="shared" si="5"/>
        <v/>
      </c>
      <c r="R25" s="35" t="str">
        <f t="shared" si="6"/>
        <v/>
      </c>
      <c r="S25" s="122"/>
      <c r="T25" s="53">
        <f>IF(A25=0,"",VLOOKUP(A25,[3]CO!$A$3:$F$5318,5,0))</f>
        <v>0</v>
      </c>
      <c r="U25" s="54">
        <f t="shared" si="12"/>
        <v>0</v>
      </c>
      <c r="V25" s="24"/>
      <c r="W25" s="25"/>
      <c r="X25" s="25"/>
      <c r="Y25" s="64" t="str">
        <f t="shared" si="15"/>
        <v/>
      </c>
      <c r="Z25" s="55">
        <f t="shared" si="15"/>
        <v>0</v>
      </c>
      <c r="AA25" s="55" t="str">
        <f t="shared" si="15"/>
        <v/>
      </c>
      <c r="AB25" s="55" t="str">
        <f t="shared" si="15"/>
        <v/>
      </c>
      <c r="AC25" s="55" t="str">
        <f t="shared" si="15"/>
        <v/>
      </c>
      <c r="AD25" s="55" t="str">
        <f t="shared" si="15"/>
        <v/>
      </c>
      <c r="AE25" s="55" t="str">
        <f t="shared" si="15"/>
        <v/>
      </c>
      <c r="AF25" s="55" t="str">
        <f t="shared" si="15"/>
        <v/>
      </c>
      <c r="AG25" s="55" t="str">
        <f t="shared" si="15"/>
        <v/>
      </c>
      <c r="AH25" s="55" t="str">
        <f t="shared" si="15"/>
        <v/>
      </c>
      <c r="AI25" s="55" t="str">
        <f t="shared" si="15"/>
        <v/>
      </c>
      <c r="AJ25" s="55" t="str">
        <f t="shared" si="15"/>
        <v/>
      </c>
      <c r="AK25" s="55" t="str">
        <f t="shared" si="15"/>
        <v/>
      </c>
      <c r="AL25" s="55" t="str">
        <f t="shared" si="15"/>
        <v/>
      </c>
      <c r="AM25" s="55" t="str">
        <f t="shared" si="15"/>
        <v/>
      </c>
      <c r="AN25" s="55" t="str">
        <f t="shared" si="15"/>
        <v/>
      </c>
      <c r="AO25" s="55" t="str">
        <f t="shared" si="16"/>
        <v/>
      </c>
      <c r="AP25" s="55" t="str">
        <f t="shared" si="16"/>
        <v/>
      </c>
      <c r="AQ25" s="55" t="str">
        <f t="shared" si="16"/>
        <v/>
      </c>
      <c r="AR25" s="55" t="str">
        <f t="shared" si="16"/>
        <v/>
      </c>
      <c r="AS25" s="55" t="str">
        <f t="shared" si="16"/>
        <v/>
      </c>
      <c r="AT25" s="55" t="str">
        <f t="shared" si="16"/>
        <v/>
      </c>
      <c r="AU25" s="55" t="str">
        <f t="shared" si="16"/>
        <v/>
      </c>
      <c r="AV25" s="55" t="str">
        <f t="shared" si="16"/>
        <v/>
      </c>
      <c r="AW25" s="55" t="str">
        <f t="shared" si="16"/>
        <v/>
      </c>
      <c r="AX25" s="55" t="str">
        <f t="shared" si="16"/>
        <v/>
      </c>
      <c r="AY25" s="55" t="str">
        <f t="shared" si="16"/>
        <v/>
      </c>
      <c r="AZ25" s="55" t="str">
        <f t="shared" si="16"/>
        <v/>
      </c>
      <c r="BA25" s="55" t="str">
        <f t="shared" si="16"/>
        <v/>
      </c>
      <c r="BB25" s="55" t="str">
        <f t="shared" si="16"/>
        <v/>
      </c>
      <c r="BC25" s="55" t="str">
        <f t="shared" si="16"/>
        <v/>
      </c>
      <c r="BD25" s="55" t="str">
        <f t="shared" si="16"/>
        <v/>
      </c>
      <c r="BE25" s="55" t="str">
        <f t="shared" si="17"/>
        <v/>
      </c>
      <c r="BF25" s="55" t="str">
        <f t="shared" si="17"/>
        <v/>
      </c>
      <c r="BG25" s="55" t="str">
        <f t="shared" si="17"/>
        <v/>
      </c>
      <c r="BH25" s="55" t="str">
        <f t="shared" si="17"/>
        <v/>
      </c>
      <c r="BI25" s="55" t="str">
        <f t="shared" si="17"/>
        <v/>
      </c>
      <c r="BJ25" s="55" t="str">
        <f t="shared" si="17"/>
        <v/>
      </c>
      <c r="BK25" s="55" t="str">
        <f t="shared" si="17"/>
        <v/>
      </c>
      <c r="BL25" s="55" t="str">
        <f t="shared" si="17"/>
        <v/>
      </c>
      <c r="BM25" s="55" t="str">
        <f t="shared" si="17"/>
        <v/>
      </c>
      <c r="BN25" s="55" t="str">
        <f t="shared" si="17"/>
        <v/>
      </c>
      <c r="BO25" s="55" t="str">
        <f t="shared" si="17"/>
        <v/>
      </c>
      <c r="BP25" s="55" t="str">
        <f t="shared" si="17"/>
        <v/>
      </c>
      <c r="BQ25" s="55" t="str">
        <f t="shared" si="17"/>
        <v/>
      </c>
      <c r="BR25" s="55" t="str">
        <f t="shared" si="17"/>
        <v/>
      </c>
      <c r="BS25" s="55" t="str">
        <f t="shared" si="17"/>
        <v/>
      </c>
      <c r="BT25" s="55" t="str">
        <f t="shared" si="17"/>
        <v/>
      </c>
      <c r="BU25" s="55" t="str">
        <f t="shared" si="17"/>
        <v/>
      </c>
      <c r="BV25" s="55" t="str">
        <f t="shared" si="17"/>
        <v/>
      </c>
      <c r="BW25" s="55" t="str">
        <f t="shared" si="17"/>
        <v/>
      </c>
      <c r="BX25" s="55" t="str">
        <f t="shared" si="17"/>
        <v/>
      </c>
      <c r="BY25" s="55" t="str">
        <f t="shared" si="17"/>
        <v/>
      </c>
      <c r="BZ25" s="55" t="str">
        <f t="shared" si="17"/>
        <v/>
      </c>
      <c r="CA25" s="55" t="str">
        <f t="shared" si="17"/>
        <v/>
      </c>
      <c r="CB25" s="55" t="str">
        <f t="shared" si="17"/>
        <v/>
      </c>
      <c r="CC25" s="55" t="str">
        <f t="shared" si="17"/>
        <v/>
      </c>
      <c r="CD25" s="55" t="str">
        <f t="shared" si="17"/>
        <v/>
      </c>
      <c r="CE25" s="55" t="str">
        <f t="shared" si="17"/>
        <v/>
      </c>
      <c r="CF25" s="55" t="str">
        <f t="shared" si="17"/>
        <v/>
      </c>
      <c r="CG25" s="55" t="str">
        <f t="shared" si="17"/>
        <v/>
      </c>
      <c r="CH25" s="55" t="str">
        <f t="shared" si="17"/>
        <v/>
      </c>
      <c r="CI25" s="55" t="str">
        <f t="shared" si="17"/>
        <v/>
      </c>
      <c r="CJ25" s="55" t="str">
        <f t="shared" si="13"/>
        <v/>
      </c>
      <c r="CK25" s="55" t="str">
        <f t="shared" si="13"/>
        <v/>
      </c>
      <c r="CL25" s="55" t="str">
        <f t="shared" si="13"/>
        <v/>
      </c>
      <c r="CM25" s="55" t="str">
        <f t="shared" si="13"/>
        <v/>
      </c>
      <c r="CN25" s="55" t="str">
        <f t="shared" si="13"/>
        <v/>
      </c>
      <c r="CO25" s="55" t="str">
        <f t="shared" si="13"/>
        <v/>
      </c>
      <c r="CP25" s="55" t="str">
        <f t="shared" si="13"/>
        <v/>
      </c>
      <c r="CQ25" s="55" t="str">
        <f t="shared" si="13"/>
        <v/>
      </c>
      <c r="CR25" s="55" t="str">
        <f t="shared" si="13"/>
        <v/>
      </c>
      <c r="CS25" s="55" t="str">
        <f t="shared" si="13"/>
        <v/>
      </c>
      <c r="CT25" s="55" t="str">
        <f t="shared" si="13"/>
        <v/>
      </c>
      <c r="CU25" s="55" t="str">
        <f t="shared" si="13"/>
        <v/>
      </c>
      <c r="CV25" s="55" t="str">
        <f t="shared" si="13"/>
        <v/>
      </c>
      <c r="CW25" s="55" t="str">
        <f t="shared" si="13"/>
        <v/>
      </c>
      <c r="CX25" s="55" t="str">
        <f t="shared" si="13"/>
        <v/>
      </c>
      <c r="CY25" s="55" t="str">
        <f t="shared" si="13"/>
        <v/>
      </c>
      <c r="CZ25" s="55" t="str">
        <f t="shared" si="21"/>
        <v/>
      </c>
      <c r="DA25" s="55" t="str">
        <f t="shared" si="21"/>
        <v/>
      </c>
      <c r="DB25" s="55" t="str">
        <f t="shared" si="21"/>
        <v/>
      </c>
      <c r="DC25" s="55" t="str">
        <f t="shared" si="21"/>
        <v/>
      </c>
      <c r="DD25" s="55" t="str">
        <f t="shared" si="21"/>
        <v/>
      </c>
      <c r="DE25" s="55" t="str">
        <f t="shared" si="21"/>
        <v/>
      </c>
      <c r="DF25" s="55" t="str">
        <f t="shared" si="21"/>
        <v/>
      </c>
      <c r="DG25" s="55" t="str">
        <f t="shared" si="21"/>
        <v/>
      </c>
      <c r="DH25" s="55" t="str">
        <f t="shared" si="21"/>
        <v/>
      </c>
      <c r="DI25" s="55" t="str">
        <f t="shared" si="21"/>
        <v/>
      </c>
      <c r="DJ25" s="55" t="str">
        <f t="shared" si="21"/>
        <v/>
      </c>
      <c r="DK25" s="55" t="str">
        <f t="shared" si="21"/>
        <v/>
      </c>
      <c r="DL25" s="55" t="str">
        <f t="shared" si="21"/>
        <v/>
      </c>
      <c r="DM25" s="55" t="str">
        <f t="shared" si="21"/>
        <v/>
      </c>
      <c r="DN25" s="55" t="str">
        <f t="shared" si="21"/>
        <v/>
      </c>
      <c r="DO25" s="55" t="str">
        <f t="shared" si="21"/>
        <v/>
      </c>
      <c r="DP25" s="55" t="str">
        <f t="shared" si="21"/>
        <v/>
      </c>
      <c r="DQ25" s="55" t="str">
        <f t="shared" si="21"/>
        <v/>
      </c>
      <c r="DR25" s="55" t="str">
        <f t="shared" si="21"/>
        <v/>
      </c>
      <c r="DS25" s="55" t="str">
        <f t="shared" si="21"/>
        <v/>
      </c>
      <c r="DT25" s="110" t="str">
        <f t="shared" si="21"/>
        <v/>
      </c>
      <c r="DU25" s="54"/>
      <c r="DV25" s="25"/>
      <c r="DW25" s="61" t="str">
        <f t="shared" si="18"/>
        <v/>
      </c>
      <c r="DX25" s="50">
        <f t="shared" si="18"/>
        <v>3857.9703157894751</v>
      </c>
      <c r="DY25" s="50" t="str">
        <f t="shared" si="18"/>
        <v/>
      </c>
      <c r="DZ25" s="50" t="str">
        <f t="shared" si="18"/>
        <v/>
      </c>
      <c r="EA25" s="50" t="str">
        <f t="shared" si="18"/>
        <v/>
      </c>
      <c r="EB25" s="50" t="str">
        <f t="shared" si="18"/>
        <v/>
      </c>
      <c r="EC25" s="50" t="str">
        <f t="shared" si="18"/>
        <v/>
      </c>
      <c r="ED25" s="50" t="str">
        <f t="shared" si="18"/>
        <v/>
      </c>
      <c r="EE25" s="50" t="str">
        <f t="shared" si="18"/>
        <v/>
      </c>
      <c r="EF25" s="50" t="str">
        <f t="shared" si="18"/>
        <v/>
      </c>
      <c r="EG25" s="50" t="str">
        <f t="shared" si="18"/>
        <v/>
      </c>
      <c r="EH25" s="50" t="str">
        <f t="shared" si="18"/>
        <v/>
      </c>
      <c r="EI25" s="50" t="str">
        <f t="shared" si="18"/>
        <v/>
      </c>
      <c r="EJ25" s="50" t="str">
        <f t="shared" si="18"/>
        <v/>
      </c>
      <c r="EK25" s="50" t="str">
        <f t="shared" si="18"/>
        <v/>
      </c>
      <c r="EL25" s="50" t="str">
        <f t="shared" si="18"/>
        <v/>
      </c>
      <c r="EM25" s="50" t="str">
        <f t="shared" si="19"/>
        <v/>
      </c>
      <c r="EN25" s="50" t="str">
        <f t="shared" si="19"/>
        <v/>
      </c>
      <c r="EO25" s="50" t="str">
        <f t="shared" si="19"/>
        <v/>
      </c>
      <c r="EP25" s="50" t="str">
        <f t="shared" si="19"/>
        <v/>
      </c>
      <c r="EQ25" s="50" t="str">
        <f t="shared" si="19"/>
        <v/>
      </c>
      <c r="ER25" s="50" t="str">
        <f t="shared" si="19"/>
        <v/>
      </c>
      <c r="ES25" s="50" t="str">
        <f t="shared" si="19"/>
        <v/>
      </c>
      <c r="ET25" s="50" t="str">
        <f t="shared" si="19"/>
        <v/>
      </c>
      <c r="EU25" s="50" t="str">
        <f t="shared" si="19"/>
        <v/>
      </c>
      <c r="EV25" s="50" t="str">
        <f t="shared" si="19"/>
        <v/>
      </c>
      <c r="EW25" s="50" t="str">
        <f t="shared" si="19"/>
        <v/>
      </c>
      <c r="EX25" s="50" t="str">
        <f t="shared" si="19"/>
        <v/>
      </c>
      <c r="EY25" s="50" t="str">
        <f t="shared" si="19"/>
        <v/>
      </c>
      <c r="EZ25" s="50" t="str">
        <f t="shared" si="19"/>
        <v/>
      </c>
      <c r="FA25" s="50" t="str">
        <f t="shared" si="19"/>
        <v/>
      </c>
      <c r="FB25" s="50" t="str">
        <f t="shared" si="19"/>
        <v/>
      </c>
      <c r="FC25" s="50" t="str">
        <f t="shared" si="20"/>
        <v/>
      </c>
      <c r="FD25" s="50" t="str">
        <f t="shared" si="20"/>
        <v/>
      </c>
      <c r="FE25" s="50" t="str">
        <f t="shared" si="20"/>
        <v/>
      </c>
      <c r="FF25" s="50" t="str">
        <f t="shared" si="20"/>
        <v/>
      </c>
      <c r="FG25" s="50" t="str">
        <f t="shared" si="20"/>
        <v/>
      </c>
      <c r="FH25" s="50" t="str">
        <f t="shared" si="20"/>
        <v/>
      </c>
      <c r="FI25" s="50" t="str">
        <f t="shared" si="20"/>
        <v/>
      </c>
      <c r="FJ25" s="50" t="str">
        <f t="shared" si="20"/>
        <v/>
      </c>
      <c r="FK25" s="50" t="str">
        <f t="shared" si="20"/>
        <v/>
      </c>
      <c r="FL25" s="50" t="str">
        <f t="shared" si="20"/>
        <v/>
      </c>
      <c r="FM25" s="50" t="str">
        <f t="shared" si="20"/>
        <v/>
      </c>
      <c r="FN25" s="50" t="str">
        <f t="shared" si="20"/>
        <v/>
      </c>
      <c r="FO25" s="50" t="str">
        <f t="shared" si="20"/>
        <v/>
      </c>
      <c r="FP25" s="50" t="str">
        <f t="shared" si="20"/>
        <v/>
      </c>
      <c r="FQ25" s="50" t="str">
        <f t="shared" si="20"/>
        <v/>
      </c>
      <c r="FR25" s="50" t="str">
        <f t="shared" si="20"/>
        <v/>
      </c>
      <c r="FS25" s="50" t="str">
        <f t="shared" si="20"/>
        <v/>
      </c>
      <c r="FT25" s="50" t="str">
        <f t="shared" si="20"/>
        <v/>
      </c>
      <c r="FU25" s="50" t="str">
        <f t="shared" si="20"/>
        <v/>
      </c>
      <c r="FV25" s="50" t="str">
        <f t="shared" si="20"/>
        <v/>
      </c>
      <c r="FW25" s="50" t="str">
        <f t="shared" si="20"/>
        <v/>
      </c>
      <c r="FX25" s="50" t="str">
        <f t="shared" si="20"/>
        <v/>
      </c>
      <c r="FY25" s="50" t="str">
        <f t="shared" si="20"/>
        <v/>
      </c>
      <c r="FZ25" s="50" t="str">
        <f t="shared" si="20"/>
        <v/>
      </c>
      <c r="GA25" s="50" t="str">
        <f t="shared" si="20"/>
        <v/>
      </c>
      <c r="GB25" s="50" t="str">
        <f t="shared" si="20"/>
        <v/>
      </c>
      <c r="GC25" s="50" t="str">
        <f t="shared" si="20"/>
        <v/>
      </c>
      <c r="GD25" s="50" t="str">
        <f t="shared" si="20"/>
        <v/>
      </c>
      <c r="GE25" s="50" t="str">
        <f t="shared" si="20"/>
        <v/>
      </c>
      <c r="GF25" s="50" t="str">
        <f t="shared" si="20"/>
        <v/>
      </c>
      <c r="GG25" s="50" t="str">
        <f t="shared" si="20"/>
        <v/>
      </c>
      <c r="GH25" s="50" t="str">
        <f t="shared" si="14"/>
        <v/>
      </c>
      <c r="GI25" s="50" t="str">
        <f t="shared" si="14"/>
        <v/>
      </c>
      <c r="GJ25" s="50" t="str">
        <f t="shared" si="14"/>
        <v/>
      </c>
      <c r="GK25" s="50" t="str">
        <f t="shared" si="14"/>
        <v/>
      </c>
      <c r="GL25" s="50" t="str">
        <f t="shared" si="14"/>
        <v/>
      </c>
      <c r="GM25" s="50" t="str">
        <f t="shared" si="14"/>
        <v/>
      </c>
      <c r="GN25" s="50" t="str">
        <f t="shared" si="14"/>
        <v/>
      </c>
      <c r="GO25" s="50" t="str">
        <f t="shared" si="14"/>
        <v/>
      </c>
      <c r="GP25" s="50" t="str">
        <f t="shared" si="14"/>
        <v/>
      </c>
      <c r="GQ25" s="50" t="str">
        <f t="shared" si="14"/>
        <v/>
      </c>
      <c r="GR25" s="50" t="str">
        <f t="shared" si="14"/>
        <v/>
      </c>
      <c r="GS25" s="50" t="str">
        <f t="shared" si="14"/>
        <v/>
      </c>
      <c r="GT25" s="50" t="str">
        <f t="shared" si="14"/>
        <v/>
      </c>
      <c r="GU25" s="50" t="str">
        <f t="shared" si="14"/>
        <v/>
      </c>
      <c r="GV25" s="50" t="str">
        <f t="shared" si="14"/>
        <v/>
      </c>
      <c r="GW25" s="50" t="str">
        <f t="shared" si="14"/>
        <v/>
      </c>
      <c r="GX25" s="50" t="str">
        <f t="shared" si="22"/>
        <v/>
      </c>
      <c r="GY25" s="50" t="str">
        <f t="shared" si="22"/>
        <v/>
      </c>
      <c r="GZ25" s="50" t="str">
        <f t="shared" si="22"/>
        <v/>
      </c>
      <c r="HA25" s="50" t="str">
        <f t="shared" si="22"/>
        <v/>
      </c>
      <c r="HB25" s="50" t="str">
        <f t="shared" si="22"/>
        <v/>
      </c>
      <c r="HC25" s="50" t="str">
        <f t="shared" si="22"/>
        <v/>
      </c>
      <c r="HD25" s="50" t="str">
        <f t="shared" si="22"/>
        <v/>
      </c>
      <c r="HE25" s="50" t="str">
        <f t="shared" si="22"/>
        <v/>
      </c>
      <c r="HF25" s="50" t="str">
        <f t="shared" si="22"/>
        <v/>
      </c>
      <c r="HG25" s="50" t="str">
        <f t="shared" si="22"/>
        <v/>
      </c>
      <c r="HH25" s="50" t="str">
        <f t="shared" si="22"/>
        <v/>
      </c>
      <c r="HI25" s="50" t="str">
        <f t="shared" si="22"/>
        <v/>
      </c>
      <c r="HJ25" s="50" t="str">
        <f t="shared" si="22"/>
        <v/>
      </c>
      <c r="HK25" s="50" t="str">
        <f t="shared" si="22"/>
        <v/>
      </c>
      <c r="HL25" s="50" t="str">
        <f t="shared" si="22"/>
        <v/>
      </c>
      <c r="HM25" s="50" t="str">
        <f t="shared" si="22"/>
        <v/>
      </c>
      <c r="HN25" s="50" t="str">
        <f t="shared" si="23"/>
        <v/>
      </c>
      <c r="HO25" s="50" t="str">
        <f t="shared" si="23"/>
        <v/>
      </c>
      <c r="HP25" s="50" t="str">
        <f t="shared" si="23"/>
        <v/>
      </c>
      <c r="HQ25" s="50" t="str">
        <f t="shared" si="23"/>
        <v/>
      </c>
      <c r="HR25" s="116" t="str">
        <f t="shared" si="23"/>
        <v/>
      </c>
    </row>
    <row r="26" spans="1:226" ht="11.15" customHeight="1" x14ac:dyDescent="0.25">
      <c r="A26" s="26" t="s">
        <v>28</v>
      </c>
      <c r="B26" s="27">
        <v>2</v>
      </c>
      <c r="C26" s="28" t="str">
        <f>IF(A26=0,"",VLOOKUP(A26,[3]CO!$A$3:$F$5327,2,0))</f>
        <v>Excavacion terreno A1.50- 3.00 prof.</v>
      </c>
      <c r="D26" s="29"/>
      <c r="E26" s="29"/>
      <c r="F26" s="29"/>
      <c r="G26" s="30" t="str">
        <f>IF(A26=0,"",VLOOKUP(A26,[3]CO!$A$3:$F$5327,3,0))</f>
        <v>M3</v>
      </c>
      <c r="H26" s="29"/>
      <c r="I26" s="31">
        <v>6.5</v>
      </c>
      <c r="J26" s="31">
        <v>2.2000000000000002</v>
      </c>
      <c r="K26" s="31">
        <v>1.1000000000000001</v>
      </c>
      <c r="L26" s="31">
        <v>1</v>
      </c>
      <c r="M26" s="32">
        <f t="shared" si="4"/>
        <v>15.730000000000002</v>
      </c>
      <c r="N26" s="32">
        <f>IF(B26=0,"",IF(H26="M",HLOOKUP(B26,$Y$12:$DT$13,2),IF(A26=0,"",VLOOKUP(A26,[3]CO!$A$3:$F$5327,4,0))))</f>
        <v>206.83756937799046</v>
      </c>
      <c r="O26" s="32">
        <f t="shared" si="11"/>
        <v>3253.5549663157904</v>
      </c>
      <c r="P26" s="33"/>
      <c r="Q26" s="34" t="str">
        <f t="shared" si="5"/>
        <v/>
      </c>
      <c r="R26" s="35" t="str">
        <f t="shared" si="6"/>
        <v/>
      </c>
      <c r="S26" s="122"/>
      <c r="T26" s="53">
        <f>IF(A26=0,"",VLOOKUP(A26,[3]CO!$A$3:$F$5318,5,0))</f>
        <v>0</v>
      </c>
      <c r="U26" s="54">
        <f t="shared" si="12"/>
        <v>0</v>
      </c>
      <c r="V26" s="24"/>
      <c r="W26" s="25"/>
      <c r="X26" s="25"/>
      <c r="Y26" s="64" t="str">
        <f t="shared" si="15"/>
        <v/>
      </c>
      <c r="Z26" s="55">
        <f t="shared" si="15"/>
        <v>0</v>
      </c>
      <c r="AA26" s="55" t="str">
        <f t="shared" si="15"/>
        <v/>
      </c>
      <c r="AB26" s="55" t="str">
        <f t="shared" si="15"/>
        <v/>
      </c>
      <c r="AC26" s="55" t="str">
        <f t="shared" si="15"/>
        <v/>
      </c>
      <c r="AD26" s="55" t="str">
        <f t="shared" si="15"/>
        <v/>
      </c>
      <c r="AE26" s="55" t="str">
        <f t="shared" si="15"/>
        <v/>
      </c>
      <c r="AF26" s="55" t="str">
        <f t="shared" si="15"/>
        <v/>
      </c>
      <c r="AG26" s="55" t="str">
        <f t="shared" si="15"/>
        <v/>
      </c>
      <c r="AH26" s="55" t="str">
        <f t="shared" si="15"/>
        <v/>
      </c>
      <c r="AI26" s="55" t="str">
        <f t="shared" si="15"/>
        <v/>
      </c>
      <c r="AJ26" s="55" t="str">
        <f t="shared" si="15"/>
        <v/>
      </c>
      <c r="AK26" s="55" t="str">
        <f t="shared" si="15"/>
        <v/>
      </c>
      <c r="AL26" s="55" t="str">
        <f t="shared" si="15"/>
        <v/>
      </c>
      <c r="AM26" s="55" t="str">
        <f t="shared" si="15"/>
        <v/>
      </c>
      <c r="AN26" s="55" t="str">
        <f t="shared" si="15"/>
        <v/>
      </c>
      <c r="AO26" s="55" t="str">
        <f t="shared" si="16"/>
        <v/>
      </c>
      <c r="AP26" s="55" t="str">
        <f t="shared" si="16"/>
        <v/>
      </c>
      <c r="AQ26" s="55" t="str">
        <f t="shared" si="16"/>
        <v/>
      </c>
      <c r="AR26" s="55" t="str">
        <f t="shared" si="16"/>
        <v/>
      </c>
      <c r="AS26" s="55" t="str">
        <f t="shared" si="16"/>
        <v/>
      </c>
      <c r="AT26" s="55" t="str">
        <f t="shared" si="16"/>
        <v/>
      </c>
      <c r="AU26" s="55" t="str">
        <f t="shared" si="16"/>
        <v/>
      </c>
      <c r="AV26" s="55" t="str">
        <f t="shared" si="16"/>
        <v/>
      </c>
      <c r="AW26" s="55" t="str">
        <f t="shared" si="16"/>
        <v/>
      </c>
      <c r="AX26" s="55" t="str">
        <f t="shared" si="16"/>
        <v/>
      </c>
      <c r="AY26" s="55" t="str">
        <f t="shared" si="16"/>
        <v/>
      </c>
      <c r="AZ26" s="55" t="str">
        <f t="shared" si="16"/>
        <v/>
      </c>
      <c r="BA26" s="55" t="str">
        <f t="shared" si="16"/>
        <v/>
      </c>
      <c r="BB26" s="55" t="str">
        <f t="shared" si="16"/>
        <v/>
      </c>
      <c r="BC26" s="55" t="str">
        <f t="shared" si="16"/>
        <v/>
      </c>
      <c r="BD26" s="55" t="str">
        <f t="shared" si="16"/>
        <v/>
      </c>
      <c r="BE26" s="55" t="str">
        <f t="shared" si="17"/>
        <v/>
      </c>
      <c r="BF26" s="55" t="str">
        <f t="shared" si="17"/>
        <v/>
      </c>
      <c r="BG26" s="55" t="str">
        <f t="shared" si="17"/>
        <v/>
      </c>
      <c r="BH26" s="55" t="str">
        <f t="shared" si="17"/>
        <v/>
      </c>
      <c r="BI26" s="55" t="str">
        <f t="shared" si="17"/>
        <v/>
      </c>
      <c r="BJ26" s="55" t="str">
        <f t="shared" si="17"/>
        <v/>
      </c>
      <c r="BK26" s="55" t="str">
        <f t="shared" si="17"/>
        <v/>
      </c>
      <c r="BL26" s="55" t="str">
        <f t="shared" ref="BL26:CI26" si="24">IF($B26=BL$12,$U26,"")</f>
        <v/>
      </c>
      <c r="BM26" s="55" t="str">
        <f t="shared" si="24"/>
        <v/>
      </c>
      <c r="BN26" s="55" t="str">
        <f t="shared" si="24"/>
        <v/>
      </c>
      <c r="BO26" s="55" t="str">
        <f t="shared" si="24"/>
        <v/>
      </c>
      <c r="BP26" s="55" t="str">
        <f t="shared" si="24"/>
        <v/>
      </c>
      <c r="BQ26" s="55" t="str">
        <f t="shared" si="24"/>
        <v/>
      </c>
      <c r="BR26" s="55" t="str">
        <f t="shared" si="24"/>
        <v/>
      </c>
      <c r="BS26" s="55" t="str">
        <f t="shared" si="24"/>
        <v/>
      </c>
      <c r="BT26" s="55" t="str">
        <f t="shared" si="24"/>
        <v/>
      </c>
      <c r="BU26" s="55" t="str">
        <f t="shared" si="24"/>
        <v/>
      </c>
      <c r="BV26" s="55" t="str">
        <f t="shared" si="24"/>
        <v/>
      </c>
      <c r="BW26" s="55" t="str">
        <f t="shared" si="24"/>
        <v/>
      </c>
      <c r="BX26" s="55" t="str">
        <f t="shared" si="24"/>
        <v/>
      </c>
      <c r="BY26" s="55" t="str">
        <f t="shared" si="24"/>
        <v/>
      </c>
      <c r="BZ26" s="55" t="str">
        <f t="shared" si="24"/>
        <v/>
      </c>
      <c r="CA26" s="55" t="str">
        <f t="shared" si="24"/>
        <v/>
      </c>
      <c r="CB26" s="55" t="str">
        <f t="shared" si="24"/>
        <v/>
      </c>
      <c r="CC26" s="55" t="str">
        <f t="shared" si="24"/>
        <v/>
      </c>
      <c r="CD26" s="55" t="str">
        <f t="shared" si="24"/>
        <v/>
      </c>
      <c r="CE26" s="55" t="str">
        <f t="shared" si="24"/>
        <v/>
      </c>
      <c r="CF26" s="55" t="str">
        <f t="shared" si="24"/>
        <v/>
      </c>
      <c r="CG26" s="55" t="str">
        <f t="shared" si="24"/>
        <v/>
      </c>
      <c r="CH26" s="55" t="str">
        <f t="shared" si="24"/>
        <v/>
      </c>
      <c r="CI26" s="55" t="str">
        <f t="shared" si="24"/>
        <v/>
      </c>
      <c r="CJ26" s="55" t="str">
        <f t="shared" si="13"/>
        <v/>
      </c>
      <c r="CK26" s="55" t="str">
        <f t="shared" si="13"/>
        <v/>
      </c>
      <c r="CL26" s="55" t="str">
        <f t="shared" si="13"/>
        <v/>
      </c>
      <c r="CM26" s="55" t="str">
        <f t="shared" si="13"/>
        <v/>
      </c>
      <c r="CN26" s="55" t="str">
        <f t="shared" si="13"/>
        <v/>
      </c>
      <c r="CO26" s="55" t="str">
        <f t="shared" si="13"/>
        <v/>
      </c>
      <c r="CP26" s="55" t="str">
        <f t="shared" si="13"/>
        <v/>
      </c>
      <c r="CQ26" s="55" t="str">
        <f t="shared" si="13"/>
        <v/>
      </c>
      <c r="CR26" s="55" t="str">
        <f t="shared" si="13"/>
        <v/>
      </c>
      <c r="CS26" s="55" t="str">
        <f t="shared" si="13"/>
        <v/>
      </c>
      <c r="CT26" s="55" t="str">
        <f t="shared" si="13"/>
        <v/>
      </c>
      <c r="CU26" s="55" t="str">
        <f t="shared" si="13"/>
        <v/>
      </c>
      <c r="CV26" s="55" t="str">
        <f t="shared" si="13"/>
        <v/>
      </c>
      <c r="CW26" s="55" t="str">
        <f t="shared" si="13"/>
        <v/>
      </c>
      <c r="CX26" s="55" t="str">
        <f t="shared" si="13"/>
        <v/>
      </c>
      <c r="CY26" s="55" t="str">
        <f t="shared" si="13"/>
        <v/>
      </c>
      <c r="CZ26" s="55" t="str">
        <f t="shared" si="21"/>
        <v/>
      </c>
      <c r="DA26" s="55" t="str">
        <f t="shared" si="21"/>
        <v/>
      </c>
      <c r="DB26" s="55" t="str">
        <f t="shared" si="21"/>
        <v/>
      </c>
      <c r="DC26" s="55" t="str">
        <f t="shared" si="21"/>
        <v/>
      </c>
      <c r="DD26" s="55" t="str">
        <f t="shared" si="21"/>
        <v/>
      </c>
      <c r="DE26" s="55" t="str">
        <f t="shared" si="21"/>
        <v/>
      </c>
      <c r="DF26" s="55" t="str">
        <f t="shared" si="21"/>
        <v/>
      </c>
      <c r="DG26" s="55" t="str">
        <f t="shared" si="21"/>
        <v/>
      </c>
      <c r="DH26" s="55" t="str">
        <f t="shared" si="21"/>
        <v/>
      </c>
      <c r="DI26" s="55" t="str">
        <f t="shared" si="21"/>
        <v/>
      </c>
      <c r="DJ26" s="55" t="str">
        <f t="shared" si="21"/>
        <v/>
      </c>
      <c r="DK26" s="55" t="str">
        <f t="shared" si="21"/>
        <v/>
      </c>
      <c r="DL26" s="55" t="str">
        <f t="shared" si="21"/>
        <v/>
      </c>
      <c r="DM26" s="55" t="str">
        <f t="shared" si="21"/>
        <v/>
      </c>
      <c r="DN26" s="55" t="str">
        <f t="shared" si="21"/>
        <v/>
      </c>
      <c r="DO26" s="55" t="str">
        <f t="shared" si="21"/>
        <v/>
      </c>
      <c r="DP26" s="55" t="str">
        <f t="shared" si="21"/>
        <v/>
      </c>
      <c r="DQ26" s="55" t="str">
        <f t="shared" si="21"/>
        <v/>
      </c>
      <c r="DR26" s="55" t="str">
        <f t="shared" si="21"/>
        <v/>
      </c>
      <c r="DS26" s="55" t="str">
        <f t="shared" si="21"/>
        <v/>
      </c>
      <c r="DT26" s="110" t="str">
        <f t="shared" si="21"/>
        <v/>
      </c>
      <c r="DU26" s="54"/>
      <c r="DV26" s="25"/>
      <c r="DW26" s="61" t="str">
        <f t="shared" si="18"/>
        <v/>
      </c>
      <c r="DX26" s="50">
        <f t="shared" si="18"/>
        <v>3253.5549663157904</v>
      </c>
      <c r="DY26" s="50" t="str">
        <f t="shared" si="18"/>
        <v/>
      </c>
      <c r="DZ26" s="50" t="str">
        <f t="shared" si="18"/>
        <v/>
      </c>
      <c r="EA26" s="50" t="str">
        <f t="shared" si="18"/>
        <v/>
      </c>
      <c r="EB26" s="50" t="str">
        <f t="shared" si="18"/>
        <v/>
      </c>
      <c r="EC26" s="50" t="str">
        <f t="shared" si="18"/>
        <v/>
      </c>
      <c r="ED26" s="50" t="str">
        <f t="shared" si="18"/>
        <v/>
      </c>
      <c r="EE26" s="50" t="str">
        <f t="shared" si="18"/>
        <v/>
      </c>
      <c r="EF26" s="50" t="str">
        <f t="shared" si="18"/>
        <v/>
      </c>
      <c r="EG26" s="50" t="str">
        <f t="shared" si="18"/>
        <v/>
      </c>
      <c r="EH26" s="50" t="str">
        <f t="shared" si="18"/>
        <v/>
      </c>
      <c r="EI26" s="50" t="str">
        <f t="shared" si="18"/>
        <v/>
      </c>
      <c r="EJ26" s="50" t="str">
        <f t="shared" si="18"/>
        <v/>
      </c>
      <c r="EK26" s="50" t="str">
        <f t="shared" si="18"/>
        <v/>
      </c>
      <c r="EL26" s="50" t="str">
        <f t="shared" si="18"/>
        <v/>
      </c>
      <c r="EM26" s="50" t="str">
        <f t="shared" si="19"/>
        <v/>
      </c>
      <c r="EN26" s="50" t="str">
        <f t="shared" si="19"/>
        <v/>
      </c>
      <c r="EO26" s="50" t="str">
        <f t="shared" si="19"/>
        <v/>
      </c>
      <c r="EP26" s="50" t="str">
        <f t="shared" si="19"/>
        <v/>
      </c>
      <c r="EQ26" s="50" t="str">
        <f t="shared" si="19"/>
        <v/>
      </c>
      <c r="ER26" s="50" t="str">
        <f t="shared" si="19"/>
        <v/>
      </c>
      <c r="ES26" s="50" t="str">
        <f t="shared" si="19"/>
        <v/>
      </c>
      <c r="ET26" s="50" t="str">
        <f t="shared" si="19"/>
        <v/>
      </c>
      <c r="EU26" s="50" t="str">
        <f t="shared" si="19"/>
        <v/>
      </c>
      <c r="EV26" s="50" t="str">
        <f t="shared" si="19"/>
        <v/>
      </c>
      <c r="EW26" s="50" t="str">
        <f t="shared" si="19"/>
        <v/>
      </c>
      <c r="EX26" s="50" t="str">
        <f t="shared" si="19"/>
        <v/>
      </c>
      <c r="EY26" s="50" t="str">
        <f t="shared" si="19"/>
        <v/>
      </c>
      <c r="EZ26" s="50" t="str">
        <f t="shared" si="19"/>
        <v/>
      </c>
      <c r="FA26" s="50" t="str">
        <f t="shared" si="19"/>
        <v/>
      </c>
      <c r="FB26" s="50" t="str">
        <f t="shared" si="19"/>
        <v/>
      </c>
      <c r="FC26" s="50" t="str">
        <f t="shared" si="20"/>
        <v/>
      </c>
      <c r="FD26" s="50" t="str">
        <f t="shared" si="20"/>
        <v/>
      </c>
      <c r="FE26" s="50" t="str">
        <f t="shared" si="20"/>
        <v/>
      </c>
      <c r="FF26" s="50" t="str">
        <f t="shared" si="20"/>
        <v/>
      </c>
      <c r="FG26" s="50" t="str">
        <f t="shared" si="20"/>
        <v/>
      </c>
      <c r="FH26" s="50" t="str">
        <f t="shared" si="20"/>
        <v/>
      </c>
      <c r="FI26" s="50" t="str">
        <f t="shared" si="20"/>
        <v/>
      </c>
      <c r="FJ26" s="50" t="str">
        <f t="shared" ref="FJ26:GG26" si="25">IF($B26=FJ$12,$O26,"")</f>
        <v/>
      </c>
      <c r="FK26" s="50" t="str">
        <f t="shared" si="25"/>
        <v/>
      </c>
      <c r="FL26" s="50" t="str">
        <f t="shared" si="25"/>
        <v/>
      </c>
      <c r="FM26" s="50" t="str">
        <f t="shared" si="25"/>
        <v/>
      </c>
      <c r="FN26" s="50" t="str">
        <f t="shared" si="25"/>
        <v/>
      </c>
      <c r="FO26" s="50" t="str">
        <f t="shared" si="25"/>
        <v/>
      </c>
      <c r="FP26" s="50" t="str">
        <f t="shared" si="25"/>
        <v/>
      </c>
      <c r="FQ26" s="50" t="str">
        <f t="shared" si="25"/>
        <v/>
      </c>
      <c r="FR26" s="50" t="str">
        <f t="shared" si="25"/>
        <v/>
      </c>
      <c r="FS26" s="50" t="str">
        <f t="shared" si="25"/>
        <v/>
      </c>
      <c r="FT26" s="50" t="str">
        <f t="shared" si="25"/>
        <v/>
      </c>
      <c r="FU26" s="50" t="str">
        <f t="shared" si="25"/>
        <v/>
      </c>
      <c r="FV26" s="50" t="str">
        <f t="shared" si="25"/>
        <v/>
      </c>
      <c r="FW26" s="50" t="str">
        <f t="shared" si="25"/>
        <v/>
      </c>
      <c r="FX26" s="50" t="str">
        <f t="shared" si="25"/>
        <v/>
      </c>
      <c r="FY26" s="50" t="str">
        <f t="shared" si="25"/>
        <v/>
      </c>
      <c r="FZ26" s="50" t="str">
        <f t="shared" si="25"/>
        <v/>
      </c>
      <c r="GA26" s="50" t="str">
        <f t="shared" si="25"/>
        <v/>
      </c>
      <c r="GB26" s="50" t="str">
        <f t="shared" si="25"/>
        <v/>
      </c>
      <c r="GC26" s="50" t="str">
        <f t="shared" si="25"/>
        <v/>
      </c>
      <c r="GD26" s="50" t="str">
        <f t="shared" si="25"/>
        <v/>
      </c>
      <c r="GE26" s="50" t="str">
        <f t="shared" si="25"/>
        <v/>
      </c>
      <c r="GF26" s="50" t="str">
        <f t="shared" si="25"/>
        <v/>
      </c>
      <c r="GG26" s="50" t="str">
        <f t="shared" si="25"/>
        <v/>
      </c>
      <c r="GH26" s="50" t="str">
        <f t="shared" si="14"/>
        <v/>
      </c>
      <c r="GI26" s="50" t="str">
        <f t="shared" si="14"/>
        <v/>
      </c>
      <c r="GJ26" s="50" t="str">
        <f t="shared" si="14"/>
        <v/>
      </c>
      <c r="GK26" s="50" t="str">
        <f t="shared" si="14"/>
        <v/>
      </c>
      <c r="GL26" s="50" t="str">
        <f t="shared" si="14"/>
        <v/>
      </c>
      <c r="GM26" s="50" t="str">
        <f t="shared" si="14"/>
        <v/>
      </c>
      <c r="GN26" s="50" t="str">
        <f t="shared" si="14"/>
        <v/>
      </c>
      <c r="GO26" s="50" t="str">
        <f t="shared" si="14"/>
        <v/>
      </c>
      <c r="GP26" s="50" t="str">
        <f t="shared" si="14"/>
        <v/>
      </c>
      <c r="GQ26" s="50" t="str">
        <f t="shared" si="14"/>
        <v/>
      </c>
      <c r="GR26" s="50" t="str">
        <f t="shared" si="14"/>
        <v/>
      </c>
      <c r="GS26" s="50" t="str">
        <f t="shared" si="14"/>
        <v/>
      </c>
      <c r="GT26" s="50" t="str">
        <f t="shared" si="14"/>
        <v/>
      </c>
      <c r="GU26" s="50" t="str">
        <f t="shared" si="14"/>
        <v/>
      </c>
      <c r="GV26" s="50" t="str">
        <f t="shared" si="14"/>
        <v/>
      </c>
      <c r="GW26" s="50" t="str">
        <f t="shared" si="14"/>
        <v/>
      </c>
      <c r="GX26" s="50" t="str">
        <f t="shared" si="22"/>
        <v/>
      </c>
      <c r="GY26" s="50" t="str">
        <f t="shared" si="22"/>
        <v/>
      </c>
      <c r="GZ26" s="50" t="str">
        <f t="shared" si="22"/>
        <v/>
      </c>
      <c r="HA26" s="50" t="str">
        <f t="shared" si="22"/>
        <v/>
      </c>
      <c r="HB26" s="50" t="str">
        <f t="shared" si="22"/>
        <v/>
      </c>
      <c r="HC26" s="50" t="str">
        <f t="shared" si="22"/>
        <v/>
      </c>
      <c r="HD26" s="50" t="str">
        <f t="shared" si="22"/>
        <v/>
      </c>
      <c r="HE26" s="50" t="str">
        <f t="shared" si="22"/>
        <v/>
      </c>
      <c r="HF26" s="50" t="str">
        <f t="shared" si="22"/>
        <v/>
      </c>
      <c r="HG26" s="50" t="str">
        <f t="shared" si="22"/>
        <v/>
      </c>
      <c r="HH26" s="50" t="str">
        <f t="shared" si="22"/>
        <v/>
      </c>
      <c r="HI26" s="50" t="str">
        <f t="shared" si="22"/>
        <v/>
      </c>
      <c r="HJ26" s="50" t="str">
        <f t="shared" si="22"/>
        <v/>
      </c>
      <c r="HK26" s="50" t="str">
        <f t="shared" si="22"/>
        <v/>
      </c>
      <c r="HL26" s="50" t="str">
        <f t="shared" si="22"/>
        <v/>
      </c>
      <c r="HM26" s="50" t="str">
        <f t="shared" si="22"/>
        <v/>
      </c>
      <c r="HN26" s="50" t="str">
        <f t="shared" si="23"/>
        <v/>
      </c>
      <c r="HO26" s="50" t="str">
        <f t="shared" si="23"/>
        <v/>
      </c>
      <c r="HP26" s="50" t="str">
        <f t="shared" si="23"/>
        <v/>
      </c>
      <c r="HQ26" s="50" t="str">
        <f t="shared" si="23"/>
        <v/>
      </c>
      <c r="HR26" s="116" t="str">
        <f t="shared" si="23"/>
        <v/>
      </c>
    </row>
    <row r="27" spans="1:226" ht="11.15" customHeight="1" x14ac:dyDescent="0.25">
      <c r="A27" s="26" t="s">
        <v>28</v>
      </c>
      <c r="B27" s="27">
        <v>2</v>
      </c>
      <c r="C27" s="28" t="str">
        <f>IF(A27=0,"",VLOOKUP(A27,[3]CO!$A$3:$F$5327,2,0))</f>
        <v>Excavacion terreno A1.50- 3.00 prof.</v>
      </c>
      <c r="D27" s="29"/>
      <c r="E27" s="29"/>
      <c r="F27" s="29"/>
      <c r="G27" s="30" t="str">
        <f>IF(A27=0,"",VLOOKUP(A27,[3]CO!$A$3:$F$5327,3,0))</f>
        <v>M3</v>
      </c>
      <c r="H27" s="29"/>
      <c r="I27" s="31">
        <v>4.5</v>
      </c>
      <c r="J27" s="31">
        <v>2.2000000000000002</v>
      </c>
      <c r="K27" s="31">
        <v>0.2</v>
      </c>
      <c r="L27" s="31">
        <v>1</v>
      </c>
      <c r="M27" s="32">
        <f t="shared" si="4"/>
        <v>1.9800000000000002</v>
      </c>
      <c r="N27" s="32">
        <f>IF(B27=0,"",IF(H27="M",HLOOKUP(B27,$Y$12:$DT$13,2),IF(A27=0,"",VLOOKUP(A27,[3]CO!$A$3:$F$5327,4,0))))</f>
        <v>206.83756937799046</v>
      </c>
      <c r="O27" s="32">
        <f t="shared" si="11"/>
        <v>409.53838736842118</v>
      </c>
      <c r="P27" s="33"/>
      <c r="Q27" s="34" t="str">
        <f t="shared" si="5"/>
        <v/>
      </c>
      <c r="R27" s="35" t="str">
        <f t="shared" si="6"/>
        <v/>
      </c>
      <c r="S27" s="122"/>
      <c r="T27" s="53">
        <f>IF(A27=0,"",VLOOKUP(A27,[3]CO!$A$3:$F$5318,5,0))</f>
        <v>0</v>
      </c>
      <c r="U27" s="54">
        <f t="shared" si="12"/>
        <v>0</v>
      </c>
      <c r="V27" s="24"/>
      <c r="W27" s="25"/>
      <c r="X27" s="25"/>
      <c r="Y27" s="64" t="str">
        <f t="shared" si="15"/>
        <v/>
      </c>
      <c r="Z27" s="55">
        <f t="shared" si="15"/>
        <v>0</v>
      </c>
      <c r="AA27" s="55" t="str">
        <f t="shared" si="15"/>
        <v/>
      </c>
      <c r="AB27" s="55" t="str">
        <f t="shared" si="15"/>
        <v/>
      </c>
      <c r="AC27" s="55" t="str">
        <f t="shared" si="15"/>
        <v/>
      </c>
      <c r="AD27" s="55" t="str">
        <f t="shared" si="15"/>
        <v/>
      </c>
      <c r="AE27" s="55" t="str">
        <f t="shared" si="15"/>
        <v/>
      </c>
      <c r="AF27" s="55" t="str">
        <f t="shared" si="15"/>
        <v/>
      </c>
      <c r="AG27" s="55" t="str">
        <f t="shared" si="15"/>
        <v/>
      </c>
      <c r="AH27" s="55" t="str">
        <f t="shared" si="15"/>
        <v/>
      </c>
      <c r="AI27" s="55" t="str">
        <f t="shared" si="15"/>
        <v/>
      </c>
      <c r="AJ27" s="55" t="str">
        <f t="shared" si="15"/>
        <v/>
      </c>
      <c r="AK27" s="55" t="str">
        <f t="shared" si="15"/>
        <v/>
      </c>
      <c r="AL27" s="55" t="str">
        <f t="shared" si="15"/>
        <v/>
      </c>
      <c r="AM27" s="55" t="str">
        <f t="shared" si="15"/>
        <v/>
      </c>
      <c r="AN27" s="55" t="str">
        <f t="shared" si="15"/>
        <v/>
      </c>
      <c r="AO27" s="55" t="str">
        <f t="shared" si="16"/>
        <v/>
      </c>
      <c r="AP27" s="55" t="str">
        <f t="shared" si="16"/>
        <v/>
      </c>
      <c r="AQ27" s="55" t="str">
        <f t="shared" si="16"/>
        <v/>
      </c>
      <c r="AR27" s="55" t="str">
        <f t="shared" si="16"/>
        <v/>
      </c>
      <c r="AS27" s="55" t="str">
        <f t="shared" si="16"/>
        <v/>
      </c>
      <c r="AT27" s="55" t="str">
        <f t="shared" si="16"/>
        <v/>
      </c>
      <c r="AU27" s="55" t="str">
        <f t="shared" si="16"/>
        <v/>
      </c>
      <c r="AV27" s="55" t="str">
        <f t="shared" si="16"/>
        <v/>
      </c>
      <c r="AW27" s="55" t="str">
        <f t="shared" si="16"/>
        <v/>
      </c>
      <c r="AX27" s="55" t="str">
        <f t="shared" si="16"/>
        <v/>
      </c>
      <c r="AY27" s="55" t="str">
        <f t="shared" si="16"/>
        <v/>
      </c>
      <c r="AZ27" s="55" t="str">
        <f t="shared" si="16"/>
        <v/>
      </c>
      <c r="BA27" s="55" t="str">
        <f t="shared" si="16"/>
        <v/>
      </c>
      <c r="BB27" s="55" t="str">
        <f t="shared" si="16"/>
        <v/>
      </c>
      <c r="BC27" s="55" t="str">
        <f t="shared" si="16"/>
        <v/>
      </c>
      <c r="BD27" s="55" t="str">
        <f t="shared" si="16"/>
        <v/>
      </c>
      <c r="BE27" s="55" t="str">
        <f t="shared" ref="BE27:CI35" si="26">IF($B27=BE$12,$U27,"")</f>
        <v/>
      </c>
      <c r="BF27" s="55" t="str">
        <f t="shared" si="26"/>
        <v/>
      </c>
      <c r="BG27" s="55" t="str">
        <f t="shared" si="26"/>
        <v/>
      </c>
      <c r="BH27" s="55" t="str">
        <f t="shared" si="26"/>
        <v/>
      </c>
      <c r="BI27" s="55" t="str">
        <f t="shared" si="26"/>
        <v/>
      </c>
      <c r="BJ27" s="55" t="str">
        <f t="shared" si="26"/>
        <v/>
      </c>
      <c r="BK27" s="55" t="str">
        <f t="shared" si="26"/>
        <v/>
      </c>
      <c r="BL27" s="55" t="str">
        <f t="shared" si="26"/>
        <v/>
      </c>
      <c r="BM27" s="55" t="str">
        <f t="shared" si="26"/>
        <v/>
      </c>
      <c r="BN27" s="55" t="str">
        <f t="shared" si="26"/>
        <v/>
      </c>
      <c r="BO27" s="55" t="str">
        <f t="shared" si="26"/>
        <v/>
      </c>
      <c r="BP27" s="55" t="str">
        <f t="shared" si="26"/>
        <v/>
      </c>
      <c r="BQ27" s="55" t="str">
        <f t="shared" si="26"/>
        <v/>
      </c>
      <c r="BR27" s="55" t="str">
        <f t="shared" si="26"/>
        <v/>
      </c>
      <c r="BS27" s="55" t="str">
        <f t="shared" si="26"/>
        <v/>
      </c>
      <c r="BT27" s="55" t="str">
        <f t="shared" si="26"/>
        <v/>
      </c>
      <c r="BU27" s="55" t="str">
        <f t="shared" si="26"/>
        <v/>
      </c>
      <c r="BV27" s="55" t="str">
        <f t="shared" si="26"/>
        <v/>
      </c>
      <c r="BW27" s="55" t="str">
        <f t="shared" si="26"/>
        <v/>
      </c>
      <c r="BX27" s="55" t="str">
        <f t="shared" si="26"/>
        <v/>
      </c>
      <c r="BY27" s="55" t="str">
        <f t="shared" si="26"/>
        <v/>
      </c>
      <c r="BZ27" s="55" t="str">
        <f t="shared" si="26"/>
        <v/>
      </c>
      <c r="CA27" s="55" t="str">
        <f t="shared" si="26"/>
        <v/>
      </c>
      <c r="CB27" s="55" t="str">
        <f t="shared" si="26"/>
        <v/>
      </c>
      <c r="CC27" s="55" t="str">
        <f t="shared" si="26"/>
        <v/>
      </c>
      <c r="CD27" s="55" t="str">
        <f t="shared" si="26"/>
        <v/>
      </c>
      <c r="CE27" s="55" t="str">
        <f t="shared" si="26"/>
        <v/>
      </c>
      <c r="CF27" s="55" t="str">
        <f t="shared" si="26"/>
        <v/>
      </c>
      <c r="CG27" s="55" t="str">
        <f t="shared" si="26"/>
        <v/>
      </c>
      <c r="CH27" s="55" t="str">
        <f t="shared" si="26"/>
        <v/>
      </c>
      <c r="CI27" s="55" t="str">
        <f t="shared" si="26"/>
        <v/>
      </c>
      <c r="CJ27" s="55" t="str">
        <f t="shared" si="13"/>
        <v/>
      </c>
      <c r="CK27" s="55" t="str">
        <f t="shared" si="13"/>
        <v/>
      </c>
      <c r="CL27" s="55" t="str">
        <f t="shared" si="13"/>
        <v/>
      </c>
      <c r="CM27" s="55" t="str">
        <f t="shared" si="13"/>
        <v/>
      </c>
      <c r="CN27" s="55" t="str">
        <f t="shared" si="13"/>
        <v/>
      </c>
      <c r="CO27" s="55" t="str">
        <f t="shared" si="13"/>
        <v/>
      </c>
      <c r="CP27" s="55" t="str">
        <f t="shared" si="13"/>
        <v/>
      </c>
      <c r="CQ27" s="55" t="str">
        <f t="shared" si="13"/>
        <v/>
      </c>
      <c r="CR27" s="55" t="str">
        <f t="shared" si="13"/>
        <v/>
      </c>
      <c r="CS27" s="55" t="str">
        <f t="shared" si="13"/>
        <v/>
      </c>
      <c r="CT27" s="55" t="str">
        <f t="shared" si="13"/>
        <v/>
      </c>
      <c r="CU27" s="55" t="str">
        <f t="shared" si="13"/>
        <v/>
      </c>
      <c r="CV27" s="55" t="str">
        <f t="shared" si="13"/>
        <v/>
      </c>
      <c r="CW27" s="55" t="str">
        <f t="shared" si="13"/>
        <v/>
      </c>
      <c r="CX27" s="55" t="str">
        <f t="shared" si="13"/>
        <v/>
      </c>
      <c r="CY27" s="55" t="str">
        <f t="shared" si="13"/>
        <v/>
      </c>
      <c r="CZ27" s="55" t="str">
        <f t="shared" si="21"/>
        <v/>
      </c>
      <c r="DA27" s="55" t="str">
        <f t="shared" si="21"/>
        <v/>
      </c>
      <c r="DB27" s="55" t="str">
        <f t="shared" si="21"/>
        <v/>
      </c>
      <c r="DC27" s="55" t="str">
        <f t="shared" si="21"/>
        <v/>
      </c>
      <c r="DD27" s="55" t="str">
        <f t="shared" si="21"/>
        <v/>
      </c>
      <c r="DE27" s="55" t="str">
        <f t="shared" si="21"/>
        <v/>
      </c>
      <c r="DF27" s="55" t="str">
        <f t="shared" si="21"/>
        <v/>
      </c>
      <c r="DG27" s="55" t="str">
        <f t="shared" si="21"/>
        <v/>
      </c>
      <c r="DH27" s="55" t="str">
        <f t="shared" si="21"/>
        <v/>
      </c>
      <c r="DI27" s="55" t="str">
        <f t="shared" si="21"/>
        <v/>
      </c>
      <c r="DJ27" s="55" t="str">
        <f t="shared" si="21"/>
        <v/>
      </c>
      <c r="DK27" s="55" t="str">
        <f t="shared" si="21"/>
        <v/>
      </c>
      <c r="DL27" s="55" t="str">
        <f t="shared" si="21"/>
        <v/>
      </c>
      <c r="DM27" s="55" t="str">
        <f t="shared" si="21"/>
        <v/>
      </c>
      <c r="DN27" s="55" t="str">
        <f t="shared" si="21"/>
        <v/>
      </c>
      <c r="DO27" s="55" t="str">
        <f t="shared" si="21"/>
        <v/>
      </c>
      <c r="DP27" s="55" t="str">
        <f t="shared" si="21"/>
        <v/>
      </c>
      <c r="DQ27" s="55" t="str">
        <f t="shared" si="21"/>
        <v/>
      </c>
      <c r="DR27" s="55" t="str">
        <f t="shared" si="21"/>
        <v/>
      </c>
      <c r="DS27" s="55" t="str">
        <f t="shared" si="21"/>
        <v/>
      </c>
      <c r="DT27" s="110" t="str">
        <f t="shared" si="21"/>
        <v/>
      </c>
      <c r="DU27" s="54"/>
      <c r="DV27" s="25"/>
      <c r="DW27" s="61" t="str">
        <f t="shared" si="18"/>
        <v/>
      </c>
      <c r="DX27" s="50">
        <f t="shared" si="18"/>
        <v>409.53838736842118</v>
      </c>
      <c r="DY27" s="50" t="str">
        <f t="shared" si="18"/>
        <v/>
      </c>
      <c r="DZ27" s="50" t="str">
        <f t="shared" si="18"/>
        <v/>
      </c>
      <c r="EA27" s="50" t="str">
        <f t="shared" si="18"/>
        <v/>
      </c>
      <c r="EB27" s="50" t="str">
        <f t="shared" si="18"/>
        <v/>
      </c>
      <c r="EC27" s="50" t="str">
        <f t="shared" si="18"/>
        <v/>
      </c>
      <c r="ED27" s="50" t="str">
        <f t="shared" si="18"/>
        <v/>
      </c>
      <c r="EE27" s="50" t="str">
        <f t="shared" si="18"/>
        <v/>
      </c>
      <c r="EF27" s="50" t="str">
        <f t="shared" si="18"/>
        <v/>
      </c>
      <c r="EG27" s="50" t="str">
        <f t="shared" si="18"/>
        <v/>
      </c>
      <c r="EH27" s="50" t="str">
        <f t="shared" si="18"/>
        <v/>
      </c>
      <c r="EI27" s="50" t="str">
        <f t="shared" si="18"/>
        <v/>
      </c>
      <c r="EJ27" s="50" t="str">
        <f t="shared" si="18"/>
        <v/>
      </c>
      <c r="EK27" s="50" t="str">
        <f t="shared" si="18"/>
        <v/>
      </c>
      <c r="EL27" s="50" t="str">
        <f t="shared" si="18"/>
        <v/>
      </c>
      <c r="EM27" s="50" t="str">
        <f t="shared" si="19"/>
        <v/>
      </c>
      <c r="EN27" s="50" t="str">
        <f t="shared" si="19"/>
        <v/>
      </c>
      <c r="EO27" s="50" t="str">
        <f t="shared" si="19"/>
        <v/>
      </c>
      <c r="EP27" s="50" t="str">
        <f t="shared" si="19"/>
        <v/>
      </c>
      <c r="EQ27" s="50" t="str">
        <f t="shared" si="19"/>
        <v/>
      </c>
      <c r="ER27" s="50" t="str">
        <f t="shared" si="19"/>
        <v/>
      </c>
      <c r="ES27" s="50" t="str">
        <f t="shared" si="19"/>
        <v/>
      </c>
      <c r="ET27" s="50" t="str">
        <f t="shared" si="19"/>
        <v/>
      </c>
      <c r="EU27" s="50" t="str">
        <f t="shared" si="19"/>
        <v/>
      </c>
      <c r="EV27" s="50" t="str">
        <f t="shared" si="19"/>
        <v/>
      </c>
      <c r="EW27" s="50" t="str">
        <f t="shared" si="19"/>
        <v/>
      </c>
      <c r="EX27" s="50" t="str">
        <f t="shared" si="19"/>
        <v/>
      </c>
      <c r="EY27" s="50" t="str">
        <f t="shared" si="19"/>
        <v/>
      </c>
      <c r="EZ27" s="50" t="str">
        <f t="shared" si="19"/>
        <v/>
      </c>
      <c r="FA27" s="50" t="str">
        <f t="shared" si="19"/>
        <v/>
      </c>
      <c r="FB27" s="50" t="str">
        <f t="shared" si="19"/>
        <v/>
      </c>
      <c r="FC27" s="50" t="str">
        <f t="shared" ref="FC27:GG35" si="27">IF($B27=FC$12,$O27,"")</f>
        <v/>
      </c>
      <c r="FD27" s="50" t="str">
        <f t="shared" si="27"/>
        <v/>
      </c>
      <c r="FE27" s="50" t="str">
        <f t="shared" si="27"/>
        <v/>
      </c>
      <c r="FF27" s="50" t="str">
        <f t="shared" si="27"/>
        <v/>
      </c>
      <c r="FG27" s="50" t="str">
        <f t="shared" si="27"/>
        <v/>
      </c>
      <c r="FH27" s="50" t="str">
        <f t="shared" si="27"/>
        <v/>
      </c>
      <c r="FI27" s="50" t="str">
        <f t="shared" si="27"/>
        <v/>
      </c>
      <c r="FJ27" s="50" t="str">
        <f t="shared" si="27"/>
        <v/>
      </c>
      <c r="FK27" s="50" t="str">
        <f t="shared" si="27"/>
        <v/>
      </c>
      <c r="FL27" s="50" t="str">
        <f t="shared" si="27"/>
        <v/>
      </c>
      <c r="FM27" s="50" t="str">
        <f t="shared" si="27"/>
        <v/>
      </c>
      <c r="FN27" s="50" t="str">
        <f t="shared" si="27"/>
        <v/>
      </c>
      <c r="FO27" s="50" t="str">
        <f t="shared" si="27"/>
        <v/>
      </c>
      <c r="FP27" s="50" t="str">
        <f t="shared" si="27"/>
        <v/>
      </c>
      <c r="FQ27" s="50" t="str">
        <f t="shared" si="27"/>
        <v/>
      </c>
      <c r="FR27" s="50" t="str">
        <f t="shared" si="27"/>
        <v/>
      </c>
      <c r="FS27" s="50" t="str">
        <f t="shared" si="27"/>
        <v/>
      </c>
      <c r="FT27" s="50" t="str">
        <f t="shared" si="27"/>
        <v/>
      </c>
      <c r="FU27" s="50" t="str">
        <f t="shared" si="27"/>
        <v/>
      </c>
      <c r="FV27" s="50" t="str">
        <f t="shared" si="27"/>
        <v/>
      </c>
      <c r="FW27" s="50" t="str">
        <f t="shared" si="27"/>
        <v/>
      </c>
      <c r="FX27" s="50" t="str">
        <f t="shared" si="27"/>
        <v/>
      </c>
      <c r="FY27" s="50" t="str">
        <f t="shared" si="27"/>
        <v/>
      </c>
      <c r="FZ27" s="50" t="str">
        <f t="shared" si="27"/>
        <v/>
      </c>
      <c r="GA27" s="50" t="str">
        <f t="shared" si="27"/>
        <v/>
      </c>
      <c r="GB27" s="50" t="str">
        <f t="shared" si="27"/>
        <v/>
      </c>
      <c r="GC27" s="50" t="str">
        <f t="shared" si="27"/>
        <v/>
      </c>
      <c r="GD27" s="50" t="str">
        <f t="shared" si="27"/>
        <v/>
      </c>
      <c r="GE27" s="50" t="str">
        <f t="shared" si="27"/>
        <v/>
      </c>
      <c r="GF27" s="50" t="str">
        <f t="shared" si="27"/>
        <v/>
      </c>
      <c r="GG27" s="50" t="str">
        <f t="shared" si="27"/>
        <v/>
      </c>
      <c r="GH27" s="50" t="str">
        <f t="shared" si="14"/>
        <v/>
      </c>
      <c r="GI27" s="50" t="str">
        <f t="shared" si="14"/>
        <v/>
      </c>
      <c r="GJ27" s="50" t="str">
        <f t="shared" si="14"/>
        <v/>
      </c>
      <c r="GK27" s="50" t="str">
        <f t="shared" si="14"/>
        <v/>
      </c>
      <c r="GL27" s="50" t="str">
        <f t="shared" si="14"/>
        <v/>
      </c>
      <c r="GM27" s="50" t="str">
        <f t="shared" si="14"/>
        <v/>
      </c>
      <c r="GN27" s="50" t="str">
        <f t="shared" si="14"/>
        <v/>
      </c>
      <c r="GO27" s="50" t="str">
        <f t="shared" si="14"/>
        <v/>
      </c>
      <c r="GP27" s="50" t="str">
        <f t="shared" si="14"/>
        <v/>
      </c>
      <c r="GQ27" s="50" t="str">
        <f t="shared" si="14"/>
        <v/>
      </c>
      <c r="GR27" s="50" t="str">
        <f t="shared" si="14"/>
        <v/>
      </c>
      <c r="GS27" s="50" t="str">
        <f t="shared" si="14"/>
        <v/>
      </c>
      <c r="GT27" s="50" t="str">
        <f t="shared" si="14"/>
        <v/>
      </c>
      <c r="GU27" s="50" t="str">
        <f t="shared" si="14"/>
        <v/>
      </c>
      <c r="GV27" s="50" t="str">
        <f t="shared" si="14"/>
        <v/>
      </c>
      <c r="GW27" s="50" t="str">
        <f t="shared" si="14"/>
        <v/>
      </c>
      <c r="GX27" s="50" t="str">
        <f t="shared" si="22"/>
        <v/>
      </c>
      <c r="GY27" s="50" t="str">
        <f t="shared" si="22"/>
        <v/>
      </c>
      <c r="GZ27" s="50" t="str">
        <f t="shared" si="22"/>
        <v/>
      </c>
      <c r="HA27" s="50" t="str">
        <f t="shared" si="22"/>
        <v/>
      </c>
      <c r="HB27" s="50" t="str">
        <f t="shared" si="22"/>
        <v/>
      </c>
      <c r="HC27" s="50" t="str">
        <f t="shared" si="22"/>
        <v/>
      </c>
      <c r="HD27" s="50" t="str">
        <f t="shared" si="22"/>
        <v/>
      </c>
      <c r="HE27" s="50" t="str">
        <f t="shared" si="22"/>
        <v/>
      </c>
      <c r="HF27" s="50" t="str">
        <f t="shared" si="22"/>
        <v/>
      </c>
      <c r="HG27" s="50" t="str">
        <f t="shared" si="22"/>
        <v/>
      </c>
      <c r="HH27" s="50" t="str">
        <f t="shared" si="22"/>
        <v/>
      </c>
      <c r="HI27" s="50" t="str">
        <f t="shared" si="22"/>
        <v/>
      </c>
      <c r="HJ27" s="50" t="str">
        <f t="shared" si="22"/>
        <v/>
      </c>
      <c r="HK27" s="50" t="str">
        <f t="shared" si="22"/>
        <v/>
      </c>
      <c r="HL27" s="50" t="str">
        <f t="shared" si="22"/>
        <v/>
      </c>
      <c r="HM27" s="50" t="str">
        <f t="shared" si="22"/>
        <v/>
      </c>
      <c r="HN27" s="50" t="str">
        <f t="shared" si="23"/>
        <v/>
      </c>
      <c r="HO27" s="50" t="str">
        <f t="shared" si="23"/>
        <v/>
      </c>
      <c r="HP27" s="50" t="str">
        <f t="shared" si="23"/>
        <v/>
      </c>
      <c r="HQ27" s="50" t="str">
        <f t="shared" si="23"/>
        <v/>
      </c>
      <c r="HR27" s="116" t="str">
        <f t="shared" si="23"/>
        <v/>
      </c>
    </row>
    <row r="28" spans="1:226" ht="11.15" customHeight="1" x14ac:dyDescent="0.25">
      <c r="A28" s="26" t="s">
        <v>37</v>
      </c>
      <c r="B28" s="27">
        <v>2</v>
      </c>
      <c r="C28" s="28" t="str">
        <f>IF(A28=0,"",VLOOKUP(A28,[3]CO!$A$3:$F$5327,2,0))</f>
        <v>Excavacion terreno A 0.00-1.50 prof.</v>
      </c>
      <c r="D28" s="29"/>
      <c r="E28" s="29"/>
      <c r="F28" s="29"/>
      <c r="G28" s="30" t="str">
        <f>IF(A28=0,"",VLOOKUP(A28,[3]CO!$A$3:$F$5327,3,0))</f>
        <v>M3</v>
      </c>
      <c r="H28" s="29"/>
      <c r="I28" s="31">
        <v>11</v>
      </c>
      <c r="J28" s="31">
        <v>0.5</v>
      </c>
      <c r="K28" s="31">
        <v>1.2</v>
      </c>
      <c r="L28" s="31">
        <v>1</v>
      </c>
      <c r="M28" s="32">
        <f t="shared" si="4"/>
        <v>6.6</v>
      </c>
      <c r="N28" s="32">
        <f>IF(B28=0,"",IF(H28="M",HLOOKUP(B28,$Y$12:$DT$13,2),IF(A28=0,"",VLOOKUP(A28,[3]CO!$A$3:$F$5327,4,0))))</f>
        <v>179.85875598086128</v>
      </c>
      <c r="O28" s="32">
        <f t="shared" si="11"/>
        <v>1187.0677894736843</v>
      </c>
      <c r="P28" s="33"/>
      <c r="Q28" s="34" t="str">
        <f t="shared" si="5"/>
        <v/>
      </c>
      <c r="R28" s="35" t="str">
        <f t="shared" si="6"/>
        <v/>
      </c>
      <c r="S28" s="122"/>
      <c r="T28" s="53">
        <f>IF(A28=0,"",VLOOKUP(A28,[3]CO!$A$3:$F$5318,5,0))</f>
        <v>0</v>
      </c>
      <c r="U28" s="54">
        <f t="shared" si="12"/>
        <v>0</v>
      </c>
      <c r="V28" s="24"/>
      <c r="W28" s="25"/>
      <c r="X28" s="25"/>
      <c r="Y28" s="64" t="str">
        <f t="shared" si="15"/>
        <v/>
      </c>
      <c r="Z28" s="55">
        <f t="shared" si="15"/>
        <v>0</v>
      </c>
      <c r="AA28" s="55" t="str">
        <f t="shared" si="15"/>
        <v/>
      </c>
      <c r="AB28" s="55" t="str">
        <f t="shared" si="15"/>
        <v/>
      </c>
      <c r="AC28" s="55" t="str">
        <f t="shared" si="15"/>
        <v/>
      </c>
      <c r="AD28" s="55" t="str">
        <f t="shared" si="15"/>
        <v/>
      </c>
      <c r="AE28" s="55" t="str">
        <f t="shared" si="15"/>
        <v/>
      </c>
      <c r="AF28" s="55" t="str">
        <f t="shared" si="15"/>
        <v/>
      </c>
      <c r="AG28" s="55" t="str">
        <f t="shared" si="15"/>
        <v/>
      </c>
      <c r="AH28" s="55" t="str">
        <f t="shared" si="15"/>
        <v/>
      </c>
      <c r="AI28" s="55" t="str">
        <f t="shared" si="15"/>
        <v/>
      </c>
      <c r="AJ28" s="55" t="str">
        <f t="shared" si="15"/>
        <v/>
      </c>
      <c r="AK28" s="55" t="str">
        <f t="shared" si="15"/>
        <v/>
      </c>
      <c r="AL28" s="55" t="str">
        <f t="shared" si="15"/>
        <v/>
      </c>
      <c r="AM28" s="55" t="str">
        <f t="shared" si="15"/>
        <v/>
      </c>
      <c r="AN28" s="55" t="str">
        <f t="shared" si="15"/>
        <v/>
      </c>
      <c r="AO28" s="55" t="str">
        <f t="shared" si="16"/>
        <v/>
      </c>
      <c r="AP28" s="55" t="str">
        <f t="shared" si="16"/>
        <v/>
      </c>
      <c r="AQ28" s="55" t="str">
        <f t="shared" si="16"/>
        <v/>
      </c>
      <c r="AR28" s="55" t="str">
        <f t="shared" si="16"/>
        <v/>
      </c>
      <c r="AS28" s="55" t="str">
        <f t="shared" si="16"/>
        <v/>
      </c>
      <c r="AT28" s="55" t="str">
        <f t="shared" si="16"/>
        <v/>
      </c>
      <c r="AU28" s="55" t="str">
        <f t="shared" si="16"/>
        <v/>
      </c>
      <c r="AV28" s="55" t="str">
        <f t="shared" si="16"/>
        <v/>
      </c>
      <c r="AW28" s="55" t="str">
        <f t="shared" si="16"/>
        <v/>
      </c>
      <c r="AX28" s="55" t="str">
        <f t="shared" si="16"/>
        <v/>
      </c>
      <c r="AY28" s="55" t="str">
        <f t="shared" si="16"/>
        <v/>
      </c>
      <c r="AZ28" s="55" t="str">
        <f t="shared" si="16"/>
        <v/>
      </c>
      <c r="BA28" s="55" t="str">
        <f t="shared" si="16"/>
        <v/>
      </c>
      <c r="BB28" s="55" t="str">
        <f t="shared" si="16"/>
        <v/>
      </c>
      <c r="BC28" s="55" t="str">
        <f t="shared" si="16"/>
        <v/>
      </c>
      <c r="BD28" s="55" t="str">
        <f t="shared" si="16"/>
        <v/>
      </c>
      <c r="BE28" s="55" t="str">
        <f t="shared" si="26"/>
        <v/>
      </c>
      <c r="BF28" s="55" t="str">
        <f t="shared" si="26"/>
        <v/>
      </c>
      <c r="BG28" s="55" t="str">
        <f t="shared" si="26"/>
        <v/>
      </c>
      <c r="BH28" s="55" t="str">
        <f t="shared" si="26"/>
        <v/>
      </c>
      <c r="BI28" s="55" t="str">
        <f t="shared" si="26"/>
        <v/>
      </c>
      <c r="BJ28" s="55" t="str">
        <f t="shared" si="26"/>
        <v/>
      </c>
      <c r="BK28" s="55" t="str">
        <f t="shared" si="26"/>
        <v/>
      </c>
      <c r="BL28" s="55" t="str">
        <f t="shared" si="26"/>
        <v/>
      </c>
      <c r="BM28" s="55" t="str">
        <f t="shared" si="26"/>
        <v/>
      </c>
      <c r="BN28" s="55" t="str">
        <f t="shared" si="26"/>
        <v/>
      </c>
      <c r="BO28" s="55" t="str">
        <f t="shared" si="26"/>
        <v/>
      </c>
      <c r="BP28" s="55" t="str">
        <f t="shared" si="26"/>
        <v/>
      </c>
      <c r="BQ28" s="55" t="str">
        <f t="shared" si="26"/>
        <v/>
      </c>
      <c r="BR28" s="55" t="str">
        <f t="shared" si="26"/>
        <v/>
      </c>
      <c r="BS28" s="55" t="str">
        <f t="shared" si="26"/>
        <v/>
      </c>
      <c r="BT28" s="55" t="str">
        <f t="shared" si="26"/>
        <v/>
      </c>
      <c r="BU28" s="55" t="str">
        <f t="shared" si="26"/>
        <v/>
      </c>
      <c r="BV28" s="55" t="str">
        <f t="shared" si="26"/>
        <v/>
      </c>
      <c r="BW28" s="55" t="str">
        <f t="shared" si="26"/>
        <v/>
      </c>
      <c r="BX28" s="55" t="str">
        <f t="shared" si="26"/>
        <v/>
      </c>
      <c r="BY28" s="55" t="str">
        <f t="shared" si="26"/>
        <v/>
      </c>
      <c r="BZ28" s="55" t="str">
        <f t="shared" si="26"/>
        <v/>
      </c>
      <c r="CA28" s="55" t="str">
        <f t="shared" si="26"/>
        <v/>
      </c>
      <c r="CB28" s="55" t="str">
        <f t="shared" si="26"/>
        <v/>
      </c>
      <c r="CC28" s="55" t="str">
        <f t="shared" si="26"/>
        <v/>
      </c>
      <c r="CD28" s="55" t="str">
        <f t="shared" si="26"/>
        <v/>
      </c>
      <c r="CE28" s="55" t="str">
        <f t="shared" si="26"/>
        <v/>
      </c>
      <c r="CF28" s="55" t="str">
        <f t="shared" si="26"/>
        <v/>
      </c>
      <c r="CG28" s="55" t="str">
        <f t="shared" si="26"/>
        <v/>
      </c>
      <c r="CH28" s="55" t="str">
        <f t="shared" si="26"/>
        <v/>
      </c>
      <c r="CI28" s="55" t="str">
        <f t="shared" si="26"/>
        <v/>
      </c>
      <c r="CJ28" s="55" t="str">
        <f t="shared" si="13"/>
        <v/>
      </c>
      <c r="CK28" s="55" t="str">
        <f t="shared" si="13"/>
        <v/>
      </c>
      <c r="CL28" s="55" t="str">
        <f t="shared" si="13"/>
        <v/>
      </c>
      <c r="CM28" s="55" t="str">
        <f t="shared" si="13"/>
        <v/>
      </c>
      <c r="CN28" s="55" t="str">
        <f t="shared" si="13"/>
        <v/>
      </c>
      <c r="CO28" s="55" t="str">
        <f t="shared" si="13"/>
        <v/>
      </c>
      <c r="CP28" s="55" t="str">
        <f t="shared" si="13"/>
        <v/>
      </c>
      <c r="CQ28" s="55" t="str">
        <f t="shared" si="13"/>
        <v/>
      </c>
      <c r="CR28" s="55" t="str">
        <f t="shared" si="13"/>
        <v/>
      </c>
      <c r="CS28" s="55" t="str">
        <f t="shared" si="13"/>
        <v/>
      </c>
      <c r="CT28" s="55" t="str">
        <f t="shared" si="13"/>
        <v/>
      </c>
      <c r="CU28" s="55" t="str">
        <f t="shared" si="13"/>
        <v/>
      </c>
      <c r="CV28" s="55" t="str">
        <f t="shared" si="13"/>
        <v/>
      </c>
      <c r="CW28" s="55" t="str">
        <f t="shared" si="13"/>
        <v/>
      </c>
      <c r="CX28" s="55" t="str">
        <f t="shared" si="13"/>
        <v/>
      </c>
      <c r="CY28" s="55" t="str">
        <f t="shared" si="13"/>
        <v/>
      </c>
      <c r="CZ28" s="55" t="str">
        <f t="shared" si="21"/>
        <v/>
      </c>
      <c r="DA28" s="55" t="str">
        <f t="shared" si="21"/>
        <v/>
      </c>
      <c r="DB28" s="55" t="str">
        <f t="shared" si="21"/>
        <v/>
      </c>
      <c r="DC28" s="55" t="str">
        <f t="shared" si="21"/>
        <v/>
      </c>
      <c r="DD28" s="55" t="str">
        <f t="shared" si="21"/>
        <v/>
      </c>
      <c r="DE28" s="55" t="str">
        <f t="shared" si="21"/>
        <v/>
      </c>
      <c r="DF28" s="55" t="str">
        <f t="shared" si="21"/>
        <v/>
      </c>
      <c r="DG28" s="55" t="str">
        <f t="shared" si="21"/>
        <v/>
      </c>
      <c r="DH28" s="55" t="str">
        <f t="shared" si="21"/>
        <v/>
      </c>
      <c r="DI28" s="55" t="str">
        <f t="shared" si="21"/>
        <v/>
      </c>
      <c r="DJ28" s="55" t="str">
        <f t="shared" si="21"/>
        <v/>
      </c>
      <c r="DK28" s="55" t="str">
        <f t="shared" si="21"/>
        <v/>
      </c>
      <c r="DL28" s="55" t="str">
        <f t="shared" si="21"/>
        <v/>
      </c>
      <c r="DM28" s="55" t="str">
        <f t="shared" si="21"/>
        <v/>
      </c>
      <c r="DN28" s="55" t="str">
        <f t="shared" si="21"/>
        <v/>
      </c>
      <c r="DO28" s="55" t="str">
        <f t="shared" si="21"/>
        <v/>
      </c>
      <c r="DP28" s="55" t="str">
        <f t="shared" si="21"/>
        <v/>
      </c>
      <c r="DQ28" s="55" t="str">
        <f t="shared" si="21"/>
        <v/>
      </c>
      <c r="DR28" s="55" t="str">
        <f t="shared" si="21"/>
        <v/>
      </c>
      <c r="DS28" s="55" t="str">
        <f t="shared" si="21"/>
        <v/>
      </c>
      <c r="DT28" s="110" t="str">
        <f t="shared" si="21"/>
        <v/>
      </c>
      <c r="DU28" s="54"/>
      <c r="DV28" s="25"/>
      <c r="DW28" s="61" t="str">
        <f t="shared" si="18"/>
        <v/>
      </c>
      <c r="DX28" s="50">
        <f t="shared" si="18"/>
        <v>1187.0677894736843</v>
      </c>
      <c r="DY28" s="50" t="str">
        <f t="shared" si="18"/>
        <v/>
      </c>
      <c r="DZ28" s="50" t="str">
        <f t="shared" si="18"/>
        <v/>
      </c>
      <c r="EA28" s="50" t="str">
        <f t="shared" si="18"/>
        <v/>
      </c>
      <c r="EB28" s="50" t="str">
        <f t="shared" si="18"/>
        <v/>
      </c>
      <c r="EC28" s="50" t="str">
        <f t="shared" si="18"/>
        <v/>
      </c>
      <c r="ED28" s="50" t="str">
        <f t="shared" si="18"/>
        <v/>
      </c>
      <c r="EE28" s="50" t="str">
        <f t="shared" si="18"/>
        <v/>
      </c>
      <c r="EF28" s="50" t="str">
        <f t="shared" si="18"/>
        <v/>
      </c>
      <c r="EG28" s="50" t="str">
        <f t="shared" si="18"/>
        <v/>
      </c>
      <c r="EH28" s="50" t="str">
        <f t="shared" si="18"/>
        <v/>
      </c>
      <c r="EI28" s="50" t="str">
        <f t="shared" si="18"/>
        <v/>
      </c>
      <c r="EJ28" s="50" t="str">
        <f t="shared" si="18"/>
        <v/>
      </c>
      <c r="EK28" s="50" t="str">
        <f t="shared" si="18"/>
        <v/>
      </c>
      <c r="EL28" s="50" t="str">
        <f t="shared" si="18"/>
        <v/>
      </c>
      <c r="EM28" s="50" t="str">
        <f t="shared" si="19"/>
        <v/>
      </c>
      <c r="EN28" s="50" t="str">
        <f t="shared" si="19"/>
        <v/>
      </c>
      <c r="EO28" s="50" t="str">
        <f t="shared" si="19"/>
        <v/>
      </c>
      <c r="EP28" s="50" t="str">
        <f t="shared" si="19"/>
        <v/>
      </c>
      <c r="EQ28" s="50" t="str">
        <f t="shared" si="19"/>
        <v/>
      </c>
      <c r="ER28" s="50" t="str">
        <f t="shared" si="19"/>
        <v/>
      </c>
      <c r="ES28" s="50" t="str">
        <f t="shared" si="19"/>
        <v/>
      </c>
      <c r="ET28" s="50" t="str">
        <f t="shared" si="19"/>
        <v/>
      </c>
      <c r="EU28" s="50" t="str">
        <f t="shared" si="19"/>
        <v/>
      </c>
      <c r="EV28" s="50" t="str">
        <f t="shared" si="19"/>
        <v/>
      </c>
      <c r="EW28" s="50" t="str">
        <f t="shared" si="19"/>
        <v/>
      </c>
      <c r="EX28" s="50" t="str">
        <f t="shared" si="19"/>
        <v/>
      </c>
      <c r="EY28" s="50" t="str">
        <f t="shared" si="19"/>
        <v/>
      </c>
      <c r="EZ28" s="50" t="str">
        <f t="shared" si="19"/>
        <v/>
      </c>
      <c r="FA28" s="50" t="str">
        <f t="shared" si="19"/>
        <v/>
      </c>
      <c r="FB28" s="50" t="str">
        <f t="shared" si="19"/>
        <v/>
      </c>
      <c r="FC28" s="50" t="str">
        <f t="shared" si="27"/>
        <v/>
      </c>
      <c r="FD28" s="50" t="str">
        <f t="shared" si="27"/>
        <v/>
      </c>
      <c r="FE28" s="50" t="str">
        <f t="shared" si="27"/>
        <v/>
      </c>
      <c r="FF28" s="50" t="str">
        <f t="shared" si="27"/>
        <v/>
      </c>
      <c r="FG28" s="50" t="str">
        <f t="shared" si="27"/>
        <v/>
      </c>
      <c r="FH28" s="50" t="str">
        <f t="shared" si="27"/>
        <v/>
      </c>
      <c r="FI28" s="50" t="str">
        <f t="shared" si="27"/>
        <v/>
      </c>
      <c r="FJ28" s="50" t="str">
        <f t="shared" si="27"/>
        <v/>
      </c>
      <c r="FK28" s="50" t="str">
        <f t="shared" si="27"/>
        <v/>
      </c>
      <c r="FL28" s="50" t="str">
        <f t="shared" si="27"/>
        <v/>
      </c>
      <c r="FM28" s="50" t="str">
        <f t="shared" si="27"/>
        <v/>
      </c>
      <c r="FN28" s="50" t="str">
        <f t="shared" si="27"/>
        <v/>
      </c>
      <c r="FO28" s="50" t="str">
        <f t="shared" si="27"/>
        <v/>
      </c>
      <c r="FP28" s="50" t="str">
        <f t="shared" si="27"/>
        <v/>
      </c>
      <c r="FQ28" s="50" t="str">
        <f t="shared" si="27"/>
        <v/>
      </c>
      <c r="FR28" s="50" t="str">
        <f t="shared" si="27"/>
        <v/>
      </c>
      <c r="FS28" s="50" t="str">
        <f t="shared" si="27"/>
        <v/>
      </c>
      <c r="FT28" s="50" t="str">
        <f t="shared" si="27"/>
        <v/>
      </c>
      <c r="FU28" s="50" t="str">
        <f t="shared" si="27"/>
        <v/>
      </c>
      <c r="FV28" s="50" t="str">
        <f t="shared" si="27"/>
        <v/>
      </c>
      <c r="FW28" s="50" t="str">
        <f t="shared" si="27"/>
        <v/>
      </c>
      <c r="FX28" s="50" t="str">
        <f t="shared" si="27"/>
        <v/>
      </c>
      <c r="FY28" s="50" t="str">
        <f t="shared" si="27"/>
        <v/>
      </c>
      <c r="FZ28" s="50" t="str">
        <f t="shared" si="27"/>
        <v/>
      </c>
      <c r="GA28" s="50" t="str">
        <f t="shared" si="27"/>
        <v/>
      </c>
      <c r="GB28" s="50" t="str">
        <f t="shared" si="27"/>
        <v/>
      </c>
      <c r="GC28" s="50" t="str">
        <f t="shared" si="27"/>
        <v/>
      </c>
      <c r="GD28" s="50" t="str">
        <f t="shared" si="27"/>
        <v/>
      </c>
      <c r="GE28" s="50" t="str">
        <f t="shared" si="27"/>
        <v/>
      </c>
      <c r="GF28" s="50" t="str">
        <f t="shared" si="27"/>
        <v/>
      </c>
      <c r="GG28" s="50" t="str">
        <f t="shared" si="27"/>
        <v/>
      </c>
      <c r="GH28" s="50" t="str">
        <f t="shared" si="14"/>
        <v/>
      </c>
      <c r="GI28" s="50" t="str">
        <f t="shared" si="14"/>
        <v/>
      </c>
      <c r="GJ28" s="50" t="str">
        <f t="shared" si="14"/>
        <v/>
      </c>
      <c r="GK28" s="50" t="str">
        <f t="shared" si="14"/>
        <v/>
      </c>
      <c r="GL28" s="50" t="str">
        <f t="shared" si="14"/>
        <v/>
      </c>
      <c r="GM28" s="50" t="str">
        <f t="shared" si="14"/>
        <v/>
      </c>
      <c r="GN28" s="50" t="str">
        <f t="shared" si="14"/>
        <v/>
      </c>
      <c r="GO28" s="50" t="str">
        <f t="shared" si="14"/>
        <v/>
      </c>
      <c r="GP28" s="50" t="str">
        <f t="shared" si="14"/>
        <v/>
      </c>
      <c r="GQ28" s="50" t="str">
        <f t="shared" si="14"/>
        <v/>
      </c>
      <c r="GR28" s="50" t="str">
        <f t="shared" si="14"/>
        <v/>
      </c>
      <c r="GS28" s="50" t="str">
        <f t="shared" si="14"/>
        <v/>
      </c>
      <c r="GT28" s="50" t="str">
        <f t="shared" si="14"/>
        <v/>
      </c>
      <c r="GU28" s="50" t="str">
        <f t="shared" si="14"/>
        <v/>
      </c>
      <c r="GV28" s="50" t="str">
        <f t="shared" si="14"/>
        <v/>
      </c>
      <c r="GW28" s="50" t="str">
        <f t="shared" si="14"/>
        <v/>
      </c>
      <c r="GX28" s="50" t="str">
        <f t="shared" si="22"/>
        <v/>
      </c>
      <c r="GY28" s="50" t="str">
        <f t="shared" si="22"/>
        <v/>
      </c>
      <c r="GZ28" s="50" t="str">
        <f t="shared" si="22"/>
        <v/>
      </c>
      <c r="HA28" s="50" t="str">
        <f t="shared" si="22"/>
        <v/>
      </c>
      <c r="HB28" s="50" t="str">
        <f t="shared" si="22"/>
        <v/>
      </c>
      <c r="HC28" s="50" t="str">
        <f t="shared" si="22"/>
        <v/>
      </c>
      <c r="HD28" s="50" t="str">
        <f t="shared" si="22"/>
        <v/>
      </c>
      <c r="HE28" s="50" t="str">
        <f t="shared" si="22"/>
        <v/>
      </c>
      <c r="HF28" s="50" t="str">
        <f t="shared" si="22"/>
        <v/>
      </c>
      <c r="HG28" s="50" t="str">
        <f t="shared" si="22"/>
        <v/>
      </c>
      <c r="HH28" s="50" t="str">
        <f t="shared" si="22"/>
        <v/>
      </c>
      <c r="HI28" s="50" t="str">
        <f t="shared" si="22"/>
        <v/>
      </c>
      <c r="HJ28" s="50" t="str">
        <f t="shared" si="22"/>
        <v/>
      </c>
      <c r="HK28" s="50" t="str">
        <f t="shared" si="22"/>
        <v/>
      </c>
      <c r="HL28" s="50" t="str">
        <f t="shared" si="22"/>
        <v/>
      </c>
      <c r="HM28" s="50" t="str">
        <f t="shared" si="22"/>
        <v/>
      </c>
      <c r="HN28" s="50" t="str">
        <f t="shared" si="23"/>
        <v/>
      </c>
      <c r="HO28" s="50" t="str">
        <f t="shared" si="23"/>
        <v/>
      </c>
      <c r="HP28" s="50" t="str">
        <f t="shared" si="23"/>
        <v/>
      </c>
      <c r="HQ28" s="50" t="str">
        <f t="shared" si="23"/>
        <v/>
      </c>
      <c r="HR28" s="116" t="str">
        <f t="shared" si="23"/>
        <v/>
      </c>
    </row>
    <row r="29" spans="1:226" ht="11.15" customHeight="1" x14ac:dyDescent="0.25">
      <c r="A29" s="26" t="s">
        <v>37</v>
      </c>
      <c r="B29" s="27">
        <v>2</v>
      </c>
      <c r="C29" s="28" t="str">
        <f>IF(A29=0,"",VLOOKUP(A29,[3]CO!$A$3:$F$5327,2,0))</f>
        <v>Excavacion terreno A 0.00-1.50 prof.</v>
      </c>
      <c r="D29" s="29"/>
      <c r="E29" s="29"/>
      <c r="F29" s="29"/>
      <c r="G29" s="30" t="str">
        <f>IF(A29=0,"",VLOOKUP(A29,[3]CO!$A$3:$F$5327,3,0))</f>
        <v>M3</v>
      </c>
      <c r="H29" s="29"/>
      <c r="I29" s="31">
        <v>1.5</v>
      </c>
      <c r="J29" s="31">
        <v>1.5</v>
      </c>
      <c r="K29" s="31">
        <v>2.6</v>
      </c>
      <c r="L29" s="31">
        <v>1</v>
      </c>
      <c r="M29" s="32">
        <f t="shared" si="4"/>
        <v>5.8500000000000005</v>
      </c>
      <c r="N29" s="32">
        <f>IF(B29=0,"",IF(H29="M",HLOOKUP(B29,$Y$12:$DT$13,2),IF(A29=0,"",VLOOKUP(A29,[3]CO!$A$3:$F$5327,4,0))))</f>
        <v>179.85875598086128</v>
      </c>
      <c r="O29" s="32">
        <f t="shared" si="11"/>
        <v>1052.1737224880385</v>
      </c>
      <c r="P29" s="33"/>
      <c r="Q29" s="34" t="str">
        <f t="shared" si="5"/>
        <v/>
      </c>
      <c r="R29" s="35" t="str">
        <f t="shared" si="6"/>
        <v/>
      </c>
      <c r="S29" s="122"/>
      <c r="T29" s="53">
        <f>IF(A29=0,"",VLOOKUP(A29,[3]CO!$A$3:$F$5318,5,0))</f>
        <v>0</v>
      </c>
      <c r="U29" s="54">
        <f t="shared" si="12"/>
        <v>0</v>
      </c>
      <c r="V29" s="24"/>
      <c r="W29" s="25"/>
      <c r="X29" s="25"/>
      <c r="Y29" s="64" t="str">
        <f t="shared" si="15"/>
        <v/>
      </c>
      <c r="Z29" s="55">
        <f t="shared" si="15"/>
        <v>0</v>
      </c>
      <c r="AA29" s="55" t="str">
        <f t="shared" si="15"/>
        <v/>
      </c>
      <c r="AB29" s="55" t="str">
        <f t="shared" si="15"/>
        <v/>
      </c>
      <c r="AC29" s="55" t="str">
        <f t="shared" si="15"/>
        <v/>
      </c>
      <c r="AD29" s="55" t="str">
        <f t="shared" si="15"/>
        <v/>
      </c>
      <c r="AE29" s="55" t="str">
        <f t="shared" si="15"/>
        <v/>
      </c>
      <c r="AF29" s="55" t="str">
        <f t="shared" si="15"/>
        <v/>
      </c>
      <c r="AG29" s="55" t="str">
        <f t="shared" si="15"/>
        <v/>
      </c>
      <c r="AH29" s="55" t="str">
        <f t="shared" si="15"/>
        <v/>
      </c>
      <c r="AI29" s="55" t="str">
        <f t="shared" si="15"/>
        <v/>
      </c>
      <c r="AJ29" s="55" t="str">
        <f t="shared" si="15"/>
        <v/>
      </c>
      <c r="AK29" s="55" t="str">
        <f t="shared" si="15"/>
        <v/>
      </c>
      <c r="AL29" s="55" t="str">
        <f t="shared" si="15"/>
        <v/>
      </c>
      <c r="AM29" s="55" t="str">
        <f t="shared" si="15"/>
        <v/>
      </c>
      <c r="AN29" s="55" t="str">
        <f t="shared" si="15"/>
        <v/>
      </c>
      <c r="AO29" s="55" t="str">
        <f t="shared" si="16"/>
        <v/>
      </c>
      <c r="AP29" s="55" t="str">
        <f t="shared" si="16"/>
        <v/>
      </c>
      <c r="AQ29" s="55" t="str">
        <f t="shared" si="16"/>
        <v/>
      </c>
      <c r="AR29" s="55" t="str">
        <f t="shared" si="16"/>
        <v/>
      </c>
      <c r="AS29" s="55" t="str">
        <f t="shared" si="16"/>
        <v/>
      </c>
      <c r="AT29" s="55" t="str">
        <f t="shared" si="16"/>
        <v/>
      </c>
      <c r="AU29" s="55" t="str">
        <f t="shared" si="16"/>
        <v/>
      </c>
      <c r="AV29" s="55" t="str">
        <f t="shared" si="16"/>
        <v/>
      </c>
      <c r="AW29" s="55" t="str">
        <f t="shared" si="16"/>
        <v/>
      </c>
      <c r="AX29" s="55" t="str">
        <f t="shared" si="16"/>
        <v/>
      </c>
      <c r="AY29" s="55" t="str">
        <f t="shared" si="16"/>
        <v/>
      </c>
      <c r="AZ29" s="55" t="str">
        <f t="shared" si="16"/>
        <v/>
      </c>
      <c r="BA29" s="55" t="str">
        <f t="shared" si="16"/>
        <v/>
      </c>
      <c r="BB29" s="55" t="str">
        <f t="shared" si="16"/>
        <v/>
      </c>
      <c r="BC29" s="55" t="str">
        <f t="shared" si="16"/>
        <v/>
      </c>
      <c r="BD29" s="55" t="str">
        <f t="shared" si="16"/>
        <v/>
      </c>
      <c r="BE29" s="55" t="str">
        <f t="shared" si="26"/>
        <v/>
      </c>
      <c r="BF29" s="55" t="str">
        <f t="shared" si="26"/>
        <v/>
      </c>
      <c r="BG29" s="55" t="str">
        <f t="shared" si="26"/>
        <v/>
      </c>
      <c r="BH29" s="55" t="str">
        <f t="shared" si="26"/>
        <v/>
      </c>
      <c r="BI29" s="55" t="str">
        <f t="shared" si="26"/>
        <v/>
      </c>
      <c r="BJ29" s="55" t="str">
        <f t="shared" si="26"/>
        <v/>
      </c>
      <c r="BK29" s="55" t="str">
        <f t="shared" si="26"/>
        <v/>
      </c>
      <c r="BL29" s="55" t="str">
        <f t="shared" si="26"/>
        <v/>
      </c>
      <c r="BM29" s="55" t="str">
        <f t="shared" si="26"/>
        <v/>
      </c>
      <c r="BN29" s="55" t="str">
        <f t="shared" si="26"/>
        <v/>
      </c>
      <c r="BO29" s="55" t="str">
        <f t="shared" si="26"/>
        <v/>
      </c>
      <c r="BP29" s="55" t="str">
        <f t="shared" si="26"/>
        <v/>
      </c>
      <c r="BQ29" s="55" t="str">
        <f t="shared" si="26"/>
        <v/>
      </c>
      <c r="BR29" s="55" t="str">
        <f t="shared" si="26"/>
        <v/>
      </c>
      <c r="BS29" s="55" t="str">
        <f t="shared" si="26"/>
        <v/>
      </c>
      <c r="BT29" s="55" t="str">
        <f t="shared" si="26"/>
        <v/>
      </c>
      <c r="BU29" s="55" t="str">
        <f t="shared" si="26"/>
        <v/>
      </c>
      <c r="BV29" s="55" t="str">
        <f t="shared" si="26"/>
        <v/>
      </c>
      <c r="BW29" s="55" t="str">
        <f t="shared" si="26"/>
        <v/>
      </c>
      <c r="BX29" s="55" t="str">
        <f t="shared" si="26"/>
        <v/>
      </c>
      <c r="BY29" s="55" t="str">
        <f t="shared" si="26"/>
        <v/>
      </c>
      <c r="BZ29" s="55" t="str">
        <f t="shared" si="26"/>
        <v/>
      </c>
      <c r="CA29" s="55" t="str">
        <f t="shared" si="26"/>
        <v/>
      </c>
      <c r="CB29" s="55" t="str">
        <f t="shared" si="26"/>
        <v/>
      </c>
      <c r="CC29" s="55" t="str">
        <f t="shared" si="26"/>
        <v/>
      </c>
      <c r="CD29" s="55" t="str">
        <f t="shared" si="26"/>
        <v/>
      </c>
      <c r="CE29" s="55" t="str">
        <f t="shared" si="26"/>
        <v/>
      </c>
      <c r="CF29" s="55" t="str">
        <f t="shared" si="26"/>
        <v/>
      </c>
      <c r="CG29" s="55" t="str">
        <f t="shared" si="26"/>
        <v/>
      </c>
      <c r="CH29" s="55" t="str">
        <f t="shared" si="26"/>
        <v/>
      </c>
      <c r="CI29" s="55" t="str">
        <f t="shared" si="26"/>
        <v/>
      </c>
      <c r="CJ29" s="55" t="str">
        <f t="shared" si="13"/>
        <v/>
      </c>
      <c r="CK29" s="55" t="str">
        <f t="shared" si="13"/>
        <v/>
      </c>
      <c r="CL29" s="55" t="str">
        <f t="shared" si="13"/>
        <v/>
      </c>
      <c r="CM29" s="55" t="str">
        <f t="shared" si="13"/>
        <v/>
      </c>
      <c r="CN29" s="55" t="str">
        <f t="shared" si="13"/>
        <v/>
      </c>
      <c r="CO29" s="55" t="str">
        <f t="shared" si="13"/>
        <v/>
      </c>
      <c r="CP29" s="55" t="str">
        <f t="shared" si="13"/>
        <v/>
      </c>
      <c r="CQ29" s="55" t="str">
        <f t="shared" si="13"/>
        <v/>
      </c>
      <c r="CR29" s="55" t="str">
        <f t="shared" si="13"/>
        <v/>
      </c>
      <c r="CS29" s="55" t="str">
        <f t="shared" si="13"/>
        <v/>
      </c>
      <c r="CT29" s="55" t="str">
        <f t="shared" si="13"/>
        <v/>
      </c>
      <c r="CU29" s="55" t="str">
        <f t="shared" si="13"/>
        <v/>
      </c>
      <c r="CV29" s="55" t="str">
        <f t="shared" si="13"/>
        <v/>
      </c>
      <c r="CW29" s="55" t="str">
        <f t="shared" si="13"/>
        <v/>
      </c>
      <c r="CX29" s="55" t="str">
        <f t="shared" si="13"/>
        <v/>
      </c>
      <c r="CY29" s="55" t="str">
        <f t="shared" si="13"/>
        <v/>
      </c>
      <c r="CZ29" s="55" t="str">
        <f t="shared" si="21"/>
        <v/>
      </c>
      <c r="DA29" s="55" t="str">
        <f t="shared" si="21"/>
        <v/>
      </c>
      <c r="DB29" s="55" t="str">
        <f t="shared" si="21"/>
        <v/>
      </c>
      <c r="DC29" s="55" t="str">
        <f t="shared" si="21"/>
        <v/>
      </c>
      <c r="DD29" s="55" t="str">
        <f t="shared" si="21"/>
        <v/>
      </c>
      <c r="DE29" s="55" t="str">
        <f t="shared" si="21"/>
        <v/>
      </c>
      <c r="DF29" s="55" t="str">
        <f t="shared" si="21"/>
        <v/>
      </c>
      <c r="DG29" s="55" t="str">
        <f t="shared" si="21"/>
        <v/>
      </c>
      <c r="DH29" s="55" t="str">
        <f t="shared" si="21"/>
        <v/>
      </c>
      <c r="DI29" s="55" t="str">
        <f t="shared" si="21"/>
        <v/>
      </c>
      <c r="DJ29" s="55" t="str">
        <f t="shared" si="21"/>
        <v/>
      </c>
      <c r="DK29" s="55" t="str">
        <f t="shared" si="21"/>
        <v/>
      </c>
      <c r="DL29" s="55" t="str">
        <f t="shared" si="21"/>
        <v/>
      </c>
      <c r="DM29" s="55" t="str">
        <f t="shared" si="21"/>
        <v/>
      </c>
      <c r="DN29" s="55" t="str">
        <f t="shared" si="21"/>
        <v/>
      </c>
      <c r="DO29" s="55" t="str">
        <f t="shared" si="21"/>
        <v/>
      </c>
      <c r="DP29" s="55" t="str">
        <f t="shared" si="21"/>
        <v/>
      </c>
      <c r="DQ29" s="55" t="str">
        <f t="shared" si="21"/>
        <v/>
      </c>
      <c r="DR29" s="55" t="str">
        <f t="shared" si="21"/>
        <v/>
      </c>
      <c r="DS29" s="55" t="str">
        <f t="shared" si="21"/>
        <v/>
      </c>
      <c r="DT29" s="110" t="str">
        <f t="shared" si="21"/>
        <v/>
      </c>
      <c r="DU29" s="54"/>
      <c r="DV29" s="25"/>
      <c r="DW29" s="61" t="str">
        <f t="shared" si="18"/>
        <v/>
      </c>
      <c r="DX29" s="50">
        <f t="shared" si="18"/>
        <v>1052.1737224880385</v>
      </c>
      <c r="DY29" s="50" t="str">
        <f t="shared" si="18"/>
        <v/>
      </c>
      <c r="DZ29" s="50" t="str">
        <f t="shared" si="18"/>
        <v/>
      </c>
      <c r="EA29" s="50" t="str">
        <f t="shared" si="18"/>
        <v/>
      </c>
      <c r="EB29" s="50" t="str">
        <f t="shared" si="18"/>
        <v/>
      </c>
      <c r="EC29" s="50" t="str">
        <f t="shared" si="18"/>
        <v/>
      </c>
      <c r="ED29" s="50" t="str">
        <f t="shared" si="18"/>
        <v/>
      </c>
      <c r="EE29" s="50" t="str">
        <f t="shared" si="18"/>
        <v/>
      </c>
      <c r="EF29" s="50" t="str">
        <f t="shared" si="18"/>
        <v/>
      </c>
      <c r="EG29" s="50" t="str">
        <f t="shared" si="18"/>
        <v/>
      </c>
      <c r="EH29" s="50" t="str">
        <f t="shared" si="18"/>
        <v/>
      </c>
      <c r="EI29" s="50" t="str">
        <f t="shared" si="18"/>
        <v/>
      </c>
      <c r="EJ29" s="50" t="str">
        <f t="shared" si="18"/>
        <v/>
      </c>
      <c r="EK29" s="50" t="str">
        <f t="shared" si="18"/>
        <v/>
      </c>
      <c r="EL29" s="50" t="str">
        <f t="shared" si="18"/>
        <v/>
      </c>
      <c r="EM29" s="50" t="str">
        <f t="shared" si="19"/>
        <v/>
      </c>
      <c r="EN29" s="50" t="str">
        <f t="shared" si="19"/>
        <v/>
      </c>
      <c r="EO29" s="50" t="str">
        <f t="shared" si="19"/>
        <v/>
      </c>
      <c r="EP29" s="50" t="str">
        <f t="shared" si="19"/>
        <v/>
      </c>
      <c r="EQ29" s="50" t="str">
        <f t="shared" si="19"/>
        <v/>
      </c>
      <c r="ER29" s="50" t="str">
        <f t="shared" si="19"/>
        <v/>
      </c>
      <c r="ES29" s="50" t="str">
        <f t="shared" si="19"/>
        <v/>
      </c>
      <c r="ET29" s="50" t="str">
        <f t="shared" si="19"/>
        <v/>
      </c>
      <c r="EU29" s="50" t="str">
        <f t="shared" si="19"/>
        <v/>
      </c>
      <c r="EV29" s="50" t="str">
        <f t="shared" si="19"/>
        <v/>
      </c>
      <c r="EW29" s="50" t="str">
        <f t="shared" si="19"/>
        <v/>
      </c>
      <c r="EX29" s="50" t="str">
        <f t="shared" si="19"/>
        <v/>
      </c>
      <c r="EY29" s="50" t="str">
        <f t="shared" si="19"/>
        <v/>
      </c>
      <c r="EZ29" s="50" t="str">
        <f t="shared" si="19"/>
        <v/>
      </c>
      <c r="FA29" s="50" t="str">
        <f t="shared" si="19"/>
        <v/>
      </c>
      <c r="FB29" s="50" t="str">
        <f t="shared" si="19"/>
        <v/>
      </c>
      <c r="FC29" s="50" t="str">
        <f t="shared" si="27"/>
        <v/>
      </c>
      <c r="FD29" s="50" t="str">
        <f t="shared" si="27"/>
        <v/>
      </c>
      <c r="FE29" s="50" t="str">
        <f t="shared" si="27"/>
        <v/>
      </c>
      <c r="FF29" s="50" t="str">
        <f t="shared" si="27"/>
        <v/>
      </c>
      <c r="FG29" s="50" t="str">
        <f t="shared" si="27"/>
        <v/>
      </c>
      <c r="FH29" s="50" t="str">
        <f t="shared" si="27"/>
        <v/>
      </c>
      <c r="FI29" s="50" t="str">
        <f t="shared" si="27"/>
        <v/>
      </c>
      <c r="FJ29" s="50" t="str">
        <f t="shared" si="27"/>
        <v/>
      </c>
      <c r="FK29" s="50" t="str">
        <f t="shared" si="27"/>
        <v/>
      </c>
      <c r="FL29" s="50" t="str">
        <f t="shared" si="27"/>
        <v/>
      </c>
      <c r="FM29" s="50" t="str">
        <f t="shared" si="27"/>
        <v/>
      </c>
      <c r="FN29" s="50" t="str">
        <f t="shared" si="27"/>
        <v/>
      </c>
      <c r="FO29" s="50" t="str">
        <f t="shared" si="27"/>
        <v/>
      </c>
      <c r="FP29" s="50" t="str">
        <f t="shared" si="27"/>
        <v/>
      </c>
      <c r="FQ29" s="50" t="str">
        <f t="shared" si="27"/>
        <v/>
      </c>
      <c r="FR29" s="50" t="str">
        <f t="shared" si="27"/>
        <v/>
      </c>
      <c r="FS29" s="50" t="str">
        <f t="shared" si="27"/>
        <v/>
      </c>
      <c r="FT29" s="50" t="str">
        <f t="shared" si="27"/>
        <v/>
      </c>
      <c r="FU29" s="50" t="str">
        <f t="shared" si="27"/>
        <v/>
      </c>
      <c r="FV29" s="50" t="str">
        <f t="shared" si="27"/>
        <v/>
      </c>
      <c r="FW29" s="50" t="str">
        <f t="shared" si="27"/>
        <v/>
      </c>
      <c r="FX29" s="50" t="str">
        <f t="shared" si="27"/>
        <v/>
      </c>
      <c r="FY29" s="50" t="str">
        <f t="shared" si="27"/>
        <v/>
      </c>
      <c r="FZ29" s="50" t="str">
        <f t="shared" si="27"/>
        <v/>
      </c>
      <c r="GA29" s="50" t="str">
        <f t="shared" si="27"/>
        <v/>
      </c>
      <c r="GB29" s="50" t="str">
        <f t="shared" si="27"/>
        <v/>
      </c>
      <c r="GC29" s="50" t="str">
        <f t="shared" si="27"/>
        <v/>
      </c>
      <c r="GD29" s="50" t="str">
        <f t="shared" si="27"/>
        <v/>
      </c>
      <c r="GE29" s="50" t="str">
        <f t="shared" si="27"/>
        <v/>
      </c>
      <c r="GF29" s="50" t="str">
        <f t="shared" si="27"/>
        <v/>
      </c>
      <c r="GG29" s="50" t="str">
        <f t="shared" si="27"/>
        <v/>
      </c>
      <c r="GH29" s="50" t="str">
        <f t="shared" si="14"/>
        <v/>
      </c>
      <c r="GI29" s="50" t="str">
        <f t="shared" si="14"/>
        <v/>
      </c>
      <c r="GJ29" s="50" t="str">
        <f t="shared" si="14"/>
        <v/>
      </c>
      <c r="GK29" s="50" t="str">
        <f t="shared" si="14"/>
        <v/>
      </c>
      <c r="GL29" s="50" t="str">
        <f t="shared" si="14"/>
        <v/>
      </c>
      <c r="GM29" s="50" t="str">
        <f t="shared" si="14"/>
        <v/>
      </c>
      <c r="GN29" s="50" t="str">
        <f t="shared" si="14"/>
        <v/>
      </c>
      <c r="GO29" s="50" t="str">
        <f t="shared" si="14"/>
        <v/>
      </c>
      <c r="GP29" s="50" t="str">
        <f t="shared" si="14"/>
        <v/>
      </c>
      <c r="GQ29" s="50" t="str">
        <f t="shared" si="14"/>
        <v/>
      </c>
      <c r="GR29" s="50" t="str">
        <f t="shared" si="14"/>
        <v/>
      </c>
      <c r="GS29" s="50" t="str">
        <f t="shared" si="14"/>
        <v/>
      </c>
      <c r="GT29" s="50" t="str">
        <f t="shared" si="14"/>
        <v/>
      </c>
      <c r="GU29" s="50" t="str">
        <f t="shared" si="14"/>
        <v/>
      </c>
      <c r="GV29" s="50" t="str">
        <f t="shared" si="14"/>
        <v/>
      </c>
      <c r="GW29" s="50" t="str">
        <f t="shared" si="14"/>
        <v/>
      </c>
      <c r="GX29" s="50" t="str">
        <f t="shared" si="22"/>
        <v/>
      </c>
      <c r="GY29" s="50" t="str">
        <f t="shared" si="22"/>
        <v/>
      </c>
      <c r="GZ29" s="50" t="str">
        <f t="shared" si="22"/>
        <v/>
      </c>
      <c r="HA29" s="50" t="str">
        <f t="shared" si="22"/>
        <v/>
      </c>
      <c r="HB29" s="50" t="str">
        <f t="shared" si="22"/>
        <v/>
      </c>
      <c r="HC29" s="50" t="str">
        <f t="shared" si="22"/>
        <v/>
      </c>
      <c r="HD29" s="50" t="str">
        <f t="shared" si="22"/>
        <v/>
      </c>
      <c r="HE29" s="50" t="str">
        <f t="shared" si="22"/>
        <v/>
      </c>
      <c r="HF29" s="50" t="str">
        <f t="shared" si="22"/>
        <v/>
      </c>
      <c r="HG29" s="50" t="str">
        <f t="shared" si="22"/>
        <v/>
      </c>
      <c r="HH29" s="50" t="str">
        <f t="shared" si="22"/>
        <v/>
      </c>
      <c r="HI29" s="50" t="str">
        <f t="shared" si="22"/>
        <v/>
      </c>
      <c r="HJ29" s="50" t="str">
        <f t="shared" si="22"/>
        <v/>
      </c>
      <c r="HK29" s="50" t="str">
        <f t="shared" si="22"/>
        <v/>
      </c>
      <c r="HL29" s="50" t="str">
        <f t="shared" si="22"/>
        <v/>
      </c>
      <c r="HM29" s="50" t="str">
        <f t="shared" si="22"/>
        <v/>
      </c>
      <c r="HN29" s="50" t="str">
        <f t="shared" si="23"/>
        <v/>
      </c>
      <c r="HO29" s="50" t="str">
        <f t="shared" si="23"/>
        <v/>
      </c>
      <c r="HP29" s="50" t="str">
        <f t="shared" si="23"/>
        <v/>
      </c>
      <c r="HQ29" s="50" t="str">
        <f t="shared" si="23"/>
        <v/>
      </c>
      <c r="HR29" s="116" t="str">
        <f t="shared" si="23"/>
        <v/>
      </c>
    </row>
    <row r="30" spans="1:226" ht="11.15" customHeight="1" x14ac:dyDescent="0.25">
      <c r="A30" s="26" t="s">
        <v>38</v>
      </c>
      <c r="B30" s="27">
        <v>2</v>
      </c>
      <c r="C30" s="28" t="str">
        <f>IF(A30=0,"",VLOOKUP(A30,[3]CO!$A$3:$F$5327,2,0))</f>
        <v>Relleno con suelo cemento batido a mano y compactado</v>
      </c>
      <c r="D30" s="29"/>
      <c r="E30" s="29"/>
      <c r="F30" s="29"/>
      <c r="G30" s="30" t="str">
        <f>IF(A30=0,"",VLOOKUP(A30,[3]CO!$A$3:$F$5327,3,0))</f>
        <v>M3</v>
      </c>
      <c r="H30" s="29"/>
      <c r="I30" s="31">
        <v>11</v>
      </c>
      <c r="J30" s="31">
        <v>2.2000000000000002</v>
      </c>
      <c r="K30" s="31">
        <v>0.2</v>
      </c>
      <c r="L30" s="31">
        <v>1</v>
      </c>
      <c r="M30" s="32">
        <f t="shared" si="4"/>
        <v>4.8400000000000007</v>
      </c>
      <c r="N30" s="32">
        <f>IF(B30=0,"",IF(H30="M",HLOOKUP(B30,$Y$12:$DT$13,2),IF(A30=0,"",VLOOKUP(A30,[3]CO!$A$3:$F$5327,4,0))))</f>
        <v>163.08234273318871</v>
      </c>
      <c r="O30" s="32">
        <f t="shared" si="11"/>
        <v>789.31853882863345</v>
      </c>
      <c r="P30" s="33"/>
      <c r="Q30" s="34" t="str">
        <f t="shared" si="5"/>
        <v/>
      </c>
      <c r="R30" s="35" t="str">
        <f t="shared" si="6"/>
        <v/>
      </c>
      <c r="S30" s="122"/>
      <c r="T30" s="53">
        <f>IF(A30=0,"",VLOOKUP(A30,[3]CO!$A$3:$F$5318,5,0))</f>
        <v>0</v>
      </c>
      <c r="U30" s="54">
        <f t="shared" si="12"/>
        <v>0</v>
      </c>
      <c r="V30" s="24"/>
      <c r="W30" s="25"/>
      <c r="X30" s="25"/>
      <c r="Y30" s="64" t="str">
        <f t="shared" si="15"/>
        <v/>
      </c>
      <c r="Z30" s="55">
        <f t="shared" si="15"/>
        <v>0</v>
      </c>
      <c r="AA30" s="55" t="str">
        <f t="shared" si="15"/>
        <v/>
      </c>
      <c r="AB30" s="55" t="str">
        <f t="shared" si="15"/>
        <v/>
      </c>
      <c r="AC30" s="55" t="str">
        <f t="shared" si="15"/>
        <v/>
      </c>
      <c r="AD30" s="55" t="str">
        <f t="shared" si="15"/>
        <v/>
      </c>
      <c r="AE30" s="55" t="str">
        <f t="shared" si="15"/>
        <v/>
      </c>
      <c r="AF30" s="55" t="str">
        <f t="shared" si="15"/>
        <v/>
      </c>
      <c r="AG30" s="55" t="str">
        <f t="shared" si="15"/>
        <v/>
      </c>
      <c r="AH30" s="55" t="str">
        <f t="shared" si="15"/>
        <v/>
      </c>
      <c r="AI30" s="55" t="str">
        <f t="shared" si="15"/>
        <v/>
      </c>
      <c r="AJ30" s="55" t="str">
        <f t="shared" si="15"/>
        <v/>
      </c>
      <c r="AK30" s="55" t="str">
        <f t="shared" si="15"/>
        <v/>
      </c>
      <c r="AL30" s="55" t="str">
        <f t="shared" si="15"/>
        <v/>
      </c>
      <c r="AM30" s="55" t="str">
        <f t="shared" si="15"/>
        <v/>
      </c>
      <c r="AN30" s="55" t="str">
        <f t="shared" si="15"/>
        <v/>
      </c>
      <c r="AO30" s="55" t="str">
        <f t="shared" si="16"/>
        <v/>
      </c>
      <c r="AP30" s="55" t="str">
        <f t="shared" si="16"/>
        <v/>
      </c>
      <c r="AQ30" s="55" t="str">
        <f t="shared" si="16"/>
        <v/>
      </c>
      <c r="AR30" s="55" t="str">
        <f t="shared" si="16"/>
        <v/>
      </c>
      <c r="AS30" s="55" t="str">
        <f t="shared" si="16"/>
        <v/>
      </c>
      <c r="AT30" s="55" t="str">
        <f t="shared" si="16"/>
        <v/>
      </c>
      <c r="AU30" s="55" t="str">
        <f t="shared" si="16"/>
        <v/>
      </c>
      <c r="AV30" s="55" t="str">
        <f t="shared" si="16"/>
        <v/>
      </c>
      <c r="AW30" s="55" t="str">
        <f t="shared" si="16"/>
        <v/>
      </c>
      <c r="AX30" s="55" t="str">
        <f t="shared" si="16"/>
        <v/>
      </c>
      <c r="AY30" s="55" t="str">
        <f t="shared" si="16"/>
        <v/>
      </c>
      <c r="AZ30" s="55" t="str">
        <f t="shared" si="16"/>
        <v/>
      </c>
      <c r="BA30" s="55" t="str">
        <f t="shared" si="16"/>
        <v/>
      </c>
      <c r="BB30" s="55" t="str">
        <f t="shared" si="16"/>
        <v/>
      </c>
      <c r="BC30" s="55" t="str">
        <f t="shared" si="16"/>
        <v/>
      </c>
      <c r="BD30" s="55" t="str">
        <f t="shared" si="16"/>
        <v/>
      </c>
      <c r="BE30" s="55" t="str">
        <f t="shared" si="26"/>
        <v/>
      </c>
      <c r="BF30" s="55" t="str">
        <f t="shared" si="26"/>
        <v/>
      </c>
      <c r="BG30" s="55" t="str">
        <f t="shared" si="26"/>
        <v/>
      </c>
      <c r="BH30" s="55" t="str">
        <f t="shared" si="26"/>
        <v/>
      </c>
      <c r="BI30" s="55" t="str">
        <f t="shared" si="26"/>
        <v/>
      </c>
      <c r="BJ30" s="55" t="str">
        <f t="shared" si="26"/>
        <v/>
      </c>
      <c r="BK30" s="55" t="str">
        <f t="shared" si="26"/>
        <v/>
      </c>
      <c r="BL30" s="55" t="str">
        <f t="shared" si="26"/>
        <v/>
      </c>
      <c r="BM30" s="55" t="str">
        <f t="shared" si="26"/>
        <v/>
      </c>
      <c r="BN30" s="55" t="str">
        <f t="shared" si="26"/>
        <v/>
      </c>
      <c r="BO30" s="55" t="str">
        <f t="shared" si="26"/>
        <v/>
      </c>
      <c r="BP30" s="55" t="str">
        <f t="shared" si="26"/>
        <v/>
      </c>
      <c r="BQ30" s="55" t="str">
        <f t="shared" si="26"/>
        <v/>
      </c>
      <c r="BR30" s="55" t="str">
        <f t="shared" si="26"/>
        <v/>
      </c>
      <c r="BS30" s="55" t="str">
        <f t="shared" si="26"/>
        <v/>
      </c>
      <c r="BT30" s="55" t="str">
        <f t="shared" si="26"/>
        <v/>
      </c>
      <c r="BU30" s="55" t="str">
        <f t="shared" si="26"/>
        <v/>
      </c>
      <c r="BV30" s="55" t="str">
        <f t="shared" si="26"/>
        <v/>
      </c>
      <c r="BW30" s="55" t="str">
        <f t="shared" si="26"/>
        <v/>
      </c>
      <c r="BX30" s="55" t="str">
        <f t="shared" si="26"/>
        <v/>
      </c>
      <c r="BY30" s="55" t="str">
        <f t="shared" si="26"/>
        <v/>
      </c>
      <c r="BZ30" s="55" t="str">
        <f t="shared" si="26"/>
        <v/>
      </c>
      <c r="CA30" s="55" t="str">
        <f t="shared" si="26"/>
        <v/>
      </c>
      <c r="CB30" s="55" t="str">
        <f t="shared" si="26"/>
        <v/>
      </c>
      <c r="CC30" s="55" t="str">
        <f t="shared" si="26"/>
        <v/>
      </c>
      <c r="CD30" s="55" t="str">
        <f t="shared" si="26"/>
        <v/>
      </c>
      <c r="CE30" s="55" t="str">
        <f t="shared" si="26"/>
        <v/>
      </c>
      <c r="CF30" s="55" t="str">
        <f t="shared" si="26"/>
        <v/>
      </c>
      <c r="CG30" s="55" t="str">
        <f t="shared" si="26"/>
        <v/>
      </c>
      <c r="CH30" s="55" t="str">
        <f t="shared" si="26"/>
        <v/>
      </c>
      <c r="CI30" s="55" t="str">
        <f t="shared" si="26"/>
        <v/>
      </c>
      <c r="CJ30" s="55" t="str">
        <f t="shared" si="13"/>
        <v/>
      </c>
      <c r="CK30" s="55" t="str">
        <f t="shared" si="13"/>
        <v/>
      </c>
      <c r="CL30" s="55" t="str">
        <f t="shared" si="13"/>
        <v/>
      </c>
      <c r="CM30" s="55" t="str">
        <f t="shared" si="13"/>
        <v/>
      </c>
      <c r="CN30" s="55" t="str">
        <f t="shared" si="13"/>
        <v/>
      </c>
      <c r="CO30" s="55" t="str">
        <f t="shared" si="13"/>
        <v/>
      </c>
      <c r="CP30" s="55" t="str">
        <f t="shared" si="13"/>
        <v/>
      </c>
      <c r="CQ30" s="55" t="str">
        <f t="shared" si="13"/>
        <v/>
      </c>
      <c r="CR30" s="55" t="str">
        <f t="shared" si="13"/>
        <v/>
      </c>
      <c r="CS30" s="55" t="str">
        <f t="shared" si="13"/>
        <v/>
      </c>
      <c r="CT30" s="55" t="str">
        <f t="shared" si="13"/>
        <v/>
      </c>
      <c r="CU30" s="55" t="str">
        <f t="shared" si="13"/>
        <v/>
      </c>
      <c r="CV30" s="55" t="str">
        <f t="shared" si="13"/>
        <v/>
      </c>
      <c r="CW30" s="55" t="str">
        <f t="shared" si="13"/>
        <v/>
      </c>
      <c r="CX30" s="55" t="str">
        <f t="shared" si="13"/>
        <v/>
      </c>
      <c r="CY30" s="55" t="str">
        <f t="shared" si="13"/>
        <v/>
      </c>
      <c r="CZ30" s="55" t="str">
        <f t="shared" si="21"/>
        <v/>
      </c>
      <c r="DA30" s="55" t="str">
        <f t="shared" si="21"/>
        <v/>
      </c>
      <c r="DB30" s="55" t="str">
        <f t="shared" si="21"/>
        <v/>
      </c>
      <c r="DC30" s="55" t="str">
        <f t="shared" si="21"/>
        <v/>
      </c>
      <c r="DD30" s="55" t="str">
        <f t="shared" si="21"/>
        <v/>
      </c>
      <c r="DE30" s="55" t="str">
        <f t="shared" si="21"/>
        <v/>
      </c>
      <c r="DF30" s="55" t="str">
        <f t="shared" si="21"/>
        <v/>
      </c>
      <c r="DG30" s="55" t="str">
        <f t="shared" si="21"/>
        <v/>
      </c>
      <c r="DH30" s="55" t="str">
        <f t="shared" si="21"/>
        <v/>
      </c>
      <c r="DI30" s="55" t="str">
        <f t="shared" si="21"/>
        <v/>
      </c>
      <c r="DJ30" s="55" t="str">
        <f t="shared" si="21"/>
        <v/>
      </c>
      <c r="DK30" s="55" t="str">
        <f t="shared" si="21"/>
        <v/>
      </c>
      <c r="DL30" s="55" t="str">
        <f t="shared" si="21"/>
        <v/>
      </c>
      <c r="DM30" s="55" t="str">
        <f t="shared" si="21"/>
        <v/>
      </c>
      <c r="DN30" s="55" t="str">
        <f t="shared" si="21"/>
        <v/>
      </c>
      <c r="DO30" s="55" t="str">
        <f t="shared" si="21"/>
        <v/>
      </c>
      <c r="DP30" s="55" t="str">
        <f t="shared" si="21"/>
        <v/>
      </c>
      <c r="DQ30" s="55" t="str">
        <f t="shared" si="21"/>
        <v/>
      </c>
      <c r="DR30" s="55" t="str">
        <f t="shared" si="21"/>
        <v/>
      </c>
      <c r="DS30" s="55" t="str">
        <f t="shared" si="21"/>
        <v/>
      </c>
      <c r="DT30" s="110" t="str">
        <f t="shared" si="21"/>
        <v/>
      </c>
      <c r="DU30" s="54"/>
      <c r="DV30" s="25"/>
      <c r="DW30" s="61" t="str">
        <f t="shared" si="18"/>
        <v/>
      </c>
      <c r="DX30" s="50">
        <f t="shared" si="18"/>
        <v>789.31853882863345</v>
      </c>
      <c r="DY30" s="50" t="str">
        <f t="shared" si="18"/>
        <v/>
      </c>
      <c r="DZ30" s="50" t="str">
        <f t="shared" si="18"/>
        <v/>
      </c>
      <c r="EA30" s="50" t="str">
        <f t="shared" si="18"/>
        <v/>
      </c>
      <c r="EB30" s="50" t="str">
        <f t="shared" si="18"/>
        <v/>
      </c>
      <c r="EC30" s="50" t="str">
        <f t="shared" si="18"/>
        <v/>
      </c>
      <c r="ED30" s="50" t="str">
        <f t="shared" si="18"/>
        <v/>
      </c>
      <c r="EE30" s="50" t="str">
        <f t="shared" si="18"/>
        <v/>
      </c>
      <c r="EF30" s="50" t="str">
        <f t="shared" si="18"/>
        <v/>
      </c>
      <c r="EG30" s="50" t="str">
        <f t="shared" si="18"/>
        <v/>
      </c>
      <c r="EH30" s="50" t="str">
        <f t="shared" si="18"/>
        <v/>
      </c>
      <c r="EI30" s="50" t="str">
        <f t="shared" si="18"/>
        <v/>
      </c>
      <c r="EJ30" s="50" t="str">
        <f t="shared" si="18"/>
        <v/>
      </c>
      <c r="EK30" s="50" t="str">
        <f t="shared" si="18"/>
        <v/>
      </c>
      <c r="EL30" s="50" t="str">
        <f t="shared" si="18"/>
        <v/>
      </c>
      <c r="EM30" s="50" t="str">
        <f t="shared" si="19"/>
        <v/>
      </c>
      <c r="EN30" s="50" t="str">
        <f t="shared" si="19"/>
        <v/>
      </c>
      <c r="EO30" s="50" t="str">
        <f t="shared" si="19"/>
        <v/>
      </c>
      <c r="EP30" s="50" t="str">
        <f t="shared" si="19"/>
        <v/>
      </c>
      <c r="EQ30" s="50" t="str">
        <f t="shared" si="19"/>
        <v/>
      </c>
      <c r="ER30" s="50" t="str">
        <f t="shared" si="19"/>
        <v/>
      </c>
      <c r="ES30" s="50" t="str">
        <f t="shared" si="19"/>
        <v/>
      </c>
      <c r="ET30" s="50" t="str">
        <f t="shared" si="19"/>
        <v/>
      </c>
      <c r="EU30" s="50" t="str">
        <f t="shared" si="19"/>
        <v/>
      </c>
      <c r="EV30" s="50" t="str">
        <f t="shared" si="19"/>
        <v/>
      </c>
      <c r="EW30" s="50" t="str">
        <f t="shared" si="19"/>
        <v/>
      </c>
      <c r="EX30" s="50" t="str">
        <f t="shared" si="19"/>
        <v/>
      </c>
      <c r="EY30" s="50" t="str">
        <f t="shared" si="19"/>
        <v/>
      </c>
      <c r="EZ30" s="50" t="str">
        <f t="shared" si="19"/>
        <v/>
      </c>
      <c r="FA30" s="50" t="str">
        <f t="shared" si="19"/>
        <v/>
      </c>
      <c r="FB30" s="50" t="str">
        <f t="shared" si="19"/>
        <v/>
      </c>
      <c r="FC30" s="50" t="str">
        <f t="shared" si="27"/>
        <v/>
      </c>
      <c r="FD30" s="50" t="str">
        <f t="shared" si="27"/>
        <v/>
      </c>
      <c r="FE30" s="50" t="str">
        <f t="shared" si="27"/>
        <v/>
      </c>
      <c r="FF30" s="50" t="str">
        <f t="shared" si="27"/>
        <v/>
      </c>
      <c r="FG30" s="50" t="str">
        <f t="shared" si="27"/>
        <v/>
      </c>
      <c r="FH30" s="50" t="str">
        <f t="shared" si="27"/>
        <v/>
      </c>
      <c r="FI30" s="50" t="str">
        <f t="shared" si="27"/>
        <v/>
      </c>
      <c r="FJ30" s="50" t="str">
        <f t="shared" si="27"/>
        <v/>
      </c>
      <c r="FK30" s="50" t="str">
        <f t="shared" si="27"/>
        <v/>
      </c>
      <c r="FL30" s="50" t="str">
        <f t="shared" si="27"/>
        <v/>
      </c>
      <c r="FM30" s="50" t="str">
        <f t="shared" si="27"/>
        <v/>
      </c>
      <c r="FN30" s="50" t="str">
        <f t="shared" si="27"/>
        <v/>
      </c>
      <c r="FO30" s="50" t="str">
        <f t="shared" si="27"/>
        <v/>
      </c>
      <c r="FP30" s="50" t="str">
        <f t="shared" si="27"/>
        <v/>
      </c>
      <c r="FQ30" s="50" t="str">
        <f t="shared" si="27"/>
        <v/>
      </c>
      <c r="FR30" s="50" t="str">
        <f t="shared" si="27"/>
        <v/>
      </c>
      <c r="FS30" s="50" t="str">
        <f t="shared" si="27"/>
        <v/>
      </c>
      <c r="FT30" s="50" t="str">
        <f t="shared" si="27"/>
        <v/>
      </c>
      <c r="FU30" s="50" t="str">
        <f t="shared" si="27"/>
        <v/>
      </c>
      <c r="FV30" s="50" t="str">
        <f t="shared" si="27"/>
        <v/>
      </c>
      <c r="FW30" s="50" t="str">
        <f t="shared" si="27"/>
        <v/>
      </c>
      <c r="FX30" s="50" t="str">
        <f t="shared" si="27"/>
        <v/>
      </c>
      <c r="FY30" s="50" t="str">
        <f t="shared" si="27"/>
        <v/>
      </c>
      <c r="FZ30" s="50" t="str">
        <f t="shared" si="27"/>
        <v/>
      </c>
      <c r="GA30" s="50" t="str">
        <f t="shared" si="27"/>
        <v/>
      </c>
      <c r="GB30" s="50" t="str">
        <f t="shared" si="27"/>
        <v/>
      </c>
      <c r="GC30" s="50" t="str">
        <f t="shared" si="27"/>
        <v/>
      </c>
      <c r="GD30" s="50" t="str">
        <f t="shared" si="27"/>
        <v/>
      </c>
      <c r="GE30" s="50" t="str">
        <f t="shared" si="27"/>
        <v/>
      </c>
      <c r="GF30" s="50" t="str">
        <f t="shared" si="27"/>
        <v/>
      </c>
      <c r="GG30" s="50" t="str">
        <f t="shared" si="27"/>
        <v/>
      </c>
      <c r="GH30" s="50" t="str">
        <f t="shared" si="14"/>
        <v/>
      </c>
      <c r="GI30" s="50" t="str">
        <f t="shared" si="14"/>
        <v/>
      </c>
      <c r="GJ30" s="50" t="str">
        <f t="shared" si="14"/>
        <v/>
      </c>
      <c r="GK30" s="50" t="str">
        <f t="shared" si="14"/>
        <v/>
      </c>
      <c r="GL30" s="50" t="str">
        <f t="shared" si="14"/>
        <v/>
      </c>
      <c r="GM30" s="50" t="str">
        <f t="shared" si="14"/>
        <v/>
      </c>
      <c r="GN30" s="50" t="str">
        <f t="shared" si="14"/>
        <v/>
      </c>
      <c r="GO30" s="50" t="str">
        <f t="shared" si="14"/>
        <v/>
      </c>
      <c r="GP30" s="50" t="str">
        <f t="shared" si="14"/>
        <v/>
      </c>
      <c r="GQ30" s="50" t="str">
        <f t="shared" si="14"/>
        <v/>
      </c>
      <c r="GR30" s="50" t="str">
        <f t="shared" si="14"/>
        <v/>
      </c>
      <c r="GS30" s="50" t="str">
        <f t="shared" si="14"/>
        <v/>
      </c>
      <c r="GT30" s="50" t="str">
        <f t="shared" si="14"/>
        <v/>
      </c>
      <c r="GU30" s="50" t="str">
        <f t="shared" si="14"/>
        <v/>
      </c>
      <c r="GV30" s="50" t="str">
        <f t="shared" si="14"/>
        <v/>
      </c>
      <c r="GW30" s="50" t="str">
        <f t="shared" si="14"/>
        <v/>
      </c>
      <c r="GX30" s="50" t="str">
        <f t="shared" si="22"/>
        <v/>
      </c>
      <c r="GY30" s="50" t="str">
        <f t="shared" si="22"/>
        <v/>
      </c>
      <c r="GZ30" s="50" t="str">
        <f t="shared" si="22"/>
        <v/>
      </c>
      <c r="HA30" s="50" t="str">
        <f t="shared" si="22"/>
        <v/>
      </c>
      <c r="HB30" s="50" t="str">
        <f t="shared" si="22"/>
        <v/>
      </c>
      <c r="HC30" s="50" t="str">
        <f t="shared" si="22"/>
        <v/>
      </c>
      <c r="HD30" s="50" t="str">
        <f t="shared" si="22"/>
        <v/>
      </c>
      <c r="HE30" s="50" t="str">
        <f t="shared" si="22"/>
        <v/>
      </c>
      <c r="HF30" s="50" t="str">
        <f t="shared" si="22"/>
        <v/>
      </c>
      <c r="HG30" s="50" t="str">
        <f t="shared" si="22"/>
        <v/>
      </c>
      <c r="HH30" s="50" t="str">
        <f t="shared" si="22"/>
        <v/>
      </c>
      <c r="HI30" s="50" t="str">
        <f t="shared" si="22"/>
        <v/>
      </c>
      <c r="HJ30" s="50" t="str">
        <f t="shared" si="22"/>
        <v/>
      </c>
      <c r="HK30" s="50" t="str">
        <f t="shared" si="22"/>
        <v/>
      </c>
      <c r="HL30" s="50" t="str">
        <f t="shared" si="22"/>
        <v/>
      </c>
      <c r="HM30" s="50" t="str">
        <f t="shared" si="22"/>
        <v/>
      </c>
      <c r="HN30" s="50" t="str">
        <f t="shared" si="23"/>
        <v/>
      </c>
      <c r="HO30" s="50" t="str">
        <f t="shared" si="23"/>
        <v/>
      </c>
      <c r="HP30" s="50" t="str">
        <f t="shared" si="23"/>
        <v/>
      </c>
      <c r="HQ30" s="50" t="str">
        <f t="shared" si="23"/>
        <v/>
      </c>
      <c r="HR30" s="116" t="str">
        <f t="shared" si="23"/>
        <v/>
      </c>
    </row>
    <row r="31" spans="1:226" ht="11.15" customHeight="1" x14ac:dyDescent="0.25">
      <c r="A31" s="26" t="s">
        <v>38</v>
      </c>
      <c r="B31" s="27">
        <v>2</v>
      </c>
      <c r="C31" s="28" t="str">
        <f>IF(A31=0,"",VLOOKUP(A31,[3]CO!$A$3:$F$5327,2,0))</f>
        <v>Relleno con suelo cemento batido a mano y compactado</v>
      </c>
      <c r="D31" s="29"/>
      <c r="E31" s="29"/>
      <c r="F31" s="29"/>
      <c r="G31" s="30" t="str">
        <f>IF(A31=0,"",VLOOKUP(A31,[3]CO!$A$3:$F$5327,3,0))</f>
        <v>M3</v>
      </c>
      <c r="H31" s="29"/>
      <c r="I31" s="31">
        <v>11</v>
      </c>
      <c r="J31" s="31">
        <v>2.2000000000000002</v>
      </c>
      <c r="K31" s="31">
        <v>0.3</v>
      </c>
      <c r="L31" s="31">
        <v>1</v>
      </c>
      <c r="M31" s="32">
        <f t="shared" si="4"/>
        <v>7.2600000000000007</v>
      </c>
      <c r="N31" s="32">
        <f>IF(B31=0,"",IF(H31="M",HLOOKUP(B31,$Y$12:$DT$13,2),IF(A31=0,"",VLOOKUP(A31,[3]CO!$A$3:$F$5327,4,0))))</f>
        <v>163.08234273318871</v>
      </c>
      <c r="O31" s="32">
        <f t="shared" si="11"/>
        <v>1183.9778082429502</v>
      </c>
      <c r="P31" s="33"/>
      <c r="Q31" s="34" t="str">
        <f t="shared" si="5"/>
        <v/>
      </c>
      <c r="R31" s="35" t="str">
        <f t="shared" si="6"/>
        <v/>
      </c>
      <c r="S31" s="122"/>
      <c r="T31" s="53">
        <f>IF(A31=0,"",VLOOKUP(A31,[3]CO!$A$3:$F$5318,5,0))</f>
        <v>0</v>
      </c>
      <c r="U31" s="54">
        <f t="shared" si="12"/>
        <v>0</v>
      </c>
      <c r="V31" s="24"/>
      <c r="W31" s="25"/>
      <c r="X31" s="25"/>
      <c r="Y31" s="64" t="str">
        <f t="shared" si="15"/>
        <v/>
      </c>
      <c r="Z31" s="55">
        <f t="shared" si="15"/>
        <v>0</v>
      </c>
      <c r="AA31" s="55" t="str">
        <f t="shared" si="15"/>
        <v/>
      </c>
      <c r="AB31" s="55" t="str">
        <f t="shared" si="15"/>
        <v/>
      </c>
      <c r="AC31" s="55" t="str">
        <f t="shared" si="15"/>
        <v/>
      </c>
      <c r="AD31" s="55" t="str">
        <f t="shared" si="15"/>
        <v/>
      </c>
      <c r="AE31" s="55" t="str">
        <f t="shared" si="15"/>
        <v/>
      </c>
      <c r="AF31" s="55" t="str">
        <f t="shared" si="15"/>
        <v/>
      </c>
      <c r="AG31" s="55" t="str">
        <f t="shared" si="15"/>
        <v/>
      </c>
      <c r="AH31" s="55" t="str">
        <f t="shared" si="15"/>
        <v/>
      </c>
      <c r="AI31" s="55" t="str">
        <f t="shared" si="15"/>
        <v/>
      </c>
      <c r="AJ31" s="55" t="str">
        <f t="shared" si="15"/>
        <v/>
      </c>
      <c r="AK31" s="55" t="str">
        <f t="shared" si="15"/>
        <v/>
      </c>
      <c r="AL31" s="55" t="str">
        <f t="shared" si="15"/>
        <v/>
      </c>
      <c r="AM31" s="55" t="str">
        <f t="shared" si="15"/>
        <v/>
      </c>
      <c r="AN31" s="55" t="str">
        <f t="shared" si="15"/>
        <v/>
      </c>
      <c r="AO31" s="55" t="str">
        <f t="shared" si="16"/>
        <v/>
      </c>
      <c r="AP31" s="55" t="str">
        <f t="shared" si="16"/>
        <v/>
      </c>
      <c r="AQ31" s="55" t="str">
        <f t="shared" si="16"/>
        <v/>
      </c>
      <c r="AR31" s="55" t="str">
        <f t="shared" si="16"/>
        <v/>
      </c>
      <c r="AS31" s="55" t="str">
        <f t="shared" si="16"/>
        <v/>
      </c>
      <c r="AT31" s="55" t="str">
        <f t="shared" si="16"/>
        <v/>
      </c>
      <c r="AU31" s="55" t="str">
        <f t="shared" si="16"/>
        <v/>
      </c>
      <c r="AV31" s="55" t="str">
        <f t="shared" si="16"/>
        <v/>
      </c>
      <c r="AW31" s="55" t="str">
        <f t="shared" si="16"/>
        <v/>
      </c>
      <c r="AX31" s="55" t="str">
        <f t="shared" si="16"/>
        <v/>
      </c>
      <c r="AY31" s="55" t="str">
        <f t="shared" si="16"/>
        <v/>
      </c>
      <c r="AZ31" s="55" t="str">
        <f t="shared" si="16"/>
        <v/>
      </c>
      <c r="BA31" s="55" t="str">
        <f t="shared" si="16"/>
        <v/>
      </c>
      <c r="BB31" s="55" t="str">
        <f t="shared" si="16"/>
        <v/>
      </c>
      <c r="BC31" s="55" t="str">
        <f t="shared" si="16"/>
        <v/>
      </c>
      <c r="BD31" s="55" t="str">
        <f t="shared" si="16"/>
        <v/>
      </c>
      <c r="BE31" s="55" t="str">
        <f t="shared" si="26"/>
        <v/>
      </c>
      <c r="BF31" s="55" t="str">
        <f t="shared" si="26"/>
        <v/>
      </c>
      <c r="BG31" s="55" t="str">
        <f t="shared" si="26"/>
        <v/>
      </c>
      <c r="BH31" s="55" t="str">
        <f t="shared" si="26"/>
        <v/>
      </c>
      <c r="BI31" s="55" t="str">
        <f t="shared" si="26"/>
        <v/>
      </c>
      <c r="BJ31" s="55" t="str">
        <f t="shared" si="26"/>
        <v/>
      </c>
      <c r="BK31" s="55" t="str">
        <f t="shared" si="26"/>
        <v/>
      </c>
      <c r="BL31" s="55" t="str">
        <f t="shared" si="26"/>
        <v/>
      </c>
      <c r="BM31" s="55" t="str">
        <f t="shared" si="26"/>
        <v/>
      </c>
      <c r="BN31" s="55" t="str">
        <f t="shared" si="26"/>
        <v/>
      </c>
      <c r="BO31" s="55" t="str">
        <f t="shared" si="26"/>
        <v/>
      </c>
      <c r="BP31" s="55" t="str">
        <f t="shared" si="26"/>
        <v/>
      </c>
      <c r="BQ31" s="55" t="str">
        <f t="shared" si="26"/>
        <v/>
      </c>
      <c r="BR31" s="55" t="str">
        <f t="shared" si="26"/>
        <v/>
      </c>
      <c r="BS31" s="55" t="str">
        <f t="shared" si="26"/>
        <v/>
      </c>
      <c r="BT31" s="55" t="str">
        <f t="shared" si="26"/>
        <v/>
      </c>
      <c r="BU31" s="55" t="str">
        <f t="shared" si="26"/>
        <v/>
      </c>
      <c r="BV31" s="55" t="str">
        <f t="shared" si="26"/>
        <v/>
      </c>
      <c r="BW31" s="55" t="str">
        <f t="shared" si="26"/>
        <v/>
      </c>
      <c r="BX31" s="55" t="str">
        <f t="shared" si="26"/>
        <v/>
      </c>
      <c r="BY31" s="55" t="str">
        <f t="shared" si="26"/>
        <v/>
      </c>
      <c r="BZ31" s="55" t="str">
        <f t="shared" si="26"/>
        <v/>
      </c>
      <c r="CA31" s="55" t="str">
        <f t="shared" si="26"/>
        <v/>
      </c>
      <c r="CB31" s="55" t="str">
        <f t="shared" si="26"/>
        <v/>
      </c>
      <c r="CC31" s="55" t="str">
        <f t="shared" si="26"/>
        <v/>
      </c>
      <c r="CD31" s="55" t="str">
        <f t="shared" si="26"/>
        <v/>
      </c>
      <c r="CE31" s="55" t="str">
        <f t="shared" si="26"/>
        <v/>
      </c>
      <c r="CF31" s="55" t="str">
        <f t="shared" si="26"/>
        <v/>
      </c>
      <c r="CG31" s="55" t="str">
        <f t="shared" si="26"/>
        <v/>
      </c>
      <c r="CH31" s="55" t="str">
        <f t="shared" si="26"/>
        <v/>
      </c>
      <c r="CI31" s="55" t="str">
        <f t="shared" si="26"/>
        <v/>
      </c>
      <c r="CJ31" s="55" t="str">
        <f t="shared" si="13"/>
        <v/>
      </c>
      <c r="CK31" s="55" t="str">
        <f t="shared" si="13"/>
        <v/>
      </c>
      <c r="CL31" s="55" t="str">
        <f t="shared" si="13"/>
        <v/>
      </c>
      <c r="CM31" s="55" t="str">
        <f t="shared" si="13"/>
        <v/>
      </c>
      <c r="CN31" s="55" t="str">
        <f t="shared" si="13"/>
        <v/>
      </c>
      <c r="CO31" s="55" t="str">
        <f t="shared" si="13"/>
        <v/>
      </c>
      <c r="CP31" s="55" t="str">
        <f t="shared" si="13"/>
        <v/>
      </c>
      <c r="CQ31" s="55" t="str">
        <f t="shared" si="13"/>
        <v/>
      </c>
      <c r="CR31" s="55" t="str">
        <f t="shared" si="13"/>
        <v/>
      </c>
      <c r="CS31" s="55" t="str">
        <f t="shared" si="13"/>
        <v/>
      </c>
      <c r="CT31" s="55" t="str">
        <f t="shared" si="13"/>
        <v/>
      </c>
      <c r="CU31" s="55" t="str">
        <f t="shared" si="13"/>
        <v/>
      </c>
      <c r="CV31" s="55" t="str">
        <f t="shared" si="13"/>
        <v/>
      </c>
      <c r="CW31" s="55" t="str">
        <f t="shared" si="13"/>
        <v/>
      </c>
      <c r="CX31" s="55" t="str">
        <f t="shared" si="13"/>
        <v/>
      </c>
      <c r="CY31" s="55" t="str">
        <f t="shared" si="13"/>
        <v/>
      </c>
      <c r="CZ31" s="55" t="str">
        <f t="shared" si="21"/>
        <v/>
      </c>
      <c r="DA31" s="55" t="str">
        <f t="shared" si="21"/>
        <v/>
      </c>
      <c r="DB31" s="55" t="str">
        <f t="shared" si="21"/>
        <v/>
      </c>
      <c r="DC31" s="55" t="str">
        <f t="shared" si="21"/>
        <v/>
      </c>
      <c r="DD31" s="55" t="str">
        <f t="shared" si="21"/>
        <v/>
      </c>
      <c r="DE31" s="55" t="str">
        <f t="shared" si="21"/>
        <v/>
      </c>
      <c r="DF31" s="55" t="str">
        <f t="shared" si="21"/>
        <v/>
      </c>
      <c r="DG31" s="55" t="str">
        <f t="shared" si="21"/>
        <v/>
      </c>
      <c r="DH31" s="55" t="str">
        <f t="shared" si="21"/>
        <v/>
      </c>
      <c r="DI31" s="55" t="str">
        <f t="shared" si="21"/>
        <v/>
      </c>
      <c r="DJ31" s="55" t="str">
        <f t="shared" si="21"/>
        <v/>
      </c>
      <c r="DK31" s="55" t="str">
        <f t="shared" si="21"/>
        <v/>
      </c>
      <c r="DL31" s="55" t="str">
        <f t="shared" si="21"/>
        <v/>
      </c>
      <c r="DM31" s="55" t="str">
        <f t="shared" si="21"/>
        <v/>
      </c>
      <c r="DN31" s="55" t="str">
        <f t="shared" si="21"/>
        <v/>
      </c>
      <c r="DO31" s="55" t="str">
        <f t="shared" si="21"/>
        <v/>
      </c>
      <c r="DP31" s="55" t="str">
        <f t="shared" si="21"/>
        <v/>
      </c>
      <c r="DQ31" s="55" t="str">
        <f t="shared" si="21"/>
        <v/>
      </c>
      <c r="DR31" s="55" t="str">
        <f t="shared" si="21"/>
        <v/>
      </c>
      <c r="DS31" s="55" t="str">
        <f t="shared" si="21"/>
        <v/>
      </c>
      <c r="DT31" s="110" t="str">
        <f t="shared" si="21"/>
        <v/>
      </c>
      <c r="DU31" s="54"/>
      <c r="DV31" s="25"/>
      <c r="DW31" s="61" t="str">
        <f t="shared" si="18"/>
        <v/>
      </c>
      <c r="DX31" s="50">
        <f t="shared" si="18"/>
        <v>1183.9778082429502</v>
      </c>
      <c r="DY31" s="50" t="str">
        <f t="shared" si="18"/>
        <v/>
      </c>
      <c r="DZ31" s="50" t="str">
        <f t="shared" si="18"/>
        <v/>
      </c>
      <c r="EA31" s="50" t="str">
        <f t="shared" si="18"/>
        <v/>
      </c>
      <c r="EB31" s="50" t="str">
        <f t="shared" si="18"/>
        <v/>
      </c>
      <c r="EC31" s="50" t="str">
        <f t="shared" si="18"/>
        <v/>
      </c>
      <c r="ED31" s="50" t="str">
        <f t="shared" si="18"/>
        <v/>
      </c>
      <c r="EE31" s="50" t="str">
        <f t="shared" si="18"/>
        <v/>
      </c>
      <c r="EF31" s="50" t="str">
        <f t="shared" si="18"/>
        <v/>
      </c>
      <c r="EG31" s="50" t="str">
        <f t="shared" si="18"/>
        <v/>
      </c>
      <c r="EH31" s="50" t="str">
        <f t="shared" si="18"/>
        <v/>
      </c>
      <c r="EI31" s="50" t="str">
        <f t="shared" si="18"/>
        <v/>
      </c>
      <c r="EJ31" s="50" t="str">
        <f t="shared" si="18"/>
        <v/>
      </c>
      <c r="EK31" s="50" t="str">
        <f t="shared" si="18"/>
        <v/>
      </c>
      <c r="EL31" s="50" t="str">
        <f t="shared" si="18"/>
        <v/>
      </c>
      <c r="EM31" s="50" t="str">
        <f t="shared" si="19"/>
        <v/>
      </c>
      <c r="EN31" s="50" t="str">
        <f t="shared" si="19"/>
        <v/>
      </c>
      <c r="EO31" s="50" t="str">
        <f t="shared" si="19"/>
        <v/>
      </c>
      <c r="EP31" s="50" t="str">
        <f t="shared" si="19"/>
        <v/>
      </c>
      <c r="EQ31" s="50" t="str">
        <f t="shared" si="19"/>
        <v/>
      </c>
      <c r="ER31" s="50" t="str">
        <f t="shared" si="19"/>
        <v/>
      </c>
      <c r="ES31" s="50" t="str">
        <f t="shared" si="19"/>
        <v/>
      </c>
      <c r="ET31" s="50" t="str">
        <f t="shared" si="19"/>
        <v/>
      </c>
      <c r="EU31" s="50" t="str">
        <f t="shared" si="19"/>
        <v/>
      </c>
      <c r="EV31" s="50" t="str">
        <f t="shared" si="19"/>
        <v/>
      </c>
      <c r="EW31" s="50" t="str">
        <f t="shared" si="19"/>
        <v/>
      </c>
      <c r="EX31" s="50" t="str">
        <f t="shared" si="19"/>
        <v/>
      </c>
      <c r="EY31" s="50" t="str">
        <f t="shared" si="19"/>
        <v/>
      </c>
      <c r="EZ31" s="50" t="str">
        <f t="shared" si="19"/>
        <v/>
      </c>
      <c r="FA31" s="50" t="str">
        <f t="shared" si="19"/>
        <v/>
      </c>
      <c r="FB31" s="50" t="str">
        <f t="shared" si="19"/>
        <v/>
      </c>
      <c r="FC31" s="50" t="str">
        <f t="shared" si="27"/>
        <v/>
      </c>
      <c r="FD31" s="50" t="str">
        <f t="shared" si="27"/>
        <v/>
      </c>
      <c r="FE31" s="50" t="str">
        <f t="shared" si="27"/>
        <v/>
      </c>
      <c r="FF31" s="50" t="str">
        <f t="shared" si="27"/>
        <v/>
      </c>
      <c r="FG31" s="50" t="str">
        <f t="shared" si="27"/>
        <v/>
      </c>
      <c r="FH31" s="50" t="str">
        <f t="shared" si="27"/>
        <v/>
      </c>
      <c r="FI31" s="50" t="str">
        <f t="shared" si="27"/>
        <v/>
      </c>
      <c r="FJ31" s="50" t="str">
        <f t="shared" si="27"/>
        <v/>
      </c>
      <c r="FK31" s="50" t="str">
        <f t="shared" si="27"/>
        <v/>
      </c>
      <c r="FL31" s="50" t="str">
        <f t="shared" si="27"/>
        <v/>
      </c>
      <c r="FM31" s="50" t="str">
        <f t="shared" si="27"/>
        <v/>
      </c>
      <c r="FN31" s="50" t="str">
        <f t="shared" si="27"/>
        <v/>
      </c>
      <c r="FO31" s="50" t="str">
        <f t="shared" si="27"/>
        <v/>
      </c>
      <c r="FP31" s="50" t="str">
        <f t="shared" si="27"/>
        <v/>
      </c>
      <c r="FQ31" s="50" t="str">
        <f t="shared" si="27"/>
        <v/>
      </c>
      <c r="FR31" s="50" t="str">
        <f t="shared" si="27"/>
        <v/>
      </c>
      <c r="FS31" s="50" t="str">
        <f t="shared" si="27"/>
        <v/>
      </c>
      <c r="FT31" s="50" t="str">
        <f t="shared" si="27"/>
        <v/>
      </c>
      <c r="FU31" s="50" t="str">
        <f t="shared" si="27"/>
        <v/>
      </c>
      <c r="FV31" s="50" t="str">
        <f t="shared" si="27"/>
        <v/>
      </c>
      <c r="FW31" s="50" t="str">
        <f t="shared" si="27"/>
        <v/>
      </c>
      <c r="FX31" s="50" t="str">
        <f t="shared" si="27"/>
        <v/>
      </c>
      <c r="FY31" s="50" t="str">
        <f t="shared" si="27"/>
        <v/>
      </c>
      <c r="FZ31" s="50" t="str">
        <f t="shared" si="27"/>
        <v/>
      </c>
      <c r="GA31" s="50" t="str">
        <f t="shared" si="27"/>
        <v/>
      </c>
      <c r="GB31" s="50" t="str">
        <f t="shared" si="27"/>
        <v/>
      </c>
      <c r="GC31" s="50" t="str">
        <f t="shared" si="27"/>
        <v/>
      </c>
      <c r="GD31" s="50" t="str">
        <f t="shared" si="27"/>
        <v/>
      </c>
      <c r="GE31" s="50" t="str">
        <f t="shared" si="27"/>
        <v/>
      </c>
      <c r="GF31" s="50" t="str">
        <f t="shared" si="27"/>
        <v/>
      </c>
      <c r="GG31" s="50" t="str">
        <f t="shared" si="27"/>
        <v/>
      </c>
      <c r="GH31" s="50" t="str">
        <f t="shared" si="14"/>
        <v/>
      </c>
      <c r="GI31" s="50" t="str">
        <f t="shared" si="14"/>
        <v/>
      </c>
      <c r="GJ31" s="50" t="str">
        <f t="shared" si="14"/>
        <v/>
      </c>
      <c r="GK31" s="50" t="str">
        <f t="shared" si="14"/>
        <v/>
      </c>
      <c r="GL31" s="50" t="str">
        <f t="shared" si="14"/>
        <v/>
      </c>
      <c r="GM31" s="50" t="str">
        <f t="shared" si="14"/>
        <v/>
      </c>
      <c r="GN31" s="50" t="str">
        <f t="shared" si="14"/>
        <v/>
      </c>
      <c r="GO31" s="50" t="str">
        <f t="shared" si="14"/>
        <v/>
      </c>
      <c r="GP31" s="50" t="str">
        <f t="shared" si="14"/>
        <v/>
      </c>
      <c r="GQ31" s="50" t="str">
        <f t="shared" si="14"/>
        <v/>
      </c>
      <c r="GR31" s="50" t="str">
        <f t="shared" si="14"/>
        <v/>
      </c>
      <c r="GS31" s="50" t="str">
        <f t="shared" si="14"/>
        <v/>
      </c>
      <c r="GT31" s="50" t="str">
        <f t="shared" si="14"/>
        <v/>
      </c>
      <c r="GU31" s="50" t="str">
        <f t="shared" si="14"/>
        <v/>
      </c>
      <c r="GV31" s="50" t="str">
        <f t="shared" si="14"/>
        <v/>
      </c>
      <c r="GW31" s="50" t="str">
        <f t="shared" si="14"/>
        <v/>
      </c>
      <c r="GX31" s="50" t="str">
        <f t="shared" si="22"/>
        <v/>
      </c>
      <c r="GY31" s="50" t="str">
        <f t="shared" si="22"/>
        <v/>
      </c>
      <c r="GZ31" s="50" t="str">
        <f t="shared" si="22"/>
        <v/>
      </c>
      <c r="HA31" s="50" t="str">
        <f t="shared" si="22"/>
        <v/>
      </c>
      <c r="HB31" s="50" t="str">
        <f t="shared" si="22"/>
        <v/>
      </c>
      <c r="HC31" s="50" t="str">
        <f t="shared" si="22"/>
        <v/>
      </c>
      <c r="HD31" s="50" t="str">
        <f t="shared" si="22"/>
        <v/>
      </c>
      <c r="HE31" s="50" t="str">
        <f t="shared" si="22"/>
        <v/>
      </c>
      <c r="HF31" s="50" t="str">
        <f t="shared" si="22"/>
        <v/>
      </c>
      <c r="HG31" s="50" t="str">
        <f t="shared" si="22"/>
        <v/>
      </c>
      <c r="HH31" s="50" t="str">
        <f t="shared" si="22"/>
        <v/>
      </c>
      <c r="HI31" s="50" t="str">
        <f t="shared" si="22"/>
        <v/>
      </c>
      <c r="HJ31" s="50" t="str">
        <f t="shared" si="22"/>
        <v/>
      </c>
      <c r="HK31" s="50" t="str">
        <f t="shared" si="22"/>
        <v/>
      </c>
      <c r="HL31" s="50" t="str">
        <f t="shared" si="22"/>
        <v/>
      </c>
      <c r="HM31" s="50" t="str">
        <f t="shared" si="22"/>
        <v/>
      </c>
      <c r="HN31" s="50" t="str">
        <f t="shared" si="23"/>
        <v/>
      </c>
      <c r="HO31" s="50" t="str">
        <f t="shared" si="23"/>
        <v/>
      </c>
      <c r="HP31" s="50" t="str">
        <f t="shared" si="23"/>
        <v/>
      </c>
      <c r="HQ31" s="50" t="str">
        <f t="shared" si="23"/>
        <v/>
      </c>
      <c r="HR31" s="116" t="str">
        <f t="shared" si="23"/>
        <v/>
      </c>
    </row>
    <row r="32" spans="1:226" ht="11.15" customHeight="1" x14ac:dyDescent="0.25">
      <c r="A32" s="26" t="s">
        <v>38</v>
      </c>
      <c r="B32" s="27">
        <v>2</v>
      </c>
      <c r="C32" s="28" t="str">
        <f>IF(A32=0,"",VLOOKUP(A32,[3]CO!$A$3:$F$5327,2,0))</f>
        <v>Relleno con suelo cemento batido a mano y compactado</v>
      </c>
      <c r="D32" s="29"/>
      <c r="E32" s="29"/>
      <c r="F32" s="29"/>
      <c r="G32" s="30" t="str">
        <f>IF(A32=0,"",VLOOKUP(A32,[3]CO!$A$3:$F$5327,3,0))</f>
        <v>M3</v>
      </c>
      <c r="H32" s="29"/>
      <c r="I32" s="31">
        <v>9.5</v>
      </c>
      <c r="J32" s="31">
        <v>1.5</v>
      </c>
      <c r="K32" s="31">
        <v>0.3</v>
      </c>
      <c r="L32" s="31">
        <v>1</v>
      </c>
      <c r="M32" s="32">
        <f t="shared" si="4"/>
        <v>4.2749999999999995</v>
      </c>
      <c r="N32" s="32">
        <f>IF(B32=0,"",IF(H32="M",HLOOKUP(B32,$Y$12:$DT$13,2),IF(A32=0,"",VLOOKUP(A32,[3]CO!$A$3:$F$5327,4,0))))</f>
        <v>163.08234273318871</v>
      </c>
      <c r="O32" s="32">
        <f t="shared" si="11"/>
        <v>697.17701518438162</v>
      </c>
      <c r="P32" s="33"/>
      <c r="Q32" s="34" t="str">
        <f t="shared" si="5"/>
        <v/>
      </c>
      <c r="R32" s="35" t="str">
        <f t="shared" si="6"/>
        <v/>
      </c>
      <c r="S32" s="122"/>
      <c r="T32" s="53">
        <f>IF(A32=0,"",VLOOKUP(A32,[3]CO!$A$3:$F$5318,5,0))</f>
        <v>0</v>
      </c>
      <c r="U32" s="54">
        <f t="shared" si="12"/>
        <v>0</v>
      </c>
      <c r="V32" s="24"/>
      <c r="W32" s="25"/>
      <c r="X32" s="25"/>
      <c r="Y32" s="64" t="str">
        <f t="shared" si="15"/>
        <v/>
      </c>
      <c r="Z32" s="55">
        <f t="shared" si="15"/>
        <v>0</v>
      </c>
      <c r="AA32" s="55" t="str">
        <f t="shared" si="15"/>
        <v/>
      </c>
      <c r="AB32" s="55" t="str">
        <f t="shared" si="15"/>
        <v/>
      </c>
      <c r="AC32" s="55" t="str">
        <f t="shared" si="15"/>
        <v/>
      </c>
      <c r="AD32" s="55" t="str">
        <f t="shared" si="15"/>
        <v/>
      </c>
      <c r="AE32" s="55" t="str">
        <f t="shared" si="15"/>
        <v/>
      </c>
      <c r="AF32" s="55" t="str">
        <f t="shared" si="15"/>
        <v/>
      </c>
      <c r="AG32" s="55" t="str">
        <f t="shared" si="15"/>
        <v/>
      </c>
      <c r="AH32" s="55" t="str">
        <f t="shared" si="15"/>
        <v/>
      </c>
      <c r="AI32" s="55" t="str">
        <f t="shared" si="15"/>
        <v/>
      </c>
      <c r="AJ32" s="55" t="str">
        <f t="shared" si="15"/>
        <v/>
      </c>
      <c r="AK32" s="55" t="str">
        <f t="shared" si="15"/>
        <v/>
      </c>
      <c r="AL32" s="55" t="str">
        <f t="shared" si="15"/>
        <v/>
      </c>
      <c r="AM32" s="55" t="str">
        <f t="shared" si="15"/>
        <v/>
      </c>
      <c r="AN32" s="55" t="str">
        <f t="shared" si="15"/>
        <v/>
      </c>
      <c r="AO32" s="55" t="str">
        <f t="shared" si="16"/>
        <v/>
      </c>
      <c r="AP32" s="55" t="str">
        <f t="shared" si="16"/>
        <v/>
      </c>
      <c r="AQ32" s="55" t="str">
        <f t="shared" si="16"/>
        <v/>
      </c>
      <c r="AR32" s="55" t="str">
        <f t="shared" si="16"/>
        <v/>
      </c>
      <c r="AS32" s="55" t="str">
        <f t="shared" si="16"/>
        <v/>
      </c>
      <c r="AT32" s="55" t="str">
        <f t="shared" si="16"/>
        <v/>
      </c>
      <c r="AU32" s="55" t="str">
        <f t="shared" si="16"/>
        <v/>
      </c>
      <c r="AV32" s="55" t="str">
        <f t="shared" si="16"/>
        <v/>
      </c>
      <c r="AW32" s="55" t="str">
        <f t="shared" si="16"/>
        <v/>
      </c>
      <c r="AX32" s="55" t="str">
        <f t="shared" si="16"/>
        <v/>
      </c>
      <c r="AY32" s="55" t="str">
        <f t="shared" si="16"/>
        <v/>
      </c>
      <c r="AZ32" s="55" t="str">
        <f t="shared" si="16"/>
        <v/>
      </c>
      <c r="BA32" s="55" t="str">
        <f t="shared" si="16"/>
        <v/>
      </c>
      <c r="BB32" s="55" t="str">
        <f t="shared" si="16"/>
        <v/>
      </c>
      <c r="BC32" s="55" t="str">
        <f t="shared" si="16"/>
        <v/>
      </c>
      <c r="BD32" s="55" t="str">
        <f t="shared" si="16"/>
        <v/>
      </c>
      <c r="BE32" s="55" t="str">
        <f t="shared" si="26"/>
        <v/>
      </c>
      <c r="BF32" s="55" t="str">
        <f t="shared" si="26"/>
        <v/>
      </c>
      <c r="BG32" s="55" t="str">
        <f t="shared" si="26"/>
        <v/>
      </c>
      <c r="BH32" s="55" t="str">
        <f t="shared" si="26"/>
        <v/>
      </c>
      <c r="BI32" s="55" t="str">
        <f t="shared" si="26"/>
        <v/>
      </c>
      <c r="BJ32" s="55" t="str">
        <f t="shared" si="26"/>
        <v/>
      </c>
      <c r="BK32" s="55" t="str">
        <f t="shared" si="26"/>
        <v/>
      </c>
      <c r="BL32" s="55" t="str">
        <f t="shared" si="26"/>
        <v/>
      </c>
      <c r="BM32" s="55" t="str">
        <f t="shared" si="26"/>
        <v/>
      </c>
      <c r="BN32" s="55" t="str">
        <f t="shared" si="26"/>
        <v/>
      </c>
      <c r="BO32" s="55" t="str">
        <f t="shared" si="26"/>
        <v/>
      </c>
      <c r="BP32" s="55" t="str">
        <f t="shared" si="26"/>
        <v/>
      </c>
      <c r="BQ32" s="55" t="str">
        <f t="shared" si="26"/>
        <v/>
      </c>
      <c r="BR32" s="55" t="str">
        <f t="shared" si="26"/>
        <v/>
      </c>
      <c r="BS32" s="55" t="str">
        <f t="shared" si="26"/>
        <v/>
      </c>
      <c r="BT32" s="55" t="str">
        <f t="shared" si="26"/>
        <v/>
      </c>
      <c r="BU32" s="55" t="str">
        <f t="shared" si="26"/>
        <v/>
      </c>
      <c r="BV32" s="55" t="str">
        <f t="shared" si="26"/>
        <v/>
      </c>
      <c r="BW32" s="55" t="str">
        <f t="shared" si="26"/>
        <v/>
      </c>
      <c r="BX32" s="55" t="str">
        <f t="shared" si="26"/>
        <v/>
      </c>
      <c r="BY32" s="55" t="str">
        <f t="shared" si="26"/>
        <v/>
      </c>
      <c r="BZ32" s="55" t="str">
        <f t="shared" si="26"/>
        <v/>
      </c>
      <c r="CA32" s="55" t="str">
        <f t="shared" si="26"/>
        <v/>
      </c>
      <c r="CB32" s="55" t="str">
        <f t="shared" si="26"/>
        <v/>
      </c>
      <c r="CC32" s="55" t="str">
        <f t="shared" si="26"/>
        <v/>
      </c>
      <c r="CD32" s="55" t="str">
        <f t="shared" si="26"/>
        <v/>
      </c>
      <c r="CE32" s="55" t="str">
        <f t="shared" si="26"/>
        <v/>
      </c>
      <c r="CF32" s="55" t="str">
        <f t="shared" si="26"/>
        <v/>
      </c>
      <c r="CG32" s="55" t="str">
        <f t="shared" si="26"/>
        <v/>
      </c>
      <c r="CH32" s="55" t="str">
        <f t="shared" si="26"/>
        <v/>
      </c>
      <c r="CI32" s="55" t="str">
        <f t="shared" si="26"/>
        <v/>
      </c>
      <c r="CJ32" s="55" t="str">
        <f t="shared" si="13"/>
        <v/>
      </c>
      <c r="CK32" s="55" t="str">
        <f t="shared" si="13"/>
        <v/>
      </c>
      <c r="CL32" s="55" t="str">
        <f t="shared" si="13"/>
        <v/>
      </c>
      <c r="CM32" s="55" t="str">
        <f t="shared" si="13"/>
        <v/>
      </c>
      <c r="CN32" s="55" t="str">
        <f t="shared" si="13"/>
        <v/>
      </c>
      <c r="CO32" s="55" t="str">
        <f t="shared" si="13"/>
        <v/>
      </c>
      <c r="CP32" s="55" t="str">
        <f t="shared" si="13"/>
        <v/>
      </c>
      <c r="CQ32" s="55" t="str">
        <f t="shared" si="13"/>
        <v/>
      </c>
      <c r="CR32" s="55" t="str">
        <f t="shared" si="13"/>
        <v/>
      </c>
      <c r="CS32" s="55" t="str">
        <f t="shared" si="13"/>
        <v/>
      </c>
      <c r="CT32" s="55" t="str">
        <f t="shared" si="13"/>
        <v/>
      </c>
      <c r="CU32" s="55" t="str">
        <f t="shared" si="13"/>
        <v/>
      </c>
      <c r="CV32" s="55" t="str">
        <f t="shared" si="13"/>
        <v/>
      </c>
      <c r="CW32" s="55" t="str">
        <f t="shared" si="13"/>
        <v/>
      </c>
      <c r="CX32" s="55" t="str">
        <f t="shared" si="13"/>
        <v/>
      </c>
      <c r="CY32" s="55" t="str">
        <f t="shared" ref="CY32:DN73" si="28">IF($B32=CY$12,$U32,"")</f>
        <v/>
      </c>
      <c r="CZ32" s="55" t="str">
        <f t="shared" si="21"/>
        <v/>
      </c>
      <c r="DA32" s="55" t="str">
        <f t="shared" si="21"/>
        <v/>
      </c>
      <c r="DB32" s="55" t="str">
        <f t="shared" si="21"/>
        <v/>
      </c>
      <c r="DC32" s="55" t="str">
        <f t="shared" si="21"/>
        <v/>
      </c>
      <c r="DD32" s="55" t="str">
        <f t="shared" si="21"/>
        <v/>
      </c>
      <c r="DE32" s="55" t="str">
        <f t="shared" si="21"/>
        <v/>
      </c>
      <c r="DF32" s="55" t="str">
        <f t="shared" si="21"/>
        <v/>
      </c>
      <c r="DG32" s="55" t="str">
        <f t="shared" si="21"/>
        <v/>
      </c>
      <c r="DH32" s="55" t="str">
        <f t="shared" si="21"/>
        <v/>
      </c>
      <c r="DI32" s="55" t="str">
        <f t="shared" si="21"/>
        <v/>
      </c>
      <c r="DJ32" s="55" t="str">
        <f t="shared" si="21"/>
        <v/>
      </c>
      <c r="DK32" s="55" t="str">
        <f t="shared" si="21"/>
        <v/>
      </c>
      <c r="DL32" s="55" t="str">
        <f t="shared" si="21"/>
        <v/>
      </c>
      <c r="DM32" s="55" t="str">
        <f t="shared" si="21"/>
        <v/>
      </c>
      <c r="DN32" s="55" t="str">
        <f t="shared" si="21"/>
        <v/>
      </c>
      <c r="DO32" s="55" t="str">
        <f t="shared" si="21"/>
        <v/>
      </c>
      <c r="DP32" s="55" t="str">
        <f t="shared" si="21"/>
        <v/>
      </c>
      <c r="DQ32" s="55" t="str">
        <f t="shared" si="21"/>
        <v/>
      </c>
      <c r="DR32" s="55" t="str">
        <f t="shared" si="21"/>
        <v/>
      </c>
      <c r="DS32" s="55" t="str">
        <f t="shared" si="21"/>
        <v/>
      </c>
      <c r="DT32" s="110" t="str">
        <f t="shared" si="21"/>
        <v/>
      </c>
      <c r="DU32" s="54"/>
      <c r="DV32" s="25"/>
      <c r="DW32" s="61" t="str">
        <f t="shared" si="18"/>
        <v/>
      </c>
      <c r="DX32" s="50">
        <f t="shared" si="18"/>
        <v>697.17701518438162</v>
      </c>
      <c r="DY32" s="50" t="str">
        <f t="shared" si="18"/>
        <v/>
      </c>
      <c r="DZ32" s="50" t="str">
        <f t="shared" si="18"/>
        <v/>
      </c>
      <c r="EA32" s="50" t="str">
        <f t="shared" si="18"/>
        <v/>
      </c>
      <c r="EB32" s="50" t="str">
        <f t="shared" si="18"/>
        <v/>
      </c>
      <c r="EC32" s="50" t="str">
        <f t="shared" si="18"/>
        <v/>
      </c>
      <c r="ED32" s="50" t="str">
        <f t="shared" si="18"/>
        <v/>
      </c>
      <c r="EE32" s="50" t="str">
        <f t="shared" si="18"/>
        <v/>
      </c>
      <c r="EF32" s="50" t="str">
        <f t="shared" si="18"/>
        <v/>
      </c>
      <c r="EG32" s="50" t="str">
        <f t="shared" si="18"/>
        <v/>
      </c>
      <c r="EH32" s="50" t="str">
        <f t="shared" si="18"/>
        <v/>
      </c>
      <c r="EI32" s="50" t="str">
        <f t="shared" si="18"/>
        <v/>
      </c>
      <c r="EJ32" s="50" t="str">
        <f t="shared" si="18"/>
        <v/>
      </c>
      <c r="EK32" s="50" t="str">
        <f t="shared" si="18"/>
        <v/>
      </c>
      <c r="EL32" s="50" t="str">
        <f t="shared" si="18"/>
        <v/>
      </c>
      <c r="EM32" s="50" t="str">
        <f t="shared" si="19"/>
        <v/>
      </c>
      <c r="EN32" s="50" t="str">
        <f t="shared" si="19"/>
        <v/>
      </c>
      <c r="EO32" s="50" t="str">
        <f t="shared" si="19"/>
        <v/>
      </c>
      <c r="EP32" s="50" t="str">
        <f t="shared" si="19"/>
        <v/>
      </c>
      <c r="EQ32" s="50" t="str">
        <f t="shared" si="19"/>
        <v/>
      </c>
      <c r="ER32" s="50" t="str">
        <f t="shared" si="19"/>
        <v/>
      </c>
      <c r="ES32" s="50" t="str">
        <f t="shared" si="19"/>
        <v/>
      </c>
      <c r="ET32" s="50" t="str">
        <f t="shared" si="19"/>
        <v/>
      </c>
      <c r="EU32" s="50" t="str">
        <f t="shared" si="19"/>
        <v/>
      </c>
      <c r="EV32" s="50" t="str">
        <f t="shared" si="19"/>
        <v/>
      </c>
      <c r="EW32" s="50" t="str">
        <f t="shared" si="19"/>
        <v/>
      </c>
      <c r="EX32" s="50" t="str">
        <f t="shared" si="19"/>
        <v/>
      </c>
      <c r="EY32" s="50" t="str">
        <f t="shared" si="19"/>
        <v/>
      </c>
      <c r="EZ32" s="50" t="str">
        <f t="shared" si="19"/>
        <v/>
      </c>
      <c r="FA32" s="50" t="str">
        <f t="shared" si="19"/>
        <v/>
      </c>
      <c r="FB32" s="50" t="str">
        <f t="shared" si="19"/>
        <v/>
      </c>
      <c r="FC32" s="50" t="str">
        <f t="shared" si="27"/>
        <v/>
      </c>
      <c r="FD32" s="50" t="str">
        <f t="shared" si="27"/>
        <v/>
      </c>
      <c r="FE32" s="50" t="str">
        <f t="shared" si="27"/>
        <v/>
      </c>
      <c r="FF32" s="50" t="str">
        <f t="shared" si="27"/>
        <v/>
      </c>
      <c r="FG32" s="50" t="str">
        <f t="shared" si="27"/>
        <v/>
      </c>
      <c r="FH32" s="50" t="str">
        <f t="shared" si="27"/>
        <v/>
      </c>
      <c r="FI32" s="50" t="str">
        <f t="shared" si="27"/>
        <v/>
      </c>
      <c r="FJ32" s="50" t="str">
        <f t="shared" si="27"/>
        <v/>
      </c>
      <c r="FK32" s="50" t="str">
        <f t="shared" si="27"/>
        <v/>
      </c>
      <c r="FL32" s="50" t="str">
        <f t="shared" si="27"/>
        <v/>
      </c>
      <c r="FM32" s="50" t="str">
        <f t="shared" si="27"/>
        <v/>
      </c>
      <c r="FN32" s="50" t="str">
        <f t="shared" si="27"/>
        <v/>
      </c>
      <c r="FO32" s="50" t="str">
        <f t="shared" si="27"/>
        <v/>
      </c>
      <c r="FP32" s="50" t="str">
        <f t="shared" si="27"/>
        <v/>
      </c>
      <c r="FQ32" s="50" t="str">
        <f t="shared" si="27"/>
        <v/>
      </c>
      <c r="FR32" s="50" t="str">
        <f t="shared" si="27"/>
        <v/>
      </c>
      <c r="FS32" s="50" t="str">
        <f t="shared" si="27"/>
        <v/>
      </c>
      <c r="FT32" s="50" t="str">
        <f t="shared" si="27"/>
        <v/>
      </c>
      <c r="FU32" s="50" t="str">
        <f t="shared" si="27"/>
        <v/>
      </c>
      <c r="FV32" s="50" t="str">
        <f t="shared" si="27"/>
        <v/>
      </c>
      <c r="FW32" s="50" t="str">
        <f t="shared" si="27"/>
        <v/>
      </c>
      <c r="FX32" s="50" t="str">
        <f t="shared" si="27"/>
        <v/>
      </c>
      <c r="FY32" s="50" t="str">
        <f t="shared" si="27"/>
        <v/>
      </c>
      <c r="FZ32" s="50" t="str">
        <f t="shared" si="27"/>
        <v/>
      </c>
      <c r="GA32" s="50" t="str">
        <f t="shared" si="27"/>
        <v/>
      </c>
      <c r="GB32" s="50" t="str">
        <f t="shared" si="27"/>
        <v/>
      </c>
      <c r="GC32" s="50" t="str">
        <f t="shared" si="27"/>
        <v/>
      </c>
      <c r="GD32" s="50" t="str">
        <f t="shared" si="27"/>
        <v/>
      </c>
      <c r="GE32" s="50" t="str">
        <f t="shared" si="27"/>
        <v/>
      </c>
      <c r="GF32" s="50" t="str">
        <f t="shared" si="27"/>
        <v/>
      </c>
      <c r="GG32" s="50" t="str">
        <f t="shared" si="27"/>
        <v/>
      </c>
      <c r="GH32" s="50" t="str">
        <f t="shared" si="14"/>
        <v/>
      </c>
      <c r="GI32" s="50" t="str">
        <f t="shared" si="14"/>
        <v/>
      </c>
      <c r="GJ32" s="50" t="str">
        <f t="shared" si="14"/>
        <v/>
      </c>
      <c r="GK32" s="50" t="str">
        <f t="shared" si="14"/>
        <v/>
      </c>
      <c r="GL32" s="50" t="str">
        <f t="shared" si="14"/>
        <v/>
      </c>
      <c r="GM32" s="50" t="str">
        <f t="shared" si="14"/>
        <v/>
      </c>
      <c r="GN32" s="50" t="str">
        <f t="shared" si="14"/>
        <v/>
      </c>
      <c r="GO32" s="50" t="str">
        <f t="shared" si="14"/>
        <v/>
      </c>
      <c r="GP32" s="50" t="str">
        <f t="shared" si="14"/>
        <v/>
      </c>
      <c r="GQ32" s="50" t="str">
        <f t="shared" si="14"/>
        <v/>
      </c>
      <c r="GR32" s="50" t="str">
        <f t="shared" si="14"/>
        <v/>
      </c>
      <c r="GS32" s="50" t="str">
        <f t="shared" si="14"/>
        <v/>
      </c>
      <c r="GT32" s="50" t="str">
        <f t="shared" si="14"/>
        <v/>
      </c>
      <c r="GU32" s="50" t="str">
        <f t="shared" si="14"/>
        <v/>
      </c>
      <c r="GV32" s="50" t="str">
        <f t="shared" si="14"/>
        <v/>
      </c>
      <c r="GW32" s="50" t="str">
        <f t="shared" ref="GW32:HL73" si="29">IF($B32=GW$12,$O32,"")</f>
        <v/>
      </c>
      <c r="GX32" s="50" t="str">
        <f t="shared" si="22"/>
        <v/>
      </c>
      <c r="GY32" s="50" t="str">
        <f t="shared" si="22"/>
        <v/>
      </c>
      <c r="GZ32" s="50" t="str">
        <f t="shared" si="22"/>
        <v/>
      </c>
      <c r="HA32" s="50" t="str">
        <f t="shared" si="22"/>
        <v/>
      </c>
      <c r="HB32" s="50" t="str">
        <f t="shared" si="22"/>
        <v/>
      </c>
      <c r="HC32" s="50" t="str">
        <f t="shared" si="22"/>
        <v/>
      </c>
      <c r="HD32" s="50" t="str">
        <f t="shared" si="22"/>
        <v/>
      </c>
      <c r="HE32" s="50" t="str">
        <f t="shared" si="22"/>
        <v/>
      </c>
      <c r="HF32" s="50" t="str">
        <f t="shared" si="22"/>
        <v/>
      </c>
      <c r="HG32" s="50" t="str">
        <f t="shared" si="22"/>
        <v/>
      </c>
      <c r="HH32" s="50" t="str">
        <f t="shared" si="22"/>
        <v/>
      </c>
      <c r="HI32" s="50" t="str">
        <f t="shared" si="22"/>
        <v/>
      </c>
      <c r="HJ32" s="50" t="str">
        <f t="shared" si="22"/>
        <v/>
      </c>
      <c r="HK32" s="50" t="str">
        <f t="shared" si="22"/>
        <v/>
      </c>
      <c r="HL32" s="50" t="str">
        <f t="shared" si="22"/>
        <v/>
      </c>
      <c r="HM32" s="50" t="str">
        <f t="shared" si="22"/>
        <v/>
      </c>
      <c r="HN32" s="50" t="str">
        <f t="shared" si="23"/>
        <v/>
      </c>
      <c r="HO32" s="50" t="str">
        <f t="shared" si="23"/>
        <v/>
      </c>
      <c r="HP32" s="50" t="str">
        <f t="shared" si="23"/>
        <v/>
      </c>
      <c r="HQ32" s="50" t="str">
        <f t="shared" si="23"/>
        <v/>
      </c>
      <c r="HR32" s="116" t="str">
        <f t="shared" si="23"/>
        <v/>
      </c>
    </row>
    <row r="33" spans="1:226" ht="11.15" customHeight="1" x14ac:dyDescent="0.25">
      <c r="A33" s="26" t="s">
        <v>40</v>
      </c>
      <c r="B33" s="27">
        <v>2</v>
      </c>
      <c r="C33" s="28" t="str">
        <f>IF(A33=0,"",VLOOKUP(A33,[3]CO!$A$3:$F$5327,2,0))</f>
        <v>Cimbra y colado de dado revoltura hecha en obra</v>
      </c>
      <c r="D33" s="29" t="s">
        <v>39</v>
      </c>
      <c r="E33" s="29"/>
      <c r="F33" s="29"/>
      <c r="G33" s="30" t="str">
        <f>IF(A33=0,"",VLOOKUP(A33,[3]CO!$A$3:$F$5327,3,0))</f>
        <v>ML</v>
      </c>
      <c r="H33" s="29"/>
      <c r="I33" s="31"/>
      <c r="J33" s="31"/>
      <c r="K33" s="31"/>
      <c r="L33" s="31">
        <v>8</v>
      </c>
      <c r="M33" s="32">
        <f t="shared" si="4"/>
        <v>8</v>
      </c>
      <c r="N33" s="32">
        <f>IF(B33=0,"",IF(H33="M",HLOOKUP(B33,$Y$12:$DT$13,2),IF(A33=0,"",VLOOKUP(A33,[3]CO!$A$3:$F$5327,4,0))))</f>
        <v>375.90480000000002</v>
      </c>
      <c r="O33" s="32">
        <f t="shared" si="11"/>
        <v>3007.2384000000002</v>
      </c>
      <c r="P33" s="33"/>
      <c r="Q33" s="34" t="str">
        <f t="shared" si="5"/>
        <v/>
      </c>
      <c r="R33" s="35" t="str">
        <f t="shared" si="6"/>
        <v/>
      </c>
      <c r="S33" s="122"/>
      <c r="T33" s="53">
        <f>IF(A33=0,"",VLOOKUP(A33,[3]CO!$A$3:$F$5318,5,0))</f>
        <v>1</v>
      </c>
      <c r="U33" s="54">
        <f t="shared" si="12"/>
        <v>300.72384000000005</v>
      </c>
      <c r="V33" s="24"/>
      <c r="W33" s="25"/>
      <c r="X33" s="25"/>
      <c r="Y33" s="64" t="str">
        <f t="shared" si="15"/>
        <v/>
      </c>
      <c r="Z33" s="55">
        <f t="shared" si="15"/>
        <v>300.72384000000005</v>
      </c>
      <c r="AA33" s="55" t="str">
        <f t="shared" si="15"/>
        <v/>
      </c>
      <c r="AB33" s="55" t="str">
        <f t="shared" si="15"/>
        <v/>
      </c>
      <c r="AC33" s="55" t="str">
        <f t="shared" si="15"/>
        <v/>
      </c>
      <c r="AD33" s="55" t="str">
        <f t="shared" si="15"/>
        <v/>
      </c>
      <c r="AE33" s="55" t="str">
        <f t="shared" si="15"/>
        <v/>
      </c>
      <c r="AF33" s="55" t="str">
        <f t="shared" si="15"/>
        <v/>
      </c>
      <c r="AG33" s="55" t="str">
        <f t="shared" si="15"/>
        <v/>
      </c>
      <c r="AH33" s="55" t="str">
        <f t="shared" si="15"/>
        <v/>
      </c>
      <c r="AI33" s="55" t="str">
        <f t="shared" si="15"/>
        <v/>
      </c>
      <c r="AJ33" s="55" t="str">
        <f t="shared" si="15"/>
        <v/>
      </c>
      <c r="AK33" s="55" t="str">
        <f t="shared" si="15"/>
        <v/>
      </c>
      <c r="AL33" s="55" t="str">
        <f t="shared" si="15"/>
        <v/>
      </c>
      <c r="AM33" s="55" t="str">
        <f t="shared" si="15"/>
        <v/>
      </c>
      <c r="AN33" s="55" t="str">
        <f t="shared" ref="AN33:BD33" si="30">IF($B33=AN$12,$U33,"")</f>
        <v/>
      </c>
      <c r="AO33" s="55" t="str">
        <f t="shared" si="30"/>
        <v/>
      </c>
      <c r="AP33" s="55" t="str">
        <f t="shared" si="30"/>
        <v/>
      </c>
      <c r="AQ33" s="55" t="str">
        <f t="shared" si="30"/>
        <v/>
      </c>
      <c r="AR33" s="55" t="str">
        <f t="shared" si="30"/>
        <v/>
      </c>
      <c r="AS33" s="55" t="str">
        <f t="shared" si="30"/>
        <v/>
      </c>
      <c r="AT33" s="55" t="str">
        <f t="shared" si="30"/>
        <v/>
      </c>
      <c r="AU33" s="55" t="str">
        <f t="shared" si="30"/>
        <v/>
      </c>
      <c r="AV33" s="55" t="str">
        <f t="shared" si="30"/>
        <v/>
      </c>
      <c r="AW33" s="55" t="str">
        <f t="shared" si="30"/>
        <v/>
      </c>
      <c r="AX33" s="55" t="str">
        <f t="shared" si="30"/>
        <v/>
      </c>
      <c r="AY33" s="55" t="str">
        <f t="shared" si="30"/>
        <v/>
      </c>
      <c r="AZ33" s="55" t="str">
        <f t="shared" si="30"/>
        <v/>
      </c>
      <c r="BA33" s="55" t="str">
        <f t="shared" si="30"/>
        <v/>
      </c>
      <c r="BB33" s="55" t="str">
        <f t="shared" si="30"/>
        <v/>
      </c>
      <c r="BC33" s="55" t="str">
        <f t="shared" si="30"/>
        <v/>
      </c>
      <c r="BD33" s="55" t="str">
        <f t="shared" si="30"/>
        <v/>
      </c>
      <c r="BE33" s="55" t="str">
        <f t="shared" si="26"/>
        <v/>
      </c>
      <c r="BF33" s="55" t="str">
        <f t="shared" si="26"/>
        <v/>
      </c>
      <c r="BG33" s="55" t="str">
        <f t="shared" si="26"/>
        <v/>
      </c>
      <c r="BH33" s="55" t="str">
        <f t="shared" si="26"/>
        <v/>
      </c>
      <c r="BI33" s="55" t="str">
        <f t="shared" si="26"/>
        <v/>
      </c>
      <c r="BJ33" s="55" t="str">
        <f t="shared" si="26"/>
        <v/>
      </c>
      <c r="BK33" s="55" t="str">
        <f t="shared" si="26"/>
        <v/>
      </c>
      <c r="BL33" s="55" t="str">
        <f t="shared" si="26"/>
        <v/>
      </c>
      <c r="BM33" s="55" t="str">
        <f t="shared" si="26"/>
        <v/>
      </c>
      <c r="BN33" s="55" t="str">
        <f t="shared" si="26"/>
        <v/>
      </c>
      <c r="BO33" s="55" t="str">
        <f t="shared" si="26"/>
        <v/>
      </c>
      <c r="BP33" s="55" t="str">
        <f t="shared" si="26"/>
        <v/>
      </c>
      <c r="BQ33" s="55" t="str">
        <f t="shared" si="26"/>
        <v/>
      </c>
      <c r="BR33" s="55" t="str">
        <f t="shared" si="26"/>
        <v/>
      </c>
      <c r="BS33" s="55" t="str">
        <f t="shared" si="26"/>
        <v/>
      </c>
      <c r="BT33" s="55" t="str">
        <f t="shared" si="26"/>
        <v/>
      </c>
      <c r="BU33" s="55" t="str">
        <f t="shared" si="26"/>
        <v/>
      </c>
      <c r="BV33" s="55" t="str">
        <f t="shared" si="26"/>
        <v/>
      </c>
      <c r="BW33" s="55" t="str">
        <f t="shared" si="26"/>
        <v/>
      </c>
      <c r="BX33" s="55" t="str">
        <f t="shared" si="26"/>
        <v/>
      </c>
      <c r="BY33" s="55" t="str">
        <f t="shared" si="26"/>
        <v/>
      </c>
      <c r="BZ33" s="55" t="str">
        <f t="shared" si="26"/>
        <v/>
      </c>
      <c r="CA33" s="55" t="str">
        <f t="shared" si="26"/>
        <v/>
      </c>
      <c r="CB33" s="55" t="str">
        <f t="shared" si="26"/>
        <v/>
      </c>
      <c r="CC33" s="55" t="str">
        <f t="shared" si="26"/>
        <v/>
      </c>
      <c r="CD33" s="55" t="str">
        <f t="shared" si="26"/>
        <v/>
      </c>
      <c r="CE33" s="55" t="str">
        <f t="shared" si="26"/>
        <v/>
      </c>
      <c r="CF33" s="55" t="str">
        <f t="shared" si="26"/>
        <v/>
      </c>
      <c r="CG33" s="55" t="str">
        <f t="shared" si="26"/>
        <v/>
      </c>
      <c r="CH33" s="55" t="str">
        <f t="shared" si="26"/>
        <v/>
      </c>
      <c r="CI33" s="55" t="str">
        <f t="shared" si="26"/>
        <v/>
      </c>
      <c r="CJ33" s="55" t="str">
        <f t="shared" ref="CJ33:CY48" si="31">IF($B33=CJ$12,$U33,"")</f>
        <v/>
      </c>
      <c r="CK33" s="55" t="str">
        <f t="shared" si="31"/>
        <v/>
      </c>
      <c r="CL33" s="55" t="str">
        <f t="shared" si="31"/>
        <v/>
      </c>
      <c r="CM33" s="55" t="str">
        <f t="shared" si="31"/>
        <v/>
      </c>
      <c r="CN33" s="55" t="str">
        <f t="shared" si="31"/>
        <v/>
      </c>
      <c r="CO33" s="55" t="str">
        <f t="shared" si="31"/>
        <v/>
      </c>
      <c r="CP33" s="55" t="str">
        <f t="shared" si="31"/>
        <v/>
      </c>
      <c r="CQ33" s="55" t="str">
        <f t="shared" si="31"/>
        <v/>
      </c>
      <c r="CR33" s="55" t="str">
        <f t="shared" si="31"/>
        <v/>
      </c>
      <c r="CS33" s="55" t="str">
        <f t="shared" si="31"/>
        <v/>
      </c>
      <c r="CT33" s="55" t="str">
        <f t="shared" si="31"/>
        <v/>
      </c>
      <c r="CU33" s="55" t="str">
        <f t="shared" si="31"/>
        <v/>
      </c>
      <c r="CV33" s="55" t="str">
        <f t="shared" si="31"/>
        <v/>
      </c>
      <c r="CW33" s="55" t="str">
        <f t="shared" si="31"/>
        <v/>
      </c>
      <c r="CX33" s="55" t="str">
        <f t="shared" si="31"/>
        <v/>
      </c>
      <c r="CY33" s="55" t="str">
        <f t="shared" si="28"/>
        <v/>
      </c>
      <c r="CZ33" s="55" t="str">
        <f t="shared" si="21"/>
        <v/>
      </c>
      <c r="DA33" s="55" t="str">
        <f t="shared" si="21"/>
        <v/>
      </c>
      <c r="DB33" s="55" t="str">
        <f t="shared" si="21"/>
        <v/>
      </c>
      <c r="DC33" s="55" t="str">
        <f t="shared" si="21"/>
        <v/>
      </c>
      <c r="DD33" s="55" t="str">
        <f t="shared" si="21"/>
        <v/>
      </c>
      <c r="DE33" s="55" t="str">
        <f t="shared" si="21"/>
        <v/>
      </c>
      <c r="DF33" s="55" t="str">
        <f t="shared" si="21"/>
        <v/>
      </c>
      <c r="DG33" s="55" t="str">
        <f t="shared" si="21"/>
        <v/>
      </c>
      <c r="DH33" s="55" t="str">
        <f t="shared" si="21"/>
        <v/>
      </c>
      <c r="DI33" s="55" t="str">
        <f t="shared" si="21"/>
        <v/>
      </c>
      <c r="DJ33" s="55" t="str">
        <f t="shared" si="21"/>
        <v/>
      </c>
      <c r="DK33" s="55" t="str">
        <f t="shared" si="21"/>
        <v/>
      </c>
      <c r="DL33" s="55" t="str">
        <f t="shared" si="21"/>
        <v/>
      </c>
      <c r="DM33" s="55" t="str">
        <f t="shared" si="21"/>
        <v/>
      </c>
      <c r="DN33" s="55" t="str">
        <f t="shared" si="21"/>
        <v/>
      </c>
      <c r="DO33" s="55" t="str">
        <f t="shared" si="21"/>
        <v/>
      </c>
      <c r="DP33" s="55" t="str">
        <f t="shared" si="21"/>
        <v/>
      </c>
      <c r="DQ33" s="55" t="str">
        <f t="shared" si="21"/>
        <v/>
      </c>
      <c r="DR33" s="55" t="str">
        <f t="shared" si="21"/>
        <v/>
      </c>
      <c r="DS33" s="55" t="str">
        <f t="shared" si="21"/>
        <v/>
      </c>
      <c r="DT33" s="110" t="str">
        <f t="shared" si="21"/>
        <v/>
      </c>
      <c r="DU33" s="54"/>
      <c r="DV33" s="25"/>
      <c r="DW33" s="61" t="str">
        <f t="shared" si="18"/>
        <v/>
      </c>
      <c r="DX33" s="50">
        <f t="shared" si="18"/>
        <v>3007.2384000000002</v>
      </c>
      <c r="DY33" s="50" t="str">
        <f t="shared" si="18"/>
        <v/>
      </c>
      <c r="DZ33" s="50" t="str">
        <f t="shared" si="18"/>
        <v/>
      </c>
      <c r="EA33" s="50" t="str">
        <f t="shared" si="18"/>
        <v/>
      </c>
      <c r="EB33" s="50" t="str">
        <f t="shared" si="18"/>
        <v/>
      </c>
      <c r="EC33" s="50" t="str">
        <f t="shared" si="18"/>
        <v/>
      </c>
      <c r="ED33" s="50" t="str">
        <f t="shared" si="18"/>
        <v/>
      </c>
      <c r="EE33" s="50" t="str">
        <f t="shared" si="18"/>
        <v/>
      </c>
      <c r="EF33" s="50" t="str">
        <f t="shared" si="18"/>
        <v/>
      </c>
      <c r="EG33" s="50" t="str">
        <f t="shared" si="18"/>
        <v/>
      </c>
      <c r="EH33" s="50" t="str">
        <f t="shared" si="18"/>
        <v/>
      </c>
      <c r="EI33" s="50" t="str">
        <f t="shared" si="18"/>
        <v/>
      </c>
      <c r="EJ33" s="50" t="str">
        <f t="shared" si="18"/>
        <v/>
      </c>
      <c r="EK33" s="50" t="str">
        <f t="shared" si="18"/>
        <v/>
      </c>
      <c r="EL33" s="50" t="str">
        <f t="shared" ref="EL33:FB33" si="32">IF($B33=EL$12,$O33,"")</f>
        <v/>
      </c>
      <c r="EM33" s="50" t="str">
        <f t="shared" si="32"/>
        <v/>
      </c>
      <c r="EN33" s="50" t="str">
        <f t="shared" si="32"/>
        <v/>
      </c>
      <c r="EO33" s="50" t="str">
        <f t="shared" si="32"/>
        <v/>
      </c>
      <c r="EP33" s="50" t="str">
        <f t="shared" si="32"/>
        <v/>
      </c>
      <c r="EQ33" s="50" t="str">
        <f t="shared" si="32"/>
        <v/>
      </c>
      <c r="ER33" s="50" t="str">
        <f t="shared" si="32"/>
        <v/>
      </c>
      <c r="ES33" s="50" t="str">
        <f t="shared" si="32"/>
        <v/>
      </c>
      <c r="ET33" s="50" t="str">
        <f t="shared" si="32"/>
        <v/>
      </c>
      <c r="EU33" s="50" t="str">
        <f t="shared" si="32"/>
        <v/>
      </c>
      <c r="EV33" s="50" t="str">
        <f t="shared" si="32"/>
        <v/>
      </c>
      <c r="EW33" s="50" t="str">
        <f t="shared" si="32"/>
        <v/>
      </c>
      <c r="EX33" s="50" t="str">
        <f t="shared" si="32"/>
        <v/>
      </c>
      <c r="EY33" s="50" t="str">
        <f t="shared" si="32"/>
        <v/>
      </c>
      <c r="EZ33" s="50" t="str">
        <f t="shared" si="32"/>
        <v/>
      </c>
      <c r="FA33" s="50" t="str">
        <f t="shared" si="32"/>
        <v/>
      </c>
      <c r="FB33" s="50" t="str">
        <f t="shared" si="32"/>
        <v/>
      </c>
      <c r="FC33" s="50" t="str">
        <f t="shared" si="27"/>
        <v/>
      </c>
      <c r="FD33" s="50" t="str">
        <f t="shared" si="27"/>
        <v/>
      </c>
      <c r="FE33" s="50" t="str">
        <f t="shared" si="27"/>
        <v/>
      </c>
      <c r="FF33" s="50" t="str">
        <f t="shared" si="27"/>
        <v/>
      </c>
      <c r="FG33" s="50" t="str">
        <f t="shared" si="27"/>
        <v/>
      </c>
      <c r="FH33" s="50" t="str">
        <f t="shared" si="27"/>
        <v/>
      </c>
      <c r="FI33" s="50" t="str">
        <f t="shared" si="27"/>
        <v/>
      </c>
      <c r="FJ33" s="50" t="str">
        <f t="shared" si="27"/>
        <v/>
      </c>
      <c r="FK33" s="50" t="str">
        <f t="shared" si="27"/>
        <v/>
      </c>
      <c r="FL33" s="50" t="str">
        <f t="shared" si="27"/>
        <v/>
      </c>
      <c r="FM33" s="50" t="str">
        <f t="shared" si="27"/>
        <v/>
      </c>
      <c r="FN33" s="50" t="str">
        <f t="shared" si="27"/>
        <v/>
      </c>
      <c r="FO33" s="50" t="str">
        <f t="shared" si="27"/>
        <v/>
      </c>
      <c r="FP33" s="50" t="str">
        <f t="shared" si="27"/>
        <v/>
      </c>
      <c r="FQ33" s="50" t="str">
        <f t="shared" si="27"/>
        <v/>
      </c>
      <c r="FR33" s="50" t="str">
        <f t="shared" si="27"/>
        <v/>
      </c>
      <c r="FS33" s="50" t="str">
        <f t="shared" si="27"/>
        <v/>
      </c>
      <c r="FT33" s="50" t="str">
        <f t="shared" si="27"/>
        <v/>
      </c>
      <c r="FU33" s="50" t="str">
        <f t="shared" si="27"/>
        <v/>
      </c>
      <c r="FV33" s="50" t="str">
        <f t="shared" si="27"/>
        <v/>
      </c>
      <c r="FW33" s="50" t="str">
        <f t="shared" si="27"/>
        <v/>
      </c>
      <c r="FX33" s="50" t="str">
        <f t="shared" si="27"/>
        <v/>
      </c>
      <c r="FY33" s="50" t="str">
        <f t="shared" si="27"/>
        <v/>
      </c>
      <c r="FZ33" s="50" t="str">
        <f t="shared" si="27"/>
        <v/>
      </c>
      <c r="GA33" s="50" t="str">
        <f t="shared" si="27"/>
        <v/>
      </c>
      <c r="GB33" s="50" t="str">
        <f t="shared" si="27"/>
        <v/>
      </c>
      <c r="GC33" s="50" t="str">
        <f t="shared" si="27"/>
        <v/>
      </c>
      <c r="GD33" s="50" t="str">
        <f t="shared" si="27"/>
        <v/>
      </c>
      <c r="GE33" s="50" t="str">
        <f t="shared" si="27"/>
        <v/>
      </c>
      <c r="GF33" s="50" t="str">
        <f t="shared" si="27"/>
        <v/>
      </c>
      <c r="GG33" s="50" t="str">
        <f t="shared" si="27"/>
        <v/>
      </c>
      <c r="GH33" s="50" t="str">
        <f t="shared" ref="GH33:GW48" si="33">IF($B33=GH$12,$O33,"")</f>
        <v/>
      </c>
      <c r="GI33" s="50" t="str">
        <f t="shared" si="33"/>
        <v/>
      </c>
      <c r="GJ33" s="50" t="str">
        <f t="shared" si="33"/>
        <v/>
      </c>
      <c r="GK33" s="50" t="str">
        <f t="shared" si="33"/>
        <v/>
      </c>
      <c r="GL33" s="50" t="str">
        <f t="shared" si="33"/>
        <v/>
      </c>
      <c r="GM33" s="50" t="str">
        <f t="shared" si="33"/>
        <v/>
      </c>
      <c r="GN33" s="50" t="str">
        <f t="shared" si="33"/>
        <v/>
      </c>
      <c r="GO33" s="50" t="str">
        <f t="shared" si="33"/>
        <v/>
      </c>
      <c r="GP33" s="50" t="str">
        <f t="shared" si="33"/>
        <v/>
      </c>
      <c r="GQ33" s="50" t="str">
        <f t="shared" si="33"/>
        <v/>
      </c>
      <c r="GR33" s="50" t="str">
        <f t="shared" si="33"/>
        <v/>
      </c>
      <c r="GS33" s="50" t="str">
        <f t="shared" si="33"/>
        <v/>
      </c>
      <c r="GT33" s="50" t="str">
        <f t="shared" si="33"/>
        <v/>
      </c>
      <c r="GU33" s="50" t="str">
        <f t="shared" si="33"/>
        <v/>
      </c>
      <c r="GV33" s="50" t="str">
        <f t="shared" si="33"/>
        <v/>
      </c>
      <c r="GW33" s="50" t="str">
        <f t="shared" si="29"/>
        <v/>
      </c>
      <c r="GX33" s="50" t="str">
        <f t="shared" si="22"/>
        <v/>
      </c>
      <c r="GY33" s="50" t="str">
        <f t="shared" si="22"/>
        <v/>
      </c>
      <c r="GZ33" s="50" t="str">
        <f t="shared" si="22"/>
        <v/>
      </c>
      <c r="HA33" s="50" t="str">
        <f t="shared" si="22"/>
        <v/>
      </c>
      <c r="HB33" s="50" t="str">
        <f t="shared" si="22"/>
        <v/>
      </c>
      <c r="HC33" s="50" t="str">
        <f t="shared" si="22"/>
        <v/>
      </c>
      <c r="HD33" s="50" t="str">
        <f t="shared" si="22"/>
        <v/>
      </c>
      <c r="HE33" s="50" t="str">
        <f t="shared" si="22"/>
        <v/>
      </c>
      <c r="HF33" s="50" t="str">
        <f t="shared" si="22"/>
        <v/>
      </c>
      <c r="HG33" s="50" t="str">
        <f t="shared" si="22"/>
        <v/>
      </c>
      <c r="HH33" s="50" t="str">
        <f t="shared" si="22"/>
        <v/>
      </c>
      <c r="HI33" s="50" t="str">
        <f t="shared" si="22"/>
        <v/>
      </c>
      <c r="HJ33" s="50" t="str">
        <f t="shared" si="22"/>
        <v/>
      </c>
      <c r="HK33" s="50" t="str">
        <f t="shared" si="22"/>
        <v/>
      </c>
      <c r="HL33" s="50" t="str">
        <f t="shared" si="22"/>
        <v/>
      </c>
      <c r="HM33" s="50" t="str">
        <f t="shared" si="22"/>
        <v/>
      </c>
      <c r="HN33" s="50" t="str">
        <f t="shared" si="23"/>
        <v/>
      </c>
      <c r="HO33" s="50" t="str">
        <f t="shared" si="23"/>
        <v/>
      </c>
      <c r="HP33" s="50" t="str">
        <f t="shared" si="23"/>
        <v/>
      </c>
      <c r="HQ33" s="50" t="str">
        <f t="shared" si="23"/>
        <v/>
      </c>
      <c r="HR33" s="116" t="str">
        <f t="shared" si="23"/>
        <v/>
      </c>
    </row>
    <row r="34" spans="1:226" ht="11.15" customHeight="1" x14ac:dyDescent="0.25">
      <c r="A34" s="26" t="s">
        <v>38</v>
      </c>
      <c r="B34" s="27">
        <v>2</v>
      </c>
      <c r="C34" s="28" t="str">
        <f>IF(A34=0,"",VLOOKUP(A34,[3]CO!$A$3:$F$5327,2,0))</f>
        <v>Relleno con suelo cemento batido a mano y compactado</v>
      </c>
      <c r="D34" s="29"/>
      <c r="E34" s="29"/>
      <c r="F34" s="29"/>
      <c r="G34" s="30" t="str">
        <f>IF(A34=0,"",VLOOKUP(A34,[3]CO!$A$3:$F$5327,3,0))</f>
        <v>M3</v>
      </c>
      <c r="H34" s="29"/>
      <c r="I34" s="31">
        <v>9.3000000000000007</v>
      </c>
      <c r="J34" s="31">
        <v>1.5</v>
      </c>
      <c r="K34" s="31">
        <v>0.2</v>
      </c>
      <c r="L34" s="31">
        <v>1</v>
      </c>
      <c r="M34" s="32">
        <f t="shared" si="4"/>
        <v>2.7900000000000005</v>
      </c>
      <c r="N34" s="32">
        <f>IF(B34=0,"",IF(H34="M",HLOOKUP(B34,$Y$12:$DT$13,2),IF(A34=0,"",VLOOKUP(A34,[3]CO!$A$3:$F$5327,4,0))))</f>
        <v>163.08234273318871</v>
      </c>
      <c r="O34" s="32">
        <f t="shared" si="11"/>
        <v>454.99973622559656</v>
      </c>
      <c r="P34" s="33"/>
      <c r="Q34" s="34" t="str">
        <f t="shared" si="5"/>
        <v/>
      </c>
      <c r="R34" s="35" t="str">
        <f t="shared" si="6"/>
        <v/>
      </c>
      <c r="S34" s="122"/>
      <c r="T34" s="53">
        <f>IF(A34=0,"",VLOOKUP(A34,[3]CO!$A$3:$F$5318,5,0))</f>
        <v>0</v>
      </c>
      <c r="U34" s="54">
        <f t="shared" si="12"/>
        <v>0</v>
      </c>
      <c r="V34" s="24"/>
      <c r="W34" s="25"/>
      <c r="X34" s="25"/>
      <c r="Y34" s="64" t="str">
        <f t="shared" ref="Y34:BD41" si="34">IF($B34=Y$12,$U34,"")</f>
        <v/>
      </c>
      <c r="Z34" s="55">
        <f t="shared" si="34"/>
        <v>0</v>
      </c>
      <c r="AA34" s="55" t="str">
        <f t="shared" si="34"/>
        <v/>
      </c>
      <c r="AB34" s="55" t="str">
        <f t="shared" si="34"/>
        <v/>
      </c>
      <c r="AC34" s="55" t="str">
        <f t="shared" si="34"/>
        <v/>
      </c>
      <c r="AD34" s="55" t="str">
        <f t="shared" si="34"/>
        <v/>
      </c>
      <c r="AE34" s="55" t="str">
        <f t="shared" si="34"/>
        <v/>
      </c>
      <c r="AF34" s="55" t="str">
        <f t="shared" si="34"/>
        <v/>
      </c>
      <c r="AG34" s="55" t="str">
        <f t="shared" si="34"/>
        <v/>
      </c>
      <c r="AH34" s="55" t="str">
        <f t="shared" si="34"/>
        <v/>
      </c>
      <c r="AI34" s="55" t="str">
        <f t="shared" si="34"/>
        <v/>
      </c>
      <c r="AJ34" s="55" t="str">
        <f t="shared" si="34"/>
        <v/>
      </c>
      <c r="AK34" s="55" t="str">
        <f t="shared" si="34"/>
        <v/>
      </c>
      <c r="AL34" s="55" t="str">
        <f t="shared" si="34"/>
        <v/>
      </c>
      <c r="AM34" s="55" t="str">
        <f t="shared" si="34"/>
        <v/>
      </c>
      <c r="AN34" s="55" t="str">
        <f t="shared" si="34"/>
        <v/>
      </c>
      <c r="AO34" s="55" t="str">
        <f t="shared" si="34"/>
        <v/>
      </c>
      <c r="AP34" s="55" t="str">
        <f t="shared" si="34"/>
        <v/>
      </c>
      <c r="AQ34" s="55" t="str">
        <f t="shared" si="34"/>
        <v/>
      </c>
      <c r="AR34" s="55" t="str">
        <f t="shared" si="34"/>
        <v/>
      </c>
      <c r="AS34" s="55" t="str">
        <f t="shared" si="34"/>
        <v/>
      </c>
      <c r="AT34" s="55" t="str">
        <f t="shared" si="34"/>
        <v/>
      </c>
      <c r="AU34" s="55" t="str">
        <f t="shared" si="34"/>
        <v/>
      </c>
      <c r="AV34" s="55" t="str">
        <f t="shared" si="34"/>
        <v/>
      </c>
      <c r="AW34" s="55" t="str">
        <f t="shared" si="34"/>
        <v/>
      </c>
      <c r="AX34" s="55" t="str">
        <f t="shared" si="34"/>
        <v/>
      </c>
      <c r="AY34" s="55" t="str">
        <f t="shared" si="34"/>
        <v/>
      </c>
      <c r="AZ34" s="55" t="str">
        <f t="shared" si="34"/>
        <v/>
      </c>
      <c r="BA34" s="55" t="str">
        <f t="shared" si="34"/>
        <v/>
      </c>
      <c r="BB34" s="55" t="str">
        <f t="shared" si="34"/>
        <v/>
      </c>
      <c r="BC34" s="55" t="str">
        <f t="shared" si="34"/>
        <v/>
      </c>
      <c r="BD34" s="55" t="str">
        <f t="shared" si="34"/>
        <v/>
      </c>
      <c r="BE34" s="55" t="str">
        <f t="shared" si="26"/>
        <v/>
      </c>
      <c r="BF34" s="55" t="str">
        <f t="shared" si="26"/>
        <v/>
      </c>
      <c r="BG34" s="55" t="str">
        <f t="shared" si="26"/>
        <v/>
      </c>
      <c r="BH34" s="55" t="str">
        <f t="shared" si="26"/>
        <v/>
      </c>
      <c r="BI34" s="55" t="str">
        <f t="shared" si="26"/>
        <v/>
      </c>
      <c r="BJ34" s="55" t="str">
        <f t="shared" si="26"/>
        <v/>
      </c>
      <c r="BK34" s="55" t="str">
        <f t="shared" si="26"/>
        <v/>
      </c>
      <c r="BL34" s="55" t="str">
        <f t="shared" si="26"/>
        <v/>
      </c>
      <c r="BM34" s="55" t="str">
        <f t="shared" si="26"/>
        <v/>
      </c>
      <c r="BN34" s="55" t="str">
        <f t="shared" si="26"/>
        <v/>
      </c>
      <c r="BO34" s="55" t="str">
        <f t="shared" si="26"/>
        <v/>
      </c>
      <c r="BP34" s="55" t="str">
        <f t="shared" si="26"/>
        <v/>
      </c>
      <c r="BQ34" s="55" t="str">
        <f t="shared" si="26"/>
        <v/>
      </c>
      <c r="BR34" s="55" t="str">
        <f t="shared" si="26"/>
        <v/>
      </c>
      <c r="BS34" s="55" t="str">
        <f t="shared" si="26"/>
        <v/>
      </c>
      <c r="BT34" s="55" t="str">
        <f t="shared" si="26"/>
        <v/>
      </c>
      <c r="BU34" s="55" t="str">
        <f t="shared" si="26"/>
        <v/>
      </c>
      <c r="BV34" s="55" t="str">
        <f t="shared" si="26"/>
        <v/>
      </c>
      <c r="BW34" s="55" t="str">
        <f t="shared" si="26"/>
        <v/>
      </c>
      <c r="BX34" s="55" t="str">
        <f t="shared" si="26"/>
        <v/>
      </c>
      <c r="BY34" s="55" t="str">
        <f t="shared" si="26"/>
        <v/>
      </c>
      <c r="BZ34" s="55" t="str">
        <f t="shared" si="26"/>
        <v/>
      </c>
      <c r="CA34" s="55" t="str">
        <f t="shared" si="26"/>
        <v/>
      </c>
      <c r="CB34" s="55" t="str">
        <f t="shared" si="26"/>
        <v/>
      </c>
      <c r="CC34" s="55" t="str">
        <f t="shared" si="26"/>
        <v/>
      </c>
      <c r="CD34" s="55" t="str">
        <f t="shared" si="26"/>
        <v/>
      </c>
      <c r="CE34" s="55" t="str">
        <f t="shared" si="26"/>
        <v/>
      </c>
      <c r="CF34" s="55" t="str">
        <f t="shared" si="26"/>
        <v/>
      </c>
      <c r="CG34" s="55" t="str">
        <f t="shared" si="26"/>
        <v/>
      </c>
      <c r="CH34" s="55" t="str">
        <f t="shared" si="26"/>
        <v/>
      </c>
      <c r="CI34" s="55" t="str">
        <f t="shared" si="26"/>
        <v/>
      </c>
      <c r="CJ34" s="55" t="str">
        <f t="shared" si="31"/>
        <v/>
      </c>
      <c r="CK34" s="55" t="str">
        <f t="shared" si="31"/>
        <v/>
      </c>
      <c r="CL34" s="55" t="str">
        <f t="shared" si="31"/>
        <v/>
      </c>
      <c r="CM34" s="55" t="str">
        <f t="shared" si="31"/>
        <v/>
      </c>
      <c r="CN34" s="55" t="str">
        <f t="shared" si="31"/>
        <v/>
      </c>
      <c r="CO34" s="55" t="str">
        <f t="shared" si="31"/>
        <v/>
      </c>
      <c r="CP34" s="55" t="str">
        <f t="shared" si="31"/>
        <v/>
      </c>
      <c r="CQ34" s="55" t="str">
        <f t="shared" si="31"/>
        <v/>
      </c>
      <c r="CR34" s="55" t="str">
        <f t="shared" si="31"/>
        <v/>
      </c>
      <c r="CS34" s="55" t="str">
        <f t="shared" si="31"/>
        <v/>
      </c>
      <c r="CT34" s="55" t="str">
        <f t="shared" si="31"/>
        <v/>
      </c>
      <c r="CU34" s="55" t="str">
        <f t="shared" si="31"/>
        <v/>
      </c>
      <c r="CV34" s="55" t="str">
        <f t="shared" si="31"/>
        <v/>
      </c>
      <c r="CW34" s="55" t="str">
        <f t="shared" si="31"/>
        <v/>
      </c>
      <c r="CX34" s="55" t="str">
        <f t="shared" si="31"/>
        <v/>
      </c>
      <c r="CY34" s="55" t="str">
        <f t="shared" si="28"/>
        <v/>
      </c>
      <c r="CZ34" s="55" t="str">
        <f t="shared" si="21"/>
        <v/>
      </c>
      <c r="DA34" s="55" t="str">
        <f t="shared" si="21"/>
        <v/>
      </c>
      <c r="DB34" s="55" t="str">
        <f t="shared" si="21"/>
        <v/>
      </c>
      <c r="DC34" s="55" t="str">
        <f t="shared" si="21"/>
        <v/>
      </c>
      <c r="DD34" s="55" t="str">
        <f t="shared" si="21"/>
        <v/>
      </c>
      <c r="DE34" s="55" t="str">
        <f t="shared" si="21"/>
        <v/>
      </c>
      <c r="DF34" s="55" t="str">
        <f t="shared" si="21"/>
        <v/>
      </c>
      <c r="DG34" s="55" t="str">
        <f t="shared" si="21"/>
        <v/>
      </c>
      <c r="DH34" s="55" t="str">
        <f t="shared" si="21"/>
        <v/>
      </c>
      <c r="DI34" s="55" t="str">
        <f t="shared" si="21"/>
        <v/>
      </c>
      <c r="DJ34" s="55" t="str">
        <f t="shared" si="21"/>
        <v/>
      </c>
      <c r="DK34" s="55" t="str">
        <f t="shared" si="21"/>
        <v/>
      </c>
      <c r="DL34" s="55" t="str">
        <f t="shared" si="21"/>
        <v/>
      </c>
      <c r="DM34" s="55" t="str">
        <f t="shared" si="21"/>
        <v/>
      </c>
      <c r="DN34" s="55" t="str">
        <f t="shared" si="21"/>
        <v/>
      </c>
      <c r="DO34" s="55" t="str">
        <f t="shared" si="21"/>
        <v/>
      </c>
      <c r="DP34" s="55" t="str">
        <f t="shared" si="21"/>
        <v/>
      </c>
      <c r="DQ34" s="55" t="str">
        <f t="shared" si="21"/>
        <v/>
      </c>
      <c r="DR34" s="55" t="str">
        <f t="shared" si="21"/>
        <v/>
      </c>
      <c r="DS34" s="55" t="str">
        <f t="shared" si="21"/>
        <v/>
      </c>
      <c r="DT34" s="110" t="str">
        <f t="shared" si="21"/>
        <v/>
      </c>
      <c r="DU34" s="54"/>
      <c r="DV34" s="25"/>
      <c r="DW34" s="61" t="str">
        <f t="shared" ref="DW34:FB41" si="35">IF($B34=DW$12,$O34,"")</f>
        <v/>
      </c>
      <c r="DX34" s="50">
        <f t="shared" si="35"/>
        <v>454.99973622559656</v>
      </c>
      <c r="DY34" s="50" t="str">
        <f t="shared" si="35"/>
        <v/>
      </c>
      <c r="DZ34" s="50" t="str">
        <f t="shared" si="35"/>
        <v/>
      </c>
      <c r="EA34" s="50" t="str">
        <f t="shared" si="35"/>
        <v/>
      </c>
      <c r="EB34" s="50" t="str">
        <f t="shared" si="35"/>
        <v/>
      </c>
      <c r="EC34" s="50" t="str">
        <f t="shared" si="35"/>
        <v/>
      </c>
      <c r="ED34" s="50" t="str">
        <f t="shared" si="35"/>
        <v/>
      </c>
      <c r="EE34" s="50" t="str">
        <f t="shared" si="35"/>
        <v/>
      </c>
      <c r="EF34" s="50" t="str">
        <f t="shared" si="35"/>
        <v/>
      </c>
      <c r="EG34" s="50" t="str">
        <f t="shared" si="35"/>
        <v/>
      </c>
      <c r="EH34" s="50" t="str">
        <f t="shared" si="35"/>
        <v/>
      </c>
      <c r="EI34" s="50" t="str">
        <f t="shared" si="35"/>
        <v/>
      </c>
      <c r="EJ34" s="50" t="str">
        <f t="shared" si="35"/>
        <v/>
      </c>
      <c r="EK34" s="50" t="str">
        <f t="shared" si="35"/>
        <v/>
      </c>
      <c r="EL34" s="50" t="str">
        <f t="shared" si="35"/>
        <v/>
      </c>
      <c r="EM34" s="50" t="str">
        <f t="shared" si="35"/>
        <v/>
      </c>
      <c r="EN34" s="50" t="str">
        <f t="shared" si="35"/>
        <v/>
      </c>
      <c r="EO34" s="50" t="str">
        <f t="shared" si="35"/>
        <v/>
      </c>
      <c r="EP34" s="50" t="str">
        <f t="shared" si="35"/>
        <v/>
      </c>
      <c r="EQ34" s="50" t="str">
        <f t="shared" si="35"/>
        <v/>
      </c>
      <c r="ER34" s="50" t="str">
        <f t="shared" si="35"/>
        <v/>
      </c>
      <c r="ES34" s="50" t="str">
        <f t="shared" si="35"/>
        <v/>
      </c>
      <c r="ET34" s="50" t="str">
        <f t="shared" si="35"/>
        <v/>
      </c>
      <c r="EU34" s="50" t="str">
        <f t="shared" si="35"/>
        <v/>
      </c>
      <c r="EV34" s="50" t="str">
        <f t="shared" si="35"/>
        <v/>
      </c>
      <c r="EW34" s="50" t="str">
        <f t="shared" si="35"/>
        <v/>
      </c>
      <c r="EX34" s="50" t="str">
        <f t="shared" si="35"/>
        <v/>
      </c>
      <c r="EY34" s="50" t="str">
        <f t="shared" si="35"/>
        <v/>
      </c>
      <c r="EZ34" s="50" t="str">
        <f t="shared" si="35"/>
        <v/>
      </c>
      <c r="FA34" s="50" t="str">
        <f t="shared" si="35"/>
        <v/>
      </c>
      <c r="FB34" s="50" t="str">
        <f t="shared" si="35"/>
        <v/>
      </c>
      <c r="FC34" s="50" t="str">
        <f t="shared" si="27"/>
        <v/>
      </c>
      <c r="FD34" s="50" t="str">
        <f t="shared" si="27"/>
        <v/>
      </c>
      <c r="FE34" s="50" t="str">
        <f t="shared" si="27"/>
        <v/>
      </c>
      <c r="FF34" s="50" t="str">
        <f t="shared" si="27"/>
        <v/>
      </c>
      <c r="FG34" s="50" t="str">
        <f t="shared" si="27"/>
        <v/>
      </c>
      <c r="FH34" s="50" t="str">
        <f t="shared" si="27"/>
        <v/>
      </c>
      <c r="FI34" s="50" t="str">
        <f t="shared" si="27"/>
        <v/>
      </c>
      <c r="FJ34" s="50" t="str">
        <f t="shared" si="27"/>
        <v/>
      </c>
      <c r="FK34" s="50" t="str">
        <f t="shared" si="27"/>
        <v/>
      </c>
      <c r="FL34" s="50" t="str">
        <f t="shared" si="27"/>
        <v/>
      </c>
      <c r="FM34" s="50" t="str">
        <f t="shared" si="27"/>
        <v/>
      </c>
      <c r="FN34" s="50" t="str">
        <f t="shared" si="27"/>
        <v/>
      </c>
      <c r="FO34" s="50" t="str">
        <f t="shared" si="27"/>
        <v/>
      </c>
      <c r="FP34" s="50" t="str">
        <f t="shared" si="27"/>
        <v/>
      </c>
      <c r="FQ34" s="50" t="str">
        <f t="shared" si="27"/>
        <v/>
      </c>
      <c r="FR34" s="50" t="str">
        <f t="shared" si="27"/>
        <v/>
      </c>
      <c r="FS34" s="50" t="str">
        <f t="shared" si="27"/>
        <v/>
      </c>
      <c r="FT34" s="50" t="str">
        <f t="shared" si="27"/>
        <v/>
      </c>
      <c r="FU34" s="50" t="str">
        <f t="shared" si="27"/>
        <v/>
      </c>
      <c r="FV34" s="50" t="str">
        <f t="shared" si="27"/>
        <v/>
      </c>
      <c r="FW34" s="50" t="str">
        <f t="shared" si="27"/>
        <v/>
      </c>
      <c r="FX34" s="50" t="str">
        <f t="shared" si="27"/>
        <v/>
      </c>
      <c r="FY34" s="50" t="str">
        <f t="shared" si="27"/>
        <v/>
      </c>
      <c r="FZ34" s="50" t="str">
        <f t="shared" si="27"/>
        <v/>
      </c>
      <c r="GA34" s="50" t="str">
        <f t="shared" si="27"/>
        <v/>
      </c>
      <c r="GB34" s="50" t="str">
        <f t="shared" si="27"/>
        <v/>
      </c>
      <c r="GC34" s="50" t="str">
        <f t="shared" si="27"/>
        <v/>
      </c>
      <c r="GD34" s="50" t="str">
        <f t="shared" si="27"/>
        <v/>
      </c>
      <c r="GE34" s="50" t="str">
        <f t="shared" si="27"/>
        <v/>
      </c>
      <c r="GF34" s="50" t="str">
        <f t="shared" si="27"/>
        <v/>
      </c>
      <c r="GG34" s="50" t="str">
        <f t="shared" si="27"/>
        <v/>
      </c>
      <c r="GH34" s="50" t="str">
        <f t="shared" si="33"/>
        <v/>
      </c>
      <c r="GI34" s="50" t="str">
        <f t="shared" si="33"/>
        <v/>
      </c>
      <c r="GJ34" s="50" t="str">
        <f t="shared" si="33"/>
        <v/>
      </c>
      <c r="GK34" s="50" t="str">
        <f t="shared" si="33"/>
        <v/>
      </c>
      <c r="GL34" s="50" t="str">
        <f t="shared" si="33"/>
        <v/>
      </c>
      <c r="GM34" s="50" t="str">
        <f t="shared" si="33"/>
        <v/>
      </c>
      <c r="GN34" s="50" t="str">
        <f t="shared" si="33"/>
        <v/>
      </c>
      <c r="GO34" s="50" t="str">
        <f t="shared" si="33"/>
        <v/>
      </c>
      <c r="GP34" s="50" t="str">
        <f t="shared" si="33"/>
        <v/>
      </c>
      <c r="GQ34" s="50" t="str">
        <f t="shared" si="33"/>
        <v/>
      </c>
      <c r="GR34" s="50" t="str">
        <f t="shared" si="33"/>
        <v/>
      </c>
      <c r="GS34" s="50" t="str">
        <f t="shared" si="33"/>
        <v/>
      </c>
      <c r="GT34" s="50" t="str">
        <f t="shared" si="33"/>
        <v/>
      </c>
      <c r="GU34" s="50" t="str">
        <f t="shared" si="33"/>
        <v/>
      </c>
      <c r="GV34" s="50" t="str">
        <f t="shared" si="33"/>
        <v/>
      </c>
      <c r="GW34" s="50" t="str">
        <f t="shared" si="29"/>
        <v/>
      </c>
      <c r="GX34" s="50" t="str">
        <f t="shared" si="22"/>
        <v/>
      </c>
      <c r="GY34" s="50" t="str">
        <f t="shared" si="22"/>
        <v/>
      </c>
      <c r="GZ34" s="50" t="str">
        <f t="shared" si="22"/>
        <v/>
      </c>
      <c r="HA34" s="50" t="str">
        <f t="shared" si="22"/>
        <v/>
      </c>
      <c r="HB34" s="50" t="str">
        <f t="shared" si="22"/>
        <v/>
      </c>
      <c r="HC34" s="50" t="str">
        <f t="shared" si="22"/>
        <v/>
      </c>
      <c r="HD34" s="50" t="str">
        <f t="shared" si="22"/>
        <v/>
      </c>
      <c r="HE34" s="50" t="str">
        <f t="shared" si="22"/>
        <v/>
      </c>
      <c r="HF34" s="50" t="str">
        <f t="shared" si="22"/>
        <v/>
      </c>
      <c r="HG34" s="50" t="str">
        <f t="shared" si="22"/>
        <v/>
      </c>
      <c r="HH34" s="50" t="str">
        <f t="shared" si="22"/>
        <v/>
      </c>
      <c r="HI34" s="50" t="str">
        <f t="shared" si="22"/>
        <v/>
      </c>
      <c r="HJ34" s="50" t="str">
        <f t="shared" si="22"/>
        <v/>
      </c>
      <c r="HK34" s="50" t="str">
        <f t="shared" si="22"/>
        <v/>
      </c>
      <c r="HL34" s="50" t="str">
        <f t="shared" si="22"/>
        <v/>
      </c>
      <c r="HM34" s="50" t="str">
        <f t="shared" si="22"/>
        <v/>
      </c>
      <c r="HN34" s="50" t="str">
        <f t="shared" si="23"/>
        <v/>
      </c>
      <c r="HO34" s="50" t="str">
        <f t="shared" si="23"/>
        <v/>
      </c>
      <c r="HP34" s="50" t="str">
        <f t="shared" si="23"/>
        <v/>
      </c>
      <c r="HQ34" s="50" t="str">
        <f t="shared" si="23"/>
        <v/>
      </c>
      <c r="HR34" s="116" t="str">
        <f t="shared" si="23"/>
        <v/>
      </c>
    </row>
    <row r="35" spans="1:226" ht="11.15" customHeight="1" x14ac:dyDescent="0.25">
      <c r="A35" s="26" t="s">
        <v>41</v>
      </c>
      <c r="B35" s="27">
        <v>2</v>
      </c>
      <c r="C35" s="28" t="str">
        <f>IF(A35=0,"",VLOOKUP(A35,[3]CO!$A$3:$F$5327,2,0))</f>
        <v>Relleno c/ material producto excavacion a cada 20 cms</v>
      </c>
      <c r="D35" s="29"/>
      <c r="E35" s="29"/>
      <c r="F35" s="29"/>
      <c r="G35" s="30" t="str">
        <f>IF(A35=0,"",VLOOKUP(A35,[3]CO!$A$3:$F$5327,3,0))</f>
        <v>M3</v>
      </c>
      <c r="H35" s="29"/>
      <c r="I35" s="31">
        <v>9.3000000000000007</v>
      </c>
      <c r="J35" s="31">
        <v>1.5</v>
      </c>
      <c r="K35" s="31">
        <v>1.8</v>
      </c>
      <c r="L35" s="31">
        <v>1</v>
      </c>
      <c r="M35" s="32">
        <f t="shared" si="4"/>
        <v>25.110000000000003</v>
      </c>
      <c r="N35" s="32">
        <f>IF(B35=0,"",IF(H35="M",HLOOKUP(B35,$Y$12:$DT$13,2),IF(A35=0,"",VLOOKUP(A35,[3]CO!$A$3:$F$5327,4,0))))</f>
        <v>44.224094117647063</v>
      </c>
      <c r="O35" s="32">
        <f t="shared" si="11"/>
        <v>1110.4670032941178</v>
      </c>
      <c r="P35" s="33"/>
      <c r="Q35" s="34" t="str">
        <f t="shared" si="5"/>
        <v/>
      </c>
      <c r="R35" s="35" t="str">
        <f t="shared" si="6"/>
        <v/>
      </c>
      <c r="S35" s="122"/>
      <c r="T35" s="53">
        <f>IF(A35=0,"",VLOOKUP(A35,[3]CO!$A$3:$F$5318,5,0))</f>
        <v>0</v>
      </c>
      <c r="U35" s="54">
        <f t="shared" si="12"/>
        <v>0</v>
      </c>
      <c r="V35" s="24"/>
      <c r="W35" s="25"/>
      <c r="X35" s="25"/>
      <c r="Y35" s="64" t="str">
        <f t="shared" si="34"/>
        <v/>
      </c>
      <c r="Z35" s="55">
        <f t="shared" si="34"/>
        <v>0</v>
      </c>
      <c r="AA35" s="55" t="str">
        <f t="shared" si="34"/>
        <v/>
      </c>
      <c r="AB35" s="55" t="str">
        <f t="shared" si="34"/>
        <v/>
      </c>
      <c r="AC35" s="55" t="str">
        <f t="shared" si="34"/>
        <v/>
      </c>
      <c r="AD35" s="55" t="str">
        <f t="shared" si="34"/>
        <v/>
      </c>
      <c r="AE35" s="55" t="str">
        <f t="shared" si="34"/>
        <v/>
      </c>
      <c r="AF35" s="55" t="str">
        <f t="shared" si="34"/>
        <v/>
      </c>
      <c r="AG35" s="55" t="str">
        <f t="shared" si="34"/>
        <v/>
      </c>
      <c r="AH35" s="55" t="str">
        <f t="shared" si="34"/>
        <v/>
      </c>
      <c r="AI35" s="55" t="str">
        <f t="shared" si="34"/>
        <v/>
      </c>
      <c r="AJ35" s="55" t="str">
        <f t="shared" si="34"/>
        <v/>
      </c>
      <c r="AK35" s="55" t="str">
        <f t="shared" si="34"/>
        <v/>
      </c>
      <c r="AL35" s="55" t="str">
        <f t="shared" si="34"/>
        <v/>
      </c>
      <c r="AM35" s="55" t="str">
        <f t="shared" si="34"/>
        <v/>
      </c>
      <c r="AN35" s="55" t="str">
        <f t="shared" si="34"/>
        <v/>
      </c>
      <c r="AO35" s="55" t="str">
        <f t="shared" si="34"/>
        <v/>
      </c>
      <c r="AP35" s="55" t="str">
        <f t="shared" si="34"/>
        <v/>
      </c>
      <c r="AQ35" s="55" t="str">
        <f t="shared" si="34"/>
        <v/>
      </c>
      <c r="AR35" s="55" t="str">
        <f t="shared" si="34"/>
        <v/>
      </c>
      <c r="AS35" s="55" t="str">
        <f t="shared" si="34"/>
        <v/>
      </c>
      <c r="AT35" s="55" t="str">
        <f t="shared" si="34"/>
        <v/>
      </c>
      <c r="AU35" s="55" t="str">
        <f t="shared" si="34"/>
        <v/>
      </c>
      <c r="AV35" s="55" t="str">
        <f t="shared" si="34"/>
        <v/>
      </c>
      <c r="AW35" s="55" t="str">
        <f t="shared" si="34"/>
        <v/>
      </c>
      <c r="AX35" s="55" t="str">
        <f t="shared" si="34"/>
        <v/>
      </c>
      <c r="AY35" s="55" t="str">
        <f t="shared" si="34"/>
        <v/>
      </c>
      <c r="AZ35" s="55" t="str">
        <f t="shared" si="34"/>
        <v/>
      </c>
      <c r="BA35" s="55" t="str">
        <f t="shared" si="34"/>
        <v/>
      </c>
      <c r="BB35" s="55" t="str">
        <f t="shared" si="34"/>
        <v/>
      </c>
      <c r="BC35" s="55" t="str">
        <f t="shared" si="34"/>
        <v/>
      </c>
      <c r="BD35" s="55" t="str">
        <f t="shared" si="34"/>
        <v/>
      </c>
      <c r="BE35" s="55" t="str">
        <f t="shared" si="26"/>
        <v/>
      </c>
      <c r="BF35" s="55" t="str">
        <f t="shared" si="26"/>
        <v/>
      </c>
      <c r="BG35" s="55" t="str">
        <f t="shared" si="26"/>
        <v/>
      </c>
      <c r="BH35" s="55" t="str">
        <f t="shared" si="26"/>
        <v/>
      </c>
      <c r="BI35" s="55" t="str">
        <f t="shared" si="26"/>
        <v/>
      </c>
      <c r="BJ35" s="55" t="str">
        <f t="shared" si="26"/>
        <v/>
      </c>
      <c r="BK35" s="55" t="str">
        <f t="shared" si="26"/>
        <v/>
      </c>
      <c r="BL35" s="55" t="str">
        <f t="shared" ref="BL35:CI35" si="36">IF($B35=BL$12,$U35,"")</f>
        <v/>
      </c>
      <c r="BM35" s="55" t="str">
        <f t="shared" si="36"/>
        <v/>
      </c>
      <c r="BN35" s="55" t="str">
        <f t="shared" si="36"/>
        <v/>
      </c>
      <c r="BO35" s="55" t="str">
        <f t="shared" si="36"/>
        <v/>
      </c>
      <c r="BP35" s="55" t="str">
        <f t="shared" si="36"/>
        <v/>
      </c>
      <c r="BQ35" s="55" t="str">
        <f t="shared" si="36"/>
        <v/>
      </c>
      <c r="BR35" s="55" t="str">
        <f t="shared" si="36"/>
        <v/>
      </c>
      <c r="BS35" s="55" t="str">
        <f t="shared" si="36"/>
        <v/>
      </c>
      <c r="BT35" s="55" t="str">
        <f t="shared" si="36"/>
        <v/>
      </c>
      <c r="BU35" s="55" t="str">
        <f t="shared" si="36"/>
        <v/>
      </c>
      <c r="BV35" s="55" t="str">
        <f t="shared" si="36"/>
        <v/>
      </c>
      <c r="BW35" s="55" t="str">
        <f t="shared" si="36"/>
        <v/>
      </c>
      <c r="BX35" s="55" t="str">
        <f t="shared" si="36"/>
        <v/>
      </c>
      <c r="BY35" s="55" t="str">
        <f t="shared" si="36"/>
        <v/>
      </c>
      <c r="BZ35" s="55" t="str">
        <f t="shared" si="36"/>
        <v/>
      </c>
      <c r="CA35" s="55" t="str">
        <f t="shared" si="36"/>
        <v/>
      </c>
      <c r="CB35" s="55" t="str">
        <f t="shared" si="36"/>
        <v/>
      </c>
      <c r="CC35" s="55" t="str">
        <f t="shared" si="36"/>
        <v/>
      </c>
      <c r="CD35" s="55" t="str">
        <f t="shared" si="36"/>
        <v/>
      </c>
      <c r="CE35" s="55" t="str">
        <f t="shared" si="36"/>
        <v/>
      </c>
      <c r="CF35" s="55" t="str">
        <f t="shared" si="36"/>
        <v/>
      </c>
      <c r="CG35" s="55" t="str">
        <f t="shared" si="36"/>
        <v/>
      </c>
      <c r="CH35" s="55" t="str">
        <f t="shared" si="36"/>
        <v/>
      </c>
      <c r="CI35" s="55" t="str">
        <f t="shared" si="36"/>
        <v/>
      </c>
      <c r="CJ35" s="55" t="str">
        <f t="shared" si="31"/>
        <v/>
      </c>
      <c r="CK35" s="55" t="str">
        <f t="shared" si="31"/>
        <v/>
      </c>
      <c r="CL35" s="55" t="str">
        <f t="shared" si="31"/>
        <v/>
      </c>
      <c r="CM35" s="55" t="str">
        <f t="shared" si="31"/>
        <v/>
      </c>
      <c r="CN35" s="55" t="str">
        <f t="shared" si="31"/>
        <v/>
      </c>
      <c r="CO35" s="55" t="str">
        <f t="shared" si="31"/>
        <v/>
      </c>
      <c r="CP35" s="55" t="str">
        <f t="shared" si="31"/>
        <v/>
      </c>
      <c r="CQ35" s="55" t="str">
        <f t="shared" si="31"/>
        <v/>
      </c>
      <c r="CR35" s="55" t="str">
        <f t="shared" si="31"/>
        <v/>
      </c>
      <c r="CS35" s="55" t="str">
        <f t="shared" si="31"/>
        <v/>
      </c>
      <c r="CT35" s="55" t="str">
        <f t="shared" si="31"/>
        <v/>
      </c>
      <c r="CU35" s="55" t="str">
        <f t="shared" si="31"/>
        <v/>
      </c>
      <c r="CV35" s="55" t="str">
        <f t="shared" si="31"/>
        <v/>
      </c>
      <c r="CW35" s="55" t="str">
        <f t="shared" si="31"/>
        <v/>
      </c>
      <c r="CX35" s="55" t="str">
        <f t="shared" si="31"/>
        <v/>
      </c>
      <c r="CY35" s="55" t="str">
        <f t="shared" si="28"/>
        <v/>
      </c>
      <c r="CZ35" s="55" t="str">
        <f t="shared" si="28"/>
        <v/>
      </c>
      <c r="DA35" s="55" t="str">
        <f t="shared" si="28"/>
        <v/>
      </c>
      <c r="DB35" s="55" t="str">
        <f t="shared" si="28"/>
        <v/>
      </c>
      <c r="DC35" s="55" t="str">
        <f t="shared" si="28"/>
        <v/>
      </c>
      <c r="DD35" s="55" t="str">
        <f t="shared" si="28"/>
        <v/>
      </c>
      <c r="DE35" s="55" t="str">
        <f t="shared" si="28"/>
        <v/>
      </c>
      <c r="DF35" s="55" t="str">
        <f t="shared" si="28"/>
        <v/>
      </c>
      <c r="DG35" s="55" t="str">
        <f t="shared" si="28"/>
        <v/>
      </c>
      <c r="DH35" s="55" t="str">
        <f t="shared" si="28"/>
        <v/>
      </c>
      <c r="DI35" s="55" t="str">
        <f t="shared" si="28"/>
        <v/>
      </c>
      <c r="DJ35" s="55" t="str">
        <f t="shared" si="28"/>
        <v/>
      </c>
      <c r="DK35" s="55" t="str">
        <f t="shared" si="28"/>
        <v/>
      </c>
      <c r="DL35" s="55" t="str">
        <f t="shared" si="28"/>
        <v/>
      </c>
      <c r="DM35" s="55" t="str">
        <f t="shared" si="28"/>
        <v/>
      </c>
      <c r="DN35" s="55" t="str">
        <f t="shared" si="28"/>
        <v/>
      </c>
      <c r="DO35" s="55" t="str">
        <f t="shared" si="21"/>
        <v/>
      </c>
      <c r="DP35" s="55" t="str">
        <f t="shared" si="21"/>
        <v/>
      </c>
      <c r="DQ35" s="55" t="str">
        <f t="shared" si="21"/>
        <v/>
      </c>
      <c r="DR35" s="55" t="str">
        <f t="shared" si="21"/>
        <v/>
      </c>
      <c r="DS35" s="55" t="str">
        <f t="shared" si="21"/>
        <v/>
      </c>
      <c r="DT35" s="110" t="str">
        <f t="shared" si="21"/>
        <v/>
      </c>
      <c r="DU35" s="54"/>
      <c r="DV35" s="25"/>
      <c r="DW35" s="61" t="str">
        <f t="shared" si="35"/>
        <v/>
      </c>
      <c r="DX35" s="50">
        <f t="shared" si="35"/>
        <v>1110.4670032941178</v>
      </c>
      <c r="DY35" s="50" t="str">
        <f t="shared" si="35"/>
        <v/>
      </c>
      <c r="DZ35" s="50" t="str">
        <f t="shared" si="35"/>
        <v/>
      </c>
      <c r="EA35" s="50" t="str">
        <f t="shared" si="35"/>
        <v/>
      </c>
      <c r="EB35" s="50" t="str">
        <f t="shared" si="35"/>
        <v/>
      </c>
      <c r="EC35" s="50" t="str">
        <f t="shared" si="35"/>
        <v/>
      </c>
      <c r="ED35" s="50" t="str">
        <f t="shared" si="35"/>
        <v/>
      </c>
      <c r="EE35" s="50" t="str">
        <f t="shared" si="35"/>
        <v/>
      </c>
      <c r="EF35" s="50" t="str">
        <f t="shared" si="35"/>
        <v/>
      </c>
      <c r="EG35" s="50" t="str">
        <f t="shared" si="35"/>
        <v/>
      </c>
      <c r="EH35" s="50" t="str">
        <f t="shared" si="35"/>
        <v/>
      </c>
      <c r="EI35" s="50" t="str">
        <f t="shared" si="35"/>
        <v/>
      </c>
      <c r="EJ35" s="50" t="str">
        <f t="shared" si="35"/>
        <v/>
      </c>
      <c r="EK35" s="50" t="str">
        <f t="shared" si="35"/>
        <v/>
      </c>
      <c r="EL35" s="50" t="str">
        <f t="shared" si="35"/>
        <v/>
      </c>
      <c r="EM35" s="50" t="str">
        <f t="shared" si="35"/>
        <v/>
      </c>
      <c r="EN35" s="50" t="str">
        <f t="shared" si="35"/>
        <v/>
      </c>
      <c r="EO35" s="50" t="str">
        <f t="shared" si="35"/>
        <v/>
      </c>
      <c r="EP35" s="50" t="str">
        <f t="shared" si="35"/>
        <v/>
      </c>
      <c r="EQ35" s="50" t="str">
        <f t="shared" si="35"/>
        <v/>
      </c>
      <c r="ER35" s="50" t="str">
        <f t="shared" si="35"/>
        <v/>
      </c>
      <c r="ES35" s="50" t="str">
        <f t="shared" si="35"/>
        <v/>
      </c>
      <c r="ET35" s="50" t="str">
        <f t="shared" si="35"/>
        <v/>
      </c>
      <c r="EU35" s="50" t="str">
        <f t="shared" si="35"/>
        <v/>
      </c>
      <c r="EV35" s="50" t="str">
        <f t="shared" si="35"/>
        <v/>
      </c>
      <c r="EW35" s="50" t="str">
        <f t="shared" si="35"/>
        <v/>
      </c>
      <c r="EX35" s="50" t="str">
        <f t="shared" si="35"/>
        <v/>
      </c>
      <c r="EY35" s="50" t="str">
        <f t="shared" si="35"/>
        <v/>
      </c>
      <c r="EZ35" s="50" t="str">
        <f t="shared" si="35"/>
        <v/>
      </c>
      <c r="FA35" s="50" t="str">
        <f t="shared" si="35"/>
        <v/>
      </c>
      <c r="FB35" s="50" t="str">
        <f t="shared" si="35"/>
        <v/>
      </c>
      <c r="FC35" s="50" t="str">
        <f t="shared" si="27"/>
        <v/>
      </c>
      <c r="FD35" s="50" t="str">
        <f t="shared" si="27"/>
        <v/>
      </c>
      <c r="FE35" s="50" t="str">
        <f t="shared" si="27"/>
        <v/>
      </c>
      <c r="FF35" s="50" t="str">
        <f t="shared" si="27"/>
        <v/>
      </c>
      <c r="FG35" s="50" t="str">
        <f t="shared" si="27"/>
        <v/>
      </c>
      <c r="FH35" s="50" t="str">
        <f t="shared" si="27"/>
        <v/>
      </c>
      <c r="FI35" s="50" t="str">
        <f t="shared" si="27"/>
        <v/>
      </c>
      <c r="FJ35" s="50" t="str">
        <f t="shared" ref="FJ35:GG35" si="37">IF($B35=FJ$12,$O35,"")</f>
        <v/>
      </c>
      <c r="FK35" s="50" t="str">
        <f t="shared" si="37"/>
        <v/>
      </c>
      <c r="FL35" s="50" t="str">
        <f t="shared" si="37"/>
        <v/>
      </c>
      <c r="FM35" s="50" t="str">
        <f t="shared" si="37"/>
        <v/>
      </c>
      <c r="FN35" s="50" t="str">
        <f t="shared" si="37"/>
        <v/>
      </c>
      <c r="FO35" s="50" t="str">
        <f t="shared" si="37"/>
        <v/>
      </c>
      <c r="FP35" s="50" t="str">
        <f t="shared" si="37"/>
        <v/>
      </c>
      <c r="FQ35" s="50" t="str">
        <f t="shared" si="37"/>
        <v/>
      </c>
      <c r="FR35" s="50" t="str">
        <f t="shared" si="37"/>
        <v/>
      </c>
      <c r="FS35" s="50" t="str">
        <f t="shared" si="37"/>
        <v/>
      </c>
      <c r="FT35" s="50" t="str">
        <f t="shared" si="37"/>
        <v/>
      </c>
      <c r="FU35" s="50" t="str">
        <f t="shared" si="37"/>
        <v/>
      </c>
      <c r="FV35" s="50" t="str">
        <f t="shared" si="37"/>
        <v/>
      </c>
      <c r="FW35" s="50" t="str">
        <f t="shared" si="37"/>
        <v/>
      </c>
      <c r="FX35" s="50" t="str">
        <f t="shared" si="37"/>
        <v/>
      </c>
      <c r="FY35" s="50" t="str">
        <f t="shared" si="37"/>
        <v/>
      </c>
      <c r="FZ35" s="50" t="str">
        <f t="shared" si="37"/>
        <v/>
      </c>
      <c r="GA35" s="50" t="str">
        <f t="shared" si="37"/>
        <v/>
      </c>
      <c r="GB35" s="50" t="str">
        <f t="shared" si="37"/>
        <v/>
      </c>
      <c r="GC35" s="50" t="str">
        <f t="shared" si="37"/>
        <v/>
      </c>
      <c r="GD35" s="50" t="str">
        <f t="shared" si="37"/>
        <v/>
      </c>
      <c r="GE35" s="50" t="str">
        <f t="shared" si="37"/>
        <v/>
      </c>
      <c r="GF35" s="50" t="str">
        <f t="shared" si="37"/>
        <v/>
      </c>
      <c r="GG35" s="50" t="str">
        <f t="shared" si="37"/>
        <v/>
      </c>
      <c r="GH35" s="50" t="str">
        <f t="shared" si="33"/>
        <v/>
      </c>
      <c r="GI35" s="50" t="str">
        <f t="shared" si="33"/>
        <v/>
      </c>
      <c r="GJ35" s="50" t="str">
        <f t="shared" si="33"/>
        <v/>
      </c>
      <c r="GK35" s="50" t="str">
        <f t="shared" si="33"/>
        <v/>
      </c>
      <c r="GL35" s="50" t="str">
        <f t="shared" si="33"/>
        <v/>
      </c>
      <c r="GM35" s="50" t="str">
        <f t="shared" si="33"/>
        <v/>
      </c>
      <c r="GN35" s="50" t="str">
        <f t="shared" si="33"/>
        <v/>
      </c>
      <c r="GO35" s="50" t="str">
        <f t="shared" si="33"/>
        <v/>
      </c>
      <c r="GP35" s="50" t="str">
        <f t="shared" si="33"/>
        <v/>
      </c>
      <c r="GQ35" s="50" t="str">
        <f t="shared" si="33"/>
        <v/>
      </c>
      <c r="GR35" s="50" t="str">
        <f t="shared" si="33"/>
        <v/>
      </c>
      <c r="GS35" s="50" t="str">
        <f t="shared" si="33"/>
        <v/>
      </c>
      <c r="GT35" s="50" t="str">
        <f t="shared" si="33"/>
        <v/>
      </c>
      <c r="GU35" s="50" t="str">
        <f t="shared" si="33"/>
        <v/>
      </c>
      <c r="GV35" s="50" t="str">
        <f t="shared" si="33"/>
        <v/>
      </c>
      <c r="GW35" s="50" t="str">
        <f t="shared" si="29"/>
        <v/>
      </c>
      <c r="GX35" s="50" t="str">
        <f t="shared" si="22"/>
        <v/>
      </c>
      <c r="GY35" s="50" t="str">
        <f t="shared" si="22"/>
        <v/>
      </c>
      <c r="GZ35" s="50" t="str">
        <f t="shared" si="22"/>
        <v/>
      </c>
      <c r="HA35" s="50" t="str">
        <f t="shared" si="22"/>
        <v/>
      </c>
      <c r="HB35" s="50" t="str">
        <f t="shared" si="22"/>
        <v/>
      </c>
      <c r="HC35" s="50" t="str">
        <f t="shared" si="22"/>
        <v/>
      </c>
      <c r="HD35" s="50" t="str">
        <f t="shared" si="22"/>
        <v/>
      </c>
      <c r="HE35" s="50" t="str">
        <f t="shared" si="22"/>
        <v/>
      </c>
      <c r="HF35" s="50" t="str">
        <f t="shared" si="22"/>
        <v/>
      </c>
      <c r="HG35" s="50" t="str">
        <f t="shared" si="22"/>
        <v/>
      </c>
      <c r="HH35" s="50" t="str">
        <f t="shared" si="22"/>
        <v/>
      </c>
      <c r="HI35" s="50" t="str">
        <f t="shared" si="22"/>
        <v/>
      </c>
      <c r="HJ35" s="50" t="str">
        <f t="shared" si="22"/>
        <v/>
      </c>
      <c r="HK35" s="50" t="str">
        <f t="shared" si="22"/>
        <v/>
      </c>
      <c r="HL35" s="50" t="str">
        <f t="shared" si="22"/>
        <v/>
      </c>
      <c r="HM35" s="50" t="str">
        <f t="shared" si="22"/>
        <v/>
      </c>
      <c r="HN35" s="50" t="str">
        <f t="shared" si="23"/>
        <v/>
      </c>
      <c r="HO35" s="50" t="str">
        <f t="shared" si="23"/>
        <v/>
      </c>
      <c r="HP35" s="50" t="str">
        <f t="shared" si="23"/>
        <v/>
      </c>
      <c r="HQ35" s="50" t="str">
        <f t="shared" si="23"/>
        <v/>
      </c>
      <c r="HR35" s="116" t="str">
        <f t="shared" si="23"/>
        <v/>
      </c>
    </row>
    <row r="36" spans="1:226" ht="11.15" customHeight="1" x14ac:dyDescent="0.25">
      <c r="A36" s="26" t="s">
        <v>41</v>
      </c>
      <c r="B36" s="27">
        <v>2</v>
      </c>
      <c r="C36" s="28" t="str">
        <f>IF(A36=0,"",VLOOKUP(A36,[3]CO!$A$3:$F$5327,2,0))</f>
        <v>Relleno c/ material producto excavacion a cada 20 cms</v>
      </c>
      <c r="D36" s="29"/>
      <c r="E36" s="29"/>
      <c r="F36" s="29"/>
      <c r="G36" s="30" t="str">
        <f>IF(A36=0,"",VLOOKUP(A36,[3]CO!$A$3:$F$5327,3,0))</f>
        <v>M3</v>
      </c>
      <c r="H36" s="29"/>
      <c r="I36" s="31">
        <v>4</v>
      </c>
      <c r="J36" s="31">
        <v>1.6</v>
      </c>
      <c r="K36" s="31">
        <v>1.6</v>
      </c>
      <c r="L36" s="31">
        <v>2</v>
      </c>
      <c r="M36" s="32">
        <f t="shared" si="4"/>
        <v>20.480000000000004</v>
      </c>
      <c r="N36" s="32">
        <f>IF(B36=0,"",IF(H36="M",HLOOKUP(B36,$Y$12:$DT$13,2),IF(A36=0,"",VLOOKUP(A36,[3]CO!$A$3:$F$5327,4,0))))</f>
        <v>44.224094117647063</v>
      </c>
      <c r="O36" s="32">
        <f t="shared" si="11"/>
        <v>905.70944752941205</v>
      </c>
      <c r="P36" s="33"/>
      <c r="Q36" s="34" t="str">
        <f t="shared" si="5"/>
        <v/>
      </c>
      <c r="R36" s="35" t="str">
        <f t="shared" si="6"/>
        <v/>
      </c>
      <c r="S36" s="122"/>
      <c r="T36" s="53">
        <f>IF(A36=0,"",VLOOKUP(A36,[3]CO!$A$3:$F$5318,5,0))</f>
        <v>0</v>
      </c>
      <c r="U36" s="54">
        <f t="shared" si="12"/>
        <v>0</v>
      </c>
      <c r="V36" s="24"/>
      <c r="W36" s="25"/>
      <c r="X36" s="25"/>
      <c r="Y36" s="64" t="str">
        <f t="shared" si="34"/>
        <v/>
      </c>
      <c r="Z36" s="55">
        <f t="shared" si="34"/>
        <v>0</v>
      </c>
      <c r="AA36" s="55" t="str">
        <f t="shared" si="34"/>
        <v/>
      </c>
      <c r="AB36" s="55" t="str">
        <f t="shared" si="34"/>
        <v/>
      </c>
      <c r="AC36" s="55" t="str">
        <f t="shared" si="34"/>
        <v/>
      </c>
      <c r="AD36" s="55" t="str">
        <f t="shared" si="34"/>
        <v/>
      </c>
      <c r="AE36" s="55" t="str">
        <f t="shared" si="34"/>
        <v/>
      </c>
      <c r="AF36" s="55" t="str">
        <f t="shared" si="34"/>
        <v/>
      </c>
      <c r="AG36" s="55" t="str">
        <f t="shared" si="34"/>
        <v/>
      </c>
      <c r="AH36" s="55" t="str">
        <f t="shared" si="34"/>
        <v/>
      </c>
      <c r="AI36" s="55" t="str">
        <f t="shared" si="34"/>
        <v/>
      </c>
      <c r="AJ36" s="55" t="str">
        <f t="shared" si="34"/>
        <v/>
      </c>
      <c r="AK36" s="55" t="str">
        <f t="shared" si="34"/>
        <v/>
      </c>
      <c r="AL36" s="55" t="str">
        <f t="shared" si="34"/>
        <v/>
      </c>
      <c r="AM36" s="55" t="str">
        <f t="shared" si="34"/>
        <v/>
      </c>
      <c r="AN36" s="55" t="str">
        <f t="shared" si="34"/>
        <v/>
      </c>
      <c r="AO36" s="55" t="str">
        <f t="shared" si="34"/>
        <v/>
      </c>
      <c r="AP36" s="55" t="str">
        <f t="shared" si="34"/>
        <v/>
      </c>
      <c r="AQ36" s="55" t="str">
        <f t="shared" si="34"/>
        <v/>
      </c>
      <c r="AR36" s="55" t="str">
        <f t="shared" si="34"/>
        <v/>
      </c>
      <c r="AS36" s="55" t="str">
        <f t="shared" si="34"/>
        <v/>
      </c>
      <c r="AT36" s="55" t="str">
        <f t="shared" si="34"/>
        <v/>
      </c>
      <c r="AU36" s="55" t="str">
        <f t="shared" si="34"/>
        <v/>
      </c>
      <c r="AV36" s="55" t="str">
        <f t="shared" si="34"/>
        <v/>
      </c>
      <c r="AW36" s="55" t="str">
        <f t="shared" si="34"/>
        <v/>
      </c>
      <c r="AX36" s="55" t="str">
        <f t="shared" si="34"/>
        <v/>
      </c>
      <c r="AY36" s="55" t="str">
        <f t="shared" si="34"/>
        <v/>
      </c>
      <c r="AZ36" s="55" t="str">
        <f t="shared" si="34"/>
        <v/>
      </c>
      <c r="BA36" s="55" t="str">
        <f t="shared" si="34"/>
        <v/>
      </c>
      <c r="BB36" s="55" t="str">
        <f t="shared" si="34"/>
        <v/>
      </c>
      <c r="BC36" s="55" t="str">
        <f t="shared" si="34"/>
        <v/>
      </c>
      <c r="BD36" s="55" t="str">
        <f t="shared" si="34"/>
        <v/>
      </c>
      <c r="BE36" s="55" t="str">
        <f t="shared" ref="BE36:CI44" si="38">IF($B36=BE$12,$U36,"")</f>
        <v/>
      </c>
      <c r="BF36" s="55" t="str">
        <f t="shared" si="38"/>
        <v/>
      </c>
      <c r="BG36" s="55" t="str">
        <f t="shared" si="38"/>
        <v/>
      </c>
      <c r="BH36" s="55" t="str">
        <f t="shared" si="38"/>
        <v/>
      </c>
      <c r="BI36" s="55" t="str">
        <f t="shared" si="38"/>
        <v/>
      </c>
      <c r="BJ36" s="55" t="str">
        <f t="shared" si="38"/>
        <v/>
      </c>
      <c r="BK36" s="55" t="str">
        <f t="shared" si="38"/>
        <v/>
      </c>
      <c r="BL36" s="55" t="str">
        <f t="shared" si="38"/>
        <v/>
      </c>
      <c r="BM36" s="55" t="str">
        <f t="shared" si="38"/>
        <v/>
      </c>
      <c r="BN36" s="55" t="str">
        <f t="shared" si="38"/>
        <v/>
      </c>
      <c r="BO36" s="55" t="str">
        <f t="shared" si="38"/>
        <v/>
      </c>
      <c r="BP36" s="55" t="str">
        <f t="shared" si="38"/>
        <v/>
      </c>
      <c r="BQ36" s="55" t="str">
        <f t="shared" si="38"/>
        <v/>
      </c>
      <c r="BR36" s="55" t="str">
        <f t="shared" si="38"/>
        <v/>
      </c>
      <c r="BS36" s="55" t="str">
        <f t="shared" si="38"/>
        <v/>
      </c>
      <c r="BT36" s="55" t="str">
        <f t="shared" si="38"/>
        <v/>
      </c>
      <c r="BU36" s="55" t="str">
        <f t="shared" si="38"/>
        <v/>
      </c>
      <c r="BV36" s="55" t="str">
        <f t="shared" si="38"/>
        <v/>
      </c>
      <c r="BW36" s="55" t="str">
        <f t="shared" si="38"/>
        <v/>
      </c>
      <c r="BX36" s="55" t="str">
        <f t="shared" si="38"/>
        <v/>
      </c>
      <c r="BY36" s="55" t="str">
        <f t="shared" si="38"/>
        <v/>
      </c>
      <c r="BZ36" s="55" t="str">
        <f t="shared" si="38"/>
        <v/>
      </c>
      <c r="CA36" s="55" t="str">
        <f t="shared" si="38"/>
        <v/>
      </c>
      <c r="CB36" s="55" t="str">
        <f t="shared" si="38"/>
        <v/>
      </c>
      <c r="CC36" s="55" t="str">
        <f t="shared" si="38"/>
        <v/>
      </c>
      <c r="CD36" s="55" t="str">
        <f t="shared" si="38"/>
        <v/>
      </c>
      <c r="CE36" s="55" t="str">
        <f t="shared" si="38"/>
        <v/>
      </c>
      <c r="CF36" s="55" t="str">
        <f t="shared" si="38"/>
        <v/>
      </c>
      <c r="CG36" s="55" t="str">
        <f t="shared" si="38"/>
        <v/>
      </c>
      <c r="CH36" s="55" t="str">
        <f t="shared" si="38"/>
        <v/>
      </c>
      <c r="CI36" s="55" t="str">
        <f t="shared" si="38"/>
        <v/>
      </c>
      <c r="CJ36" s="55" t="str">
        <f t="shared" si="31"/>
        <v/>
      </c>
      <c r="CK36" s="55" t="str">
        <f t="shared" si="31"/>
        <v/>
      </c>
      <c r="CL36" s="55" t="str">
        <f t="shared" si="31"/>
        <v/>
      </c>
      <c r="CM36" s="55" t="str">
        <f t="shared" si="31"/>
        <v/>
      </c>
      <c r="CN36" s="55" t="str">
        <f t="shared" si="31"/>
        <v/>
      </c>
      <c r="CO36" s="55" t="str">
        <f t="shared" si="31"/>
        <v/>
      </c>
      <c r="CP36" s="55" t="str">
        <f t="shared" si="31"/>
        <v/>
      </c>
      <c r="CQ36" s="55" t="str">
        <f t="shared" si="31"/>
        <v/>
      </c>
      <c r="CR36" s="55" t="str">
        <f t="shared" si="31"/>
        <v/>
      </c>
      <c r="CS36" s="55" t="str">
        <f t="shared" si="31"/>
        <v/>
      </c>
      <c r="CT36" s="55" t="str">
        <f t="shared" si="31"/>
        <v/>
      </c>
      <c r="CU36" s="55" t="str">
        <f t="shared" si="31"/>
        <v/>
      </c>
      <c r="CV36" s="55" t="str">
        <f t="shared" si="31"/>
        <v/>
      </c>
      <c r="CW36" s="55" t="str">
        <f t="shared" si="31"/>
        <v/>
      </c>
      <c r="CX36" s="55" t="str">
        <f t="shared" si="31"/>
        <v/>
      </c>
      <c r="CY36" s="55" t="str">
        <f t="shared" si="28"/>
        <v/>
      </c>
      <c r="CZ36" s="55" t="str">
        <f t="shared" si="28"/>
        <v/>
      </c>
      <c r="DA36" s="55" t="str">
        <f t="shared" si="28"/>
        <v/>
      </c>
      <c r="DB36" s="55" t="str">
        <f t="shared" si="28"/>
        <v/>
      </c>
      <c r="DC36" s="55" t="str">
        <f t="shared" si="28"/>
        <v/>
      </c>
      <c r="DD36" s="55" t="str">
        <f t="shared" si="28"/>
        <v/>
      </c>
      <c r="DE36" s="55" t="str">
        <f t="shared" si="28"/>
        <v/>
      </c>
      <c r="DF36" s="55" t="str">
        <f t="shared" si="28"/>
        <v/>
      </c>
      <c r="DG36" s="55" t="str">
        <f t="shared" si="28"/>
        <v/>
      </c>
      <c r="DH36" s="55" t="str">
        <f t="shared" si="28"/>
        <v/>
      </c>
      <c r="DI36" s="55" t="str">
        <f t="shared" si="28"/>
        <v/>
      </c>
      <c r="DJ36" s="55" t="str">
        <f t="shared" si="28"/>
        <v/>
      </c>
      <c r="DK36" s="55" t="str">
        <f t="shared" si="28"/>
        <v/>
      </c>
      <c r="DL36" s="55" t="str">
        <f t="shared" si="28"/>
        <v/>
      </c>
      <c r="DM36" s="55" t="str">
        <f t="shared" si="28"/>
        <v/>
      </c>
      <c r="DN36" s="55" t="str">
        <f t="shared" si="28"/>
        <v/>
      </c>
      <c r="DO36" s="55" t="str">
        <f t="shared" si="21"/>
        <v/>
      </c>
      <c r="DP36" s="55" t="str">
        <f t="shared" si="21"/>
        <v/>
      </c>
      <c r="DQ36" s="55" t="str">
        <f t="shared" si="21"/>
        <v/>
      </c>
      <c r="DR36" s="55" t="str">
        <f t="shared" si="21"/>
        <v/>
      </c>
      <c r="DS36" s="55" t="str">
        <f t="shared" si="21"/>
        <v/>
      </c>
      <c r="DT36" s="110" t="str">
        <f t="shared" si="21"/>
        <v/>
      </c>
      <c r="DU36" s="54"/>
      <c r="DV36" s="25"/>
      <c r="DW36" s="61" t="str">
        <f t="shared" si="35"/>
        <v/>
      </c>
      <c r="DX36" s="50">
        <f t="shared" si="35"/>
        <v>905.70944752941205</v>
      </c>
      <c r="DY36" s="50" t="str">
        <f t="shared" si="35"/>
        <v/>
      </c>
      <c r="DZ36" s="50" t="str">
        <f t="shared" si="35"/>
        <v/>
      </c>
      <c r="EA36" s="50" t="str">
        <f t="shared" si="35"/>
        <v/>
      </c>
      <c r="EB36" s="50" t="str">
        <f t="shared" si="35"/>
        <v/>
      </c>
      <c r="EC36" s="50" t="str">
        <f t="shared" si="35"/>
        <v/>
      </c>
      <c r="ED36" s="50" t="str">
        <f t="shared" si="35"/>
        <v/>
      </c>
      <c r="EE36" s="50" t="str">
        <f t="shared" si="35"/>
        <v/>
      </c>
      <c r="EF36" s="50" t="str">
        <f t="shared" si="35"/>
        <v/>
      </c>
      <c r="EG36" s="50" t="str">
        <f t="shared" si="35"/>
        <v/>
      </c>
      <c r="EH36" s="50" t="str">
        <f t="shared" si="35"/>
        <v/>
      </c>
      <c r="EI36" s="50" t="str">
        <f t="shared" si="35"/>
        <v/>
      </c>
      <c r="EJ36" s="50" t="str">
        <f t="shared" si="35"/>
        <v/>
      </c>
      <c r="EK36" s="50" t="str">
        <f t="shared" si="35"/>
        <v/>
      </c>
      <c r="EL36" s="50" t="str">
        <f t="shared" si="35"/>
        <v/>
      </c>
      <c r="EM36" s="50" t="str">
        <f t="shared" si="35"/>
        <v/>
      </c>
      <c r="EN36" s="50" t="str">
        <f t="shared" si="35"/>
        <v/>
      </c>
      <c r="EO36" s="50" t="str">
        <f t="shared" si="35"/>
        <v/>
      </c>
      <c r="EP36" s="50" t="str">
        <f t="shared" si="35"/>
        <v/>
      </c>
      <c r="EQ36" s="50" t="str">
        <f t="shared" si="35"/>
        <v/>
      </c>
      <c r="ER36" s="50" t="str">
        <f t="shared" si="35"/>
        <v/>
      </c>
      <c r="ES36" s="50" t="str">
        <f t="shared" si="35"/>
        <v/>
      </c>
      <c r="ET36" s="50" t="str">
        <f t="shared" si="35"/>
        <v/>
      </c>
      <c r="EU36" s="50" t="str">
        <f t="shared" si="35"/>
        <v/>
      </c>
      <c r="EV36" s="50" t="str">
        <f t="shared" si="35"/>
        <v/>
      </c>
      <c r="EW36" s="50" t="str">
        <f t="shared" si="35"/>
        <v/>
      </c>
      <c r="EX36" s="50" t="str">
        <f t="shared" si="35"/>
        <v/>
      </c>
      <c r="EY36" s="50" t="str">
        <f t="shared" si="35"/>
        <v/>
      </c>
      <c r="EZ36" s="50" t="str">
        <f t="shared" si="35"/>
        <v/>
      </c>
      <c r="FA36" s="50" t="str">
        <f t="shared" si="35"/>
        <v/>
      </c>
      <c r="FB36" s="50" t="str">
        <f t="shared" si="35"/>
        <v/>
      </c>
      <c r="FC36" s="50" t="str">
        <f t="shared" ref="FC36:GG44" si="39">IF($B36=FC$12,$O36,"")</f>
        <v/>
      </c>
      <c r="FD36" s="50" t="str">
        <f t="shared" si="39"/>
        <v/>
      </c>
      <c r="FE36" s="50" t="str">
        <f t="shared" si="39"/>
        <v/>
      </c>
      <c r="FF36" s="50" t="str">
        <f t="shared" si="39"/>
        <v/>
      </c>
      <c r="FG36" s="50" t="str">
        <f t="shared" si="39"/>
        <v/>
      </c>
      <c r="FH36" s="50" t="str">
        <f t="shared" si="39"/>
        <v/>
      </c>
      <c r="FI36" s="50" t="str">
        <f t="shared" si="39"/>
        <v/>
      </c>
      <c r="FJ36" s="50" t="str">
        <f t="shared" si="39"/>
        <v/>
      </c>
      <c r="FK36" s="50" t="str">
        <f t="shared" si="39"/>
        <v/>
      </c>
      <c r="FL36" s="50" t="str">
        <f t="shared" si="39"/>
        <v/>
      </c>
      <c r="FM36" s="50" t="str">
        <f t="shared" si="39"/>
        <v/>
      </c>
      <c r="FN36" s="50" t="str">
        <f t="shared" si="39"/>
        <v/>
      </c>
      <c r="FO36" s="50" t="str">
        <f t="shared" si="39"/>
        <v/>
      </c>
      <c r="FP36" s="50" t="str">
        <f t="shared" si="39"/>
        <v/>
      </c>
      <c r="FQ36" s="50" t="str">
        <f t="shared" si="39"/>
        <v/>
      </c>
      <c r="FR36" s="50" t="str">
        <f t="shared" si="39"/>
        <v/>
      </c>
      <c r="FS36" s="50" t="str">
        <f t="shared" si="39"/>
        <v/>
      </c>
      <c r="FT36" s="50" t="str">
        <f t="shared" si="39"/>
        <v/>
      </c>
      <c r="FU36" s="50" t="str">
        <f t="shared" si="39"/>
        <v/>
      </c>
      <c r="FV36" s="50" t="str">
        <f t="shared" si="39"/>
        <v/>
      </c>
      <c r="FW36" s="50" t="str">
        <f t="shared" si="39"/>
        <v/>
      </c>
      <c r="FX36" s="50" t="str">
        <f t="shared" si="39"/>
        <v/>
      </c>
      <c r="FY36" s="50" t="str">
        <f t="shared" si="39"/>
        <v/>
      </c>
      <c r="FZ36" s="50" t="str">
        <f t="shared" si="39"/>
        <v/>
      </c>
      <c r="GA36" s="50" t="str">
        <f t="shared" si="39"/>
        <v/>
      </c>
      <c r="GB36" s="50" t="str">
        <f t="shared" si="39"/>
        <v/>
      </c>
      <c r="GC36" s="50" t="str">
        <f t="shared" si="39"/>
        <v/>
      </c>
      <c r="GD36" s="50" t="str">
        <f t="shared" si="39"/>
        <v/>
      </c>
      <c r="GE36" s="50" t="str">
        <f t="shared" si="39"/>
        <v/>
      </c>
      <c r="GF36" s="50" t="str">
        <f t="shared" si="39"/>
        <v/>
      </c>
      <c r="GG36" s="50" t="str">
        <f t="shared" si="39"/>
        <v/>
      </c>
      <c r="GH36" s="50" t="str">
        <f t="shared" si="33"/>
        <v/>
      </c>
      <c r="GI36" s="50" t="str">
        <f t="shared" si="33"/>
        <v/>
      </c>
      <c r="GJ36" s="50" t="str">
        <f t="shared" si="33"/>
        <v/>
      </c>
      <c r="GK36" s="50" t="str">
        <f t="shared" si="33"/>
        <v/>
      </c>
      <c r="GL36" s="50" t="str">
        <f t="shared" si="33"/>
        <v/>
      </c>
      <c r="GM36" s="50" t="str">
        <f t="shared" si="33"/>
        <v/>
      </c>
      <c r="GN36" s="50" t="str">
        <f t="shared" si="33"/>
        <v/>
      </c>
      <c r="GO36" s="50" t="str">
        <f t="shared" si="33"/>
        <v/>
      </c>
      <c r="GP36" s="50" t="str">
        <f t="shared" si="33"/>
        <v/>
      </c>
      <c r="GQ36" s="50" t="str">
        <f t="shared" si="33"/>
        <v/>
      </c>
      <c r="GR36" s="50" t="str">
        <f t="shared" si="33"/>
        <v/>
      </c>
      <c r="GS36" s="50" t="str">
        <f t="shared" si="33"/>
        <v/>
      </c>
      <c r="GT36" s="50" t="str">
        <f t="shared" si="33"/>
        <v/>
      </c>
      <c r="GU36" s="50" t="str">
        <f t="shared" si="33"/>
        <v/>
      </c>
      <c r="GV36" s="50" t="str">
        <f t="shared" si="33"/>
        <v/>
      </c>
      <c r="GW36" s="50" t="str">
        <f t="shared" si="29"/>
        <v/>
      </c>
      <c r="GX36" s="50" t="str">
        <f t="shared" si="22"/>
        <v/>
      </c>
      <c r="GY36" s="50" t="str">
        <f t="shared" si="22"/>
        <v/>
      </c>
      <c r="GZ36" s="50" t="str">
        <f t="shared" si="22"/>
        <v/>
      </c>
      <c r="HA36" s="50" t="str">
        <f t="shared" si="22"/>
        <v/>
      </c>
      <c r="HB36" s="50" t="str">
        <f t="shared" si="22"/>
        <v/>
      </c>
      <c r="HC36" s="50" t="str">
        <f t="shared" si="22"/>
        <v/>
      </c>
      <c r="HD36" s="50" t="str">
        <f t="shared" si="22"/>
        <v/>
      </c>
      <c r="HE36" s="50" t="str">
        <f t="shared" si="22"/>
        <v/>
      </c>
      <c r="HF36" s="50" t="str">
        <f t="shared" si="22"/>
        <v/>
      </c>
      <c r="HG36" s="50" t="str">
        <f t="shared" si="22"/>
        <v/>
      </c>
      <c r="HH36" s="50" t="str">
        <f t="shared" si="22"/>
        <v/>
      </c>
      <c r="HI36" s="50" t="str">
        <f t="shared" si="22"/>
        <v/>
      </c>
      <c r="HJ36" s="50" t="str">
        <f t="shared" si="22"/>
        <v/>
      </c>
      <c r="HK36" s="50" t="str">
        <f t="shared" si="22"/>
        <v/>
      </c>
      <c r="HL36" s="50" t="str">
        <f t="shared" si="22"/>
        <v/>
      </c>
      <c r="HM36" s="50" t="str">
        <f t="shared" si="22"/>
        <v/>
      </c>
      <c r="HN36" s="50" t="str">
        <f t="shared" si="23"/>
        <v/>
      </c>
      <c r="HO36" s="50" t="str">
        <f t="shared" si="23"/>
        <v/>
      </c>
      <c r="HP36" s="50" t="str">
        <f t="shared" si="23"/>
        <v/>
      </c>
      <c r="HQ36" s="50" t="str">
        <f t="shared" si="23"/>
        <v/>
      </c>
      <c r="HR36" s="116" t="str">
        <f t="shared" si="23"/>
        <v/>
      </c>
    </row>
    <row r="37" spans="1:226" ht="11.15" customHeight="1" x14ac:dyDescent="0.25">
      <c r="A37" s="26" t="s">
        <v>41</v>
      </c>
      <c r="B37" s="27">
        <v>2</v>
      </c>
      <c r="C37" s="28" t="str">
        <f>IF(A37=0,"",VLOOKUP(A37,[3]CO!$A$3:$F$5327,2,0))</f>
        <v>Relleno c/ material producto excavacion a cada 20 cms</v>
      </c>
      <c r="D37" s="29"/>
      <c r="E37" s="29"/>
      <c r="F37" s="29"/>
      <c r="G37" s="30" t="str">
        <f>IF(A37=0,"",VLOOKUP(A37,[3]CO!$A$3:$F$5327,3,0))</f>
        <v>M3</v>
      </c>
      <c r="H37" s="29"/>
      <c r="I37" s="31">
        <v>11</v>
      </c>
      <c r="J37" s="31">
        <v>2.2000000000000002</v>
      </c>
      <c r="K37" s="31">
        <v>1.8</v>
      </c>
      <c r="L37" s="31">
        <v>1</v>
      </c>
      <c r="M37" s="32">
        <f t="shared" si="4"/>
        <v>43.560000000000009</v>
      </c>
      <c r="N37" s="32">
        <f>IF(B37=0,"",IF(H37="M",HLOOKUP(B37,$Y$12:$DT$13,2),IF(A37=0,"",VLOOKUP(A37,[3]CO!$A$3:$F$5327,4,0))))</f>
        <v>44.224094117647063</v>
      </c>
      <c r="O37" s="32">
        <f t="shared" si="11"/>
        <v>1926.4015397647065</v>
      </c>
      <c r="P37" s="33"/>
      <c r="Q37" s="34" t="str">
        <f t="shared" si="5"/>
        <v/>
      </c>
      <c r="R37" s="35" t="str">
        <f t="shared" si="6"/>
        <v/>
      </c>
      <c r="S37" s="122"/>
      <c r="T37" s="53">
        <f>IF(A37=0,"",VLOOKUP(A37,[3]CO!$A$3:$F$5318,5,0))</f>
        <v>0</v>
      </c>
      <c r="U37" s="54">
        <f t="shared" si="12"/>
        <v>0</v>
      </c>
      <c r="V37" s="24"/>
      <c r="W37" s="25"/>
      <c r="X37" s="25"/>
      <c r="Y37" s="64" t="str">
        <f t="shared" si="34"/>
        <v/>
      </c>
      <c r="Z37" s="55">
        <f t="shared" si="34"/>
        <v>0</v>
      </c>
      <c r="AA37" s="55" t="str">
        <f t="shared" si="34"/>
        <v/>
      </c>
      <c r="AB37" s="55" t="str">
        <f t="shared" si="34"/>
        <v/>
      </c>
      <c r="AC37" s="55" t="str">
        <f t="shared" si="34"/>
        <v/>
      </c>
      <c r="AD37" s="55" t="str">
        <f t="shared" si="34"/>
        <v/>
      </c>
      <c r="AE37" s="55" t="str">
        <f t="shared" si="34"/>
        <v/>
      </c>
      <c r="AF37" s="55" t="str">
        <f t="shared" si="34"/>
        <v/>
      </c>
      <c r="AG37" s="55" t="str">
        <f t="shared" si="34"/>
        <v/>
      </c>
      <c r="AH37" s="55" t="str">
        <f t="shared" si="34"/>
        <v/>
      </c>
      <c r="AI37" s="55" t="str">
        <f t="shared" si="34"/>
        <v/>
      </c>
      <c r="AJ37" s="55" t="str">
        <f t="shared" si="34"/>
        <v/>
      </c>
      <c r="AK37" s="55" t="str">
        <f t="shared" si="34"/>
        <v/>
      </c>
      <c r="AL37" s="55" t="str">
        <f t="shared" si="34"/>
        <v/>
      </c>
      <c r="AM37" s="55" t="str">
        <f t="shared" si="34"/>
        <v/>
      </c>
      <c r="AN37" s="55" t="str">
        <f t="shared" si="34"/>
        <v/>
      </c>
      <c r="AO37" s="55" t="str">
        <f t="shared" si="34"/>
        <v/>
      </c>
      <c r="AP37" s="55" t="str">
        <f t="shared" si="34"/>
        <v/>
      </c>
      <c r="AQ37" s="55" t="str">
        <f t="shared" si="34"/>
        <v/>
      </c>
      <c r="AR37" s="55" t="str">
        <f t="shared" si="34"/>
        <v/>
      </c>
      <c r="AS37" s="55" t="str">
        <f t="shared" si="34"/>
        <v/>
      </c>
      <c r="AT37" s="55" t="str">
        <f t="shared" si="34"/>
        <v/>
      </c>
      <c r="AU37" s="55" t="str">
        <f t="shared" si="34"/>
        <v/>
      </c>
      <c r="AV37" s="55" t="str">
        <f t="shared" si="34"/>
        <v/>
      </c>
      <c r="AW37" s="55" t="str">
        <f t="shared" si="34"/>
        <v/>
      </c>
      <c r="AX37" s="55" t="str">
        <f t="shared" si="34"/>
        <v/>
      </c>
      <c r="AY37" s="55" t="str">
        <f t="shared" si="34"/>
        <v/>
      </c>
      <c r="AZ37" s="55" t="str">
        <f t="shared" si="34"/>
        <v/>
      </c>
      <c r="BA37" s="55" t="str">
        <f t="shared" si="34"/>
        <v/>
      </c>
      <c r="BB37" s="55" t="str">
        <f t="shared" si="34"/>
        <v/>
      </c>
      <c r="BC37" s="55" t="str">
        <f t="shared" si="34"/>
        <v/>
      </c>
      <c r="BD37" s="55" t="str">
        <f t="shared" si="34"/>
        <v/>
      </c>
      <c r="BE37" s="55" t="str">
        <f t="shared" si="38"/>
        <v/>
      </c>
      <c r="BF37" s="55" t="str">
        <f t="shared" si="38"/>
        <v/>
      </c>
      <c r="BG37" s="55" t="str">
        <f t="shared" si="38"/>
        <v/>
      </c>
      <c r="BH37" s="55" t="str">
        <f t="shared" si="38"/>
        <v/>
      </c>
      <c r="BI37" s="55" t="str">
        <f t="shared" si="38"/>
        <v/>
      </c>
      <c r="BJ37" s="55" t="str">
        <f t="shared" si="38"/>
        <v/>
      </c>
      <c r="BK37" s="55" t="str">
        <f t="shared" si="38"/>
        <v/>
      </c>
      <c r="BL37" s="55" t="str">
        <f t="shared" si="38"/>
        <v/>
      </c>
      <c r="BM37" s="55" t="str">
        <f t="shared" si="38"/>
        <v/>
      </c>
      <c r="BN37" s="55" t="str">
        <f t="shared" si="38"/>
        <v/>
      </c>
      <c r="BO37" s="55" t="str">
        <f t="shared" si="38"/>
        <v/>
      </c>
      <c r="BP37" s="55" t="str">
        <f t="shared" si="38"/>
        <v/>
      </c>
      <c r="BQ37" s="55" t="str">
        <f t="shared" si="38"/>
        <v/>
      </c>
      <c r="BR37" s="55" t="str">
        <f t="shared" si="38"/>
        <v/>
      </c>
      <c r="BS37" s="55" t="str">
        <f t="shared" si="38"/>
        <v/>
      </c>
      <c r="BT37" s="55" t="str">
        <f t="shared" si="38"/>
        <v/>
      </c>
      <c r="BU37" s="55" t="str">
        <f t="shared" si="38"/>
        <v/>
      </c>
      <c r="BV37" s="55" t="str">
        <f t="shared" si="38"/>
        <v/>
      </c>
      <c r="BW37" s="55" t="str">
        <f t="shared" si="38"/>
        <v/>
      </c>
      <c r="BX37" s="55" t="str">
        <f t="shared" si="38"/>
        <v/>
      </c>
      <c r="BY37" s="55" t="str">
        <f t="shared" si="38"/>
        <v/>
      </c>
      <c r="BZ37" s="55" t="str">
        <f t="shared" si="38"/>
        <v/>
      </c>
      <c r="CA37" s="55" t="str">
        <f t="shared" si="38"/>
        <v/>
      </c>
      <c r="CB37" s="55" t="str">
        <f t="shared" si="38"/>
        <v/>
      </c>
      <c r="CC37" s="55" t="str">
        <f t="shared" si="38"/>
        <v/>
      </c>
      <c r="CD37" s="55" t="str">
        <f t="shared" si="38"/>
        <v/>
      </c>
      <c r="CE37" s="55" t="str">
        <f t="shared" si="38"/>
        <v/>
      </c>
      <c r="CF37" s="55" t="str">
        <f t="shared" si="38"/>
        <v/>
      </c>
      <c r="CG37" s="55" t="str">
        <f t="shared" si="38"/>
        <v/>
      </c>
      <c r="CH37" s="55" t="str">
        <f t="shared" si="38"/>
        <v/>
      </c>
      <c r="CI37" s="55" t="str">
        <f t="shared" si="38"/>
        <v/>
      </c>
      <c r="CJ37" s="55" t="str">
        <f t="shared" si="31"/>
        <v/>
      </c>
      <c r="CK37" s="55" t="str">
        <f t="shared" si="31"/>
        <v/>
      </c>
      <c r="CL37" s="55" t="str">
        <f t="shared" si="31"/>
        <v/>
      </c>
      <c r="CM37" s="55" t="str">
        <f t="shared" si="31"/>
        <v/>
      </c>
      <c r="CN37" s="55" t="str">
        <f t="shared" si="31"/>
        <v/>
      </c>
      <c r="CO37" s="55" t="str">
        <f t="shared" si="31"/>
        <v/>
      </c>
      <c r="CP37" s="55" t="str">
        <f t="shared" si="31"/>
        <v/>
      </c>
      <c r="CQ37" s="55" t="str">
        <f t="shared" si="31"/>
        <v/>
      </c>
      <c r="CR37" s="55" t="str">
        <f t="shared" si="31"/>
        <v/>
      </c>
      <c r="CS37" s="55" t="str">
        <f t="shared" si="31"/>
        <v/>
      </c>
      <c r="CT37" s="55" t="str">
        <f t="shared" si="31"/>
        <v/>
      </c>
      <c r="CU37" s="55" t="str">
        <f t="shared" si="31"/>
        <v/>
      </c>
      <c r="CV37" s="55" t="str">
        <f t="shared" si="31"/>
        <v/>
      </c>
      <c r="CW37" s="55" t="str">
        <f t="shared" si="31"/>
        <v/>
      </c>
      <c r="CX37" s="55" t="str">
        <f t="shared" si="31"/>
        <v/>
      </c>
      <c r="CY37" s="55" t="str">
        <f t="shared" si="28"/>
        <v/>
      </c>
      <c r="CZ37" s="55" t="str">
        <f t="shared" si="28"/>
        <v/>
      </c>
      <c r="DA37" s="55" t="str">
        <f t="shared" si="28"/>
        <v/>
      </c>
      <c r="DB37" s="55" t="str">
        <f t="shared" si="28"/>
        <v/>
      </c>
      <c r="DC37" s="55" t="str">
        <f t="shared" si="28"/>
        <v/>
      </c>
      <c r="DD37" s="55" t="str">
        <f t="shared" si="28"/>
        <v/>
      </c>
      <c r="DE37" s="55" t="str">
        <f t="shared" si="28"/>
        <v/>
      </c>
      <c r="DF37" s="55" t="str">
        <f t="shared" si="28"/>
        <v/>
      </c>
      <c r="DG37" s="55" t="str">
        <f t="shared" si="28"/>
        <v/>
      </c>
      <c r="DH37" s="55" t="str">
        <f t="shared" si="28"/>
        <v/>
      </c>
      <c r="DI37" s="55" t="str">
        <f t="shared" si="28"/>
        <v/>
      </c>
      <c r="DJ37" s="55" t="str">
        <f t="shared" si="28"/>
        <v/>
      </c>
      <c r="DK37" s="55" t="str">
        <f t="shared" si="28"/>
        <v/>
      </c>
      <c r="DL37" s="55" t="str">
        <f t="shared" si="28"/>
        <v/>
      </c>
      <c r="DM37" s="55" t="str">
        <f t="shared" si="28"/>
        <v/>
      </c>
      <c r="DN37" s="55" t="str">
        <f t="shared" si="28"/>
        <v/>
      </c>
      <c r="DO37" s="55" t="str">
        <f t="shared" si="21"/>
        <v/>
      </c>
      <c r="DP37" s="55" t="str">
        <f t="shared" si="21"/>
        <v/>
      </c>
      <c r="DQ37" s="55" t="str">
        <f t="shared" si="21"/>
        <v/>
      </c>
      <c r="DR37" s="55" t="str">
        <f t="shared" si="21"/>
        <v/>
      </c>
      <c r="DS37" s="55" t="str">
        <f t="shared" si="21"/>
        <v/>
      </c>
      <c r="DT37" s="110" t="str">
        <f t="shared" si="21"/>
        <v/>
      </c>
      <c r="DU37" s="54"/>
      <c r="DV37" s="25"/>
      <c r="DW37" s="61" t="str">
        <f t="shared" si="35"/>
        <v/>
      </c>
      <c r="DX37" s="50">
        <f t="shared" si="35"/>
        <v>1926.4015397647065</v>
      </c>
      <c r="DY37" s="50" t="str">
        <f t="shared" si="35"/>
        <v/>
      </c>
      <c r="DZ37" s="50" t="str">
        <f t="shared" si="35"/>
        <v/>
      </c>
      <c r="EA37" s="50" t="str">
        <f t="shared" si="35"/>
        <v/>
      </c>
      <c r="EB37" s="50" t="str">
        <f t="shared" si="35"/>
        <v/>
      </c>
      <c r="EC37" s="50" t="str">
        <f t="shared" si="35"/>
        <v/>
      </c>
      <c r="ED37" s="50" t="str">
        <f t="shared" si="35"/>
        <v/>
      </c>
      <c r="EE37" s="50" t="str">
        <f t="shared" si="35"/>
        <v/>
      </c>
      <c r="EF37" s="50" t="str">
        <f t="shared" si="35"/>
        <v/>
      </c>
      <c r="EG37" s="50" t="str">
        <f t="shared" si="35"/>
        <v/>
      </c>
      <c r="EH37" s="50" t="str">
        <f t="shared" si="35"/>
        <v/>
      </c>
      <c r="EI37" s="50" t="str">
        <f t="shared" si="35"/>
        <v/>
      </c>
      <c r="EJ37" s="50" t="str">
        <f t="shared" si="35"/>
        <v/>
      </c>
      <c r="EK37" s="50" t="str">
        <f t="shared" si="35"/>
        <v/>
      </c>
      <c r="EL37" s="50" t="str">
        <f t="shared" si="35"/>
        <v/>
      </c>
      <c r="EM37" s="50" t="str">
        <f t="shared" si="35"/>
        <v/>
      </c>
      <c r="EN37" s="50" t="str">
        <f t="shared" si="35"/>
        <v/>
      </c>
      <c r="EO37" s="50" t="str">
        <f t="shared" si="35"/>
        <v/>
      </c>
      <c r="EP37" s="50" t="str">
        <f t="shared" si="35"/>
        <v/>
      </c>
      <c r="EQ37" s="50" t="str">
        <f t="shared" si="35"/>
        <v/>
      </c>
      <c r="ER37" s="50" t="str">
        <f t="shared" si="35"/>
        <v/>
      </c>
      <c r="ES37" s="50" t="str">
        <f t="shared" si="35"/>
        <v/>
      </c>
      <c r="ET37" s="50" t="str">
        <f t="shared" si="35"/>
        <v/>
      </c>
      <c r="EU37" s="50" t="str">
        <f t="shared" si="35"/>
        <v/>
      </c>
      <c r="EV37" s="50" t="str">
        <f t="shared" si="35"/>
        <v/>
      </c>
      <c r="EW37" s="50" t="str">
        <f t="shared" si="35"/>
        <v/>
      </c>
      <c r="EX37" s="50" t="str">
        <f t="shared" si="35"/>
        <v/>
      </c>
      <c r="EY37" s="50" t="str">
        <f t="shared" si="35"/>
        <v/>
      </c>
      <c r="EZ37" s="50" t="str">
        <f t="shared" si="35"/>
        <v/>
      </c>
      <c r="FA37" s="50" t="str">
        <f t="shared" si="35"/>
        <v/>
      </c>
      <c r="FB37" s="50" t="str">
        <f t="shared" si="35"/>
        <v/>
      </c>
      <c r="FC37" s="50" t="str">
        <f t="shared" si="39"/>
        <v/>
      </c>
      <c r="FD37" s="50" t="str">
        <f t="shared" si="39"/>
        <v/>
      </c>
      <c r="FE37" s="50" t="str">
        <f t="shared" si="39"/>
        <v/>
      </c>
      <c r="FF37" s="50" t="str">
        <f t="shared" si="39"/>
        <v/>
      </c>
      <c r="FG37" s="50" t="str">
        <f t="shared" si="39"/>
        <v/>
      </c>
      <c r="FH37" s="50" t="str">
        <f t="shared" si="39"/>
        <v/>
      </c>
      <c r="FI37" s="50" t="str">
        <f t="shared" si="39"/>
        <v/>
      </c>
      <c r="FJ37" s="50" t="str">
        <f t="shared" si="39"/>
        <v/>
      </c>
      <c r="FK37" s="50" t="str">
        <f t="shared" si="39"/>
        <v/>
      </c>
      <c r="FL37" s="50" t="str">
        <f t="shared" si="39"/>
        <v/>
      </c>
      <c r="FM37" s="50" t="str">
        <f t="shared" si="39"/>
        <v/>
      </c>
      <c r="FN37" s="50" t="str">
        <f t="shared" si="39"/>
        <v/>
      </c>
      <c r="FO37" s="50" t="str">
        <f t="shared" si="39"/>
        <v/>
      </c>
      <c r="FP37" s="50" t="str">
        <f t="shared" si="39"/>
        <v/>
      </c>
      <c r="FQ37" s="50" t="str">
        <f t="shared" si="39"/>
        <v/>
      </c>
      <c r="FR37" s="50" t="str">
        <f t="shared" si="39"/>
        <v/>
      </c>
      <c r="FS37" s="50" t="str">
        <f t="shared" si="39"/>
        <v/>
      </c>
      <c r="FT37" s="50" t="str">
        <f t="shared" si="39"/>
        <v/>
      </c>
      <c r="FU37" s="50" t="str">
        <f t="shared" si="39"/>
        <v/>
      </c>
      <c r="FV37" s="50" t="str">
        <f t="shared" si="39"/>
        <v/>
      </c>
      <c r="FW37" s="50" t="str">
        <f t="shared" si="39"/>
        <v/>
      </c>
      <c r="FX37" s="50" t="str">
        <f t="shared" si="39"/>
        <v/>
      </c>
      <c r="FY37" s="50" t="str">
        <f t="shared" si="39"/>
        <v/>
      </c>
      <c r="FZ37" s="50" t="str">
        <f t="shared" si="39"/>
        <v/>
      </c>
      <c r="GA37" s="50" t="str">
        <f t="shared" si="39"/>
        <v/>
      </c>
      <c r="GB37" s="50" t="str">
        <f t="shared" si="39"/>
        <v/>
      </c>
      <c r="GC37" s="50" t="str">
        <f t="shared" si="39"/>
        <v/>
      </c>
      <c r="GD37" s="50" t="str">
        <f t="shared" si="39"/>
        <v/>
      </c>
      <c r="GE37" s="50" t="str">
        <f t="shared" si="39"/>
        <v/>
      </c>
      <c r="GF37" s="50" t="str">
        <f t="shared" si="39"/>
        <v/>
      </c>
      <c r="GG37" s="50" t="str">
        <f t="shared" si="39"/>
        <v/>
      </c>
      <c r="GH37" s="50" t="str">
        <f t="shared" si="33"/>
        <v/>
      </c>
      <c r="GI37" s="50" t="str">
        <f t="shared" si="33"/>
        <v/>
      </c>
      <c r="GJ37" s="50" t="str">
        <f t="shared" si="33"/>
        <v/>
      </c>
      <c r="GK37" s="50" t="str">
        <f t="shared" si="33"/>
        <v/>
      </c>
      <c r="GL37" s="50" t="str">
        <f t="shared" si="33"/>
        <v/>
      </c>
      <c r="GM37" s="50" t="str">
        <f t="shared" si="33"/>
        <v/>
      </c>
      <c r="GN37" s="50" t="str">
        <f t="shared" si="33"/>
        <v/>
      </c>
      <c r="GO37" s="50" t="str">
        <f t="shared" si="33"/>
        <v/>
      </c>
      <c r="GP37" s="50" t="str">
        <f t="shared" si="33"/>
        <v/>
      </c>
      <c r="GQ37" s="50" t="str">
        <f t="shared" si="33"/>
        <v/>
      </c>
      <c r="GR37" s="50" t="str">
        <f t="shared" si="33"/>
        <v/>
      </c>
      <c r="GS37" s="50" t="str">
        <f t="shared" si="33"/>
        <v/>
      </c>
      <c r="GT37" s="50" t="str">
        <f t="shared" si="33"/>
        <v/>
      </c>
      <c r="GU37" s="50" t="str">
        <f t="shared" si="33"/>
        <v/>
      </c>
      <c r="GV37" s="50" t="str">
        <f t="shared" si="33"/>
        <v/>
      </c>
      <c r="GW37" s="50" t="str">
        <f t="shared" si="29"/>
        <v/>
      </c>
      <c r="GX37" s="50" t="str">
        <f t="shared" si="22"/>
        <v/>
      </c>
      <c r="GY37" s="50" t="str">
        <f t="shared" si="22"/>
        <v/>
      </c>
      <c r="GZ37" s="50" t="str">
        <f t="shared" si="22"/>
        <v/>
      </c>
      <c r="HA37" s="50" t="str">
        <f t="shared" si="22"/>
        <v/>
      </c>
      <c r="HB37" s="50" t="str">
        <f t="shared" si="22"/>
        <v/>
      </c>
      <c r="HC37" s="50" t="str">
        <f t="shared" si="22"/>
        <v/>
      </c>
      <c r="HD37" s="50" t="str">
        <f t="shared" si="22"/>
        <v/>
      </c>
      <c r="HE37" s="50" t="str">
        <f t="shared" si="22"/>
        <v/>
      </c>
      <c r="HF37" s="50" t="str">
        <f t="shared" si="22"/>
        <v/>
      </c>
      <c r="HG37" s="50" t="str">
        <f t="shared" si="22"/>
        <v/>
      </c>
      <c r="HH37" s="50" t="str">
        <f t="shared" si="22"/>
        <v/>
      </c>
      <c r="HI37" s="50" t="str">
        <f t="shared" si="22"/>
        <v/>
      </c>
      <c r="HJ37" s="50" t="str">
        <f t="shared" si="22"/>
        <v/>
      </c>
      <c r="HK37" s="50" t="str">
        <f t="shared" si="22"/>
        <v/>
      </c>
      <c r="HL37" s="50" t="str">
        <f t="shared" si="22"/>
        <v/>
      </c>
      <c r="HM37" s="50" t="str">
        <f t="shared" si="22"/>
        <v/>
      </c>
      <c r="HN37" s="50" t="str">
        <f t="shared" si="23"/>
        <v/>
      </c>
      <c r="HO37" s="50" t="str">
        <f t="shared" si="23"/>
        <v/>
      </c>
      <c r="HP37" s="50" t="str">
        <f t="shared" si="23"/>
        <v/>
      </c>
      <c r="HQ37" s="50" t="str">
        <f t="shared" si="23"/>
        <v/>
      </c>
      <c r="HR37" s="116" t="str">
        <f t="shared" si="23"/>
        <v/>
      </c>
    </row>
    <row r="38" spans="1:226" ht="11.15" customHeight="1" x14ac:dyDescent="0.25">
      <c r="A38" s="26" t="s">
        <v>29</v>
      </c>
      <c r="B38" s="27">
        <v>2</v>
      </c>
      <c r="C38" s="28" t="str">
        <f>IF(A38=0,"",VLOOKUP(A38,[3]CO!$A$3:$F$5327,2,0))</f>
        <v>Corte de varilla</v>
      </c>
      <c r="D38" s="29" t="s">
        <v>30</v>
      </c>
      <c r="E38" s="29"/>
      <c r="F38" s="29"/>
      <c r="G38" s="30" t="str">
        <f>IF(A38=0,"",VLOOKUP(A38,[3]CO!$A$3:$F$5327,3,0))</f>
        <v>PZA</v>
      </c>
      <c r="H38" s="29"/>
      <c r="I38" s="31"/>
      <c r="J38" s="31"/>
      <c r="K38" s="31"/>
      <c r="L38" s="31">
        <f>65+45</f>
        <v>110</v>
      </c>
      <c r="M38" s="32">
        <f t="shared" si="4"/>
        <v>110</v>
      </c>
      <c r="N38" s="32">
        <f>IF(B38=0,"",IF(H38="M",HLOOKUP(B38,$Y$12:$DT$13,2),IF(A38=0,"",VLOOKUP(A38,[3]CO!$A$3:$F$5327,4,0))))</f>
        <v>3.0072384000000003</v>
      </c>
      <c r="O38" s="32">
        <f t="shared" si="11"/>
        <v>330.79622400000005</v>
      </c>
      <c r="P38" s="33"/>
      <c r="Q38" s="34" t="str">
        <f t="shared" si="5"/>
        <v/>
      </c>
      <c r="R38" s="35" t="str">
        <f t="shared" si="6"/>
        <v/>
      </c>
      <c r="S38" s="122"/>
      <c r="T38" s="53">
        <f>IF(A38=0,"",VLOOKUP(A38,[3]CO!$A$3:$F$5318,5,0))</f>
        <v>0</v>
      </c>
      <c r="U38" s="54">
        <f t="shared" si="12"/>
        <v>0</v>
      </c>
      <c r="V38" s="24"/>
      <c r="W38" s="25"/>
      <c r="X38" s="25"/>
      <c r="Y38" s="64" t="str">
        <f t="shared" si="34"/>
        <v/>
      </c>
      <c r="Z38" s="55">
        <f t="shared" si="34"/>
        <v>0</v>
      </c>
      <c r="AA38" s="55" t="str">
        <f t="shared" si="34"/>
        <v/>
      </c>
      <c r="AB38" s="55" t="str">
        <f t="shared" si="34"/>
        <v/>
      </c>
      <c r="AC38" s="55" t="str">
        <f t="shared" si="34"/>
        <v/>
      </c>
      <c r="AD38" s="55" t="str">
        <f t="shared" si="34"/>
        <v/>
      </c>
      <c r="AE38" s="55" t="str">
        <f t="shared" si="34"/>
        <v/>
      </c>
      <c r="AF38" s="55" t="str">
        <f t="shared" si="34"/>
        <v/>
      </c>
      <c r="AG38" s="55" t="str">
        <f t="shared" si="34"/>
        <v/>
      </c>
      <c r="AH38" s="55" t="str">
        <f t="shared" si="34"/>
        <v/>
      </c>
      <c r="AI38" s="55" t="str">
        <f t="shared" si="34"/>
        <v/>
      </c>
      <c r="AJ38" s="55" t="str">
        <f t="shared" si="34"/>
        <v/>
      </c>
      <c r="AK38" s="55" t="str">
        <f t="shared" si="34"/>
        <v/>
      </c>
      <c r="AL38" s="55" t="str">
        <f t="shared" si="34"/>
        <v/>
      </c>
      <c r="AM38" s="55" t="str">
        <f t="shared" si="34"/>
        <v/>
      </c>
      <c r="AN38" s="55" t="str">
        <f t="shared" si="34"/>
        <v/>
      </c>
      <c r="AO38" s="55" t="str">
        <f t="shared" si="34"/>
        <v/>
      </c>
      <c r="AP38" s="55" t="str">
        <f t="shared" si="34"/>
        <v/>
      </c>
      <c r="AQ38" s="55" t="str">
        <f t="shared" si="34"/>
        <v/>
      </c>
      <c r="AR38" s="55" t="str">
        <f t="shared" si="34"/>
        <v/>
      </c>
      <c r="AS38" s="55" t="str">
        <f t="shared" si="34"/>
        <v/>
      </c>
      <c r="AT38" s="55" t="str">
        <f t="shared" si="34"/>
        <v/>
      </c>
      <c r="AU38" s="55" t="str">
        <f t="shared" si="34"/>
        <v/>
      </c>
      <c r="AV38" s="55" t="str">
        <f t="shared" si="34"/>
        <v/>
      </c>
      <c r="AW38" s="55" t="str">
        <f t="shared" si="34"/>
        <v/>
      </c>
      <c r="AX38" s="55" t="str">
        <f t="shared" si="34"/>
        <v/>
      </c>
      <c r="AY38" s="55" t="str">
        <f t="shared" si="34"/>
        <v/>
      </c>
      <c r="AZ38" s="55" t="str">
        <f t="shared" si="34"/>
        <v/>
      </c>
      <c r="BA38" s="55" t="str">
        <f t="shared" si="34"/>
        <v/>
      </c>
      <c r="BB38" s="55" t="str">
        <f t="shared" si="34"/>
        <v/>
      </c>
      <c r="BC38" s="55" t="str">
        <f t="shared" si="34"/>
        <v/>
      </c>
      <c r="BD38" s="55" t="str">
        <f t="shared" si="34"/>
        <v/>
      </c>
      <c r="BE38" s="55" t="str">
        <f t="shared" si="38"/>
        <v/>
      </c>
      <c r="BF38" s="55" t="str">
        <f t="shared" si="38"/>
        <v/>
      </c>
      <c r="BG38" s="55" t="str">
        <f t="shared" si="38"/>
        <v/>
      </c>
      <c r="BH38" s="55" t="str">
        <f t="shared" si="38"/>
        <v/>
      </c>
      <c r="BI38" s="55" t="str">
        <f t="shared" si="38"/>
        <v/>
      </c>
      <c r="BJ38" s="55" t="str">
        <f t="shared" si="38"/>
        <v/>
      </c>
      <c r="BK38" s="55" t="str">
        <f t="shared" si="38"/>
        <v/>
      </c>
      <c r="BL38" s="55" t="str">
        <f t="shared" si="38"/>
        <v/>
      </c>
      <c r="BM38" s="55" t="str">
        <f t="shared" si="38"/>
        <v/>
      </c>
      <c r="BN38" s="55" t="str">
        <f t="shared" si="38"/>
        <v/>
      </c>
      <c r="BO38" s="55" t="str">
        <f t="shared" si="38"/>
        <v/>
      </c>
      <c r="BP38" s="55" t="str">
        <f t="shared" si="38"/>
        <v/>
      </c>
      <c r="BQ38" s="55" t="str">
        <f t="shared" si="38"/>
        <v/>
      </c>
      <c r="BR38" s="55" t="str">
        <f t="shared" si="38"/>
        <v/>
      </c>
      <c r="BS38" s="55" t="str">
        <f t="shared" si="38"/>
        <v/>
      </c>
      <c r="BT38" s="55" t="str">
        <f t="shared" si="38"/>
        <v/>
      </c>
      <c r="BU38" s="55" t="str">
        <f t="shared" si="38"/>
        <v/>
      </c>
      <c r="BV38" s="55" t="str">
        <f t="shared" si="38"/>
        <v/>
      </c>
      <c r="BW38" s="55" t="str">
        <f t="shared" si="38"/>
        <v/>
      </c>
      <c r="BX38" s="55" t="str">
        <f t="shared" si="38"/>
        <v/>
      </c>
      <c r="BY38" s="55" t="str">
        <f t="shared" si="38"/>
        <v/>
      </c>
      <c r="BZ38" s="55" t="str">
        <f t="shared" si="38"/>
        <v/>
      </c>
      <c r="CA38" s="55" t="str">
        <f t="shared" si="38"/>
        <v/>
      </c>
      <c r="CB38" s="55" t="str">
        <f t="shared" si="38"/>
        <v/>
      </c>
      <c r="CC38" s="55" t="str">
        <f t="shared" si="38"/>
        <v/>
      </c>
      <c r="CD38" s="55" t="str">
        <f t="shared" si="38"/>
        <v/>
      </c>
      <c r="CE38" s="55" t="str">
        <f t="shared" si="38"/>
        <v/>
      </c>
      <c r="CF38" s="55" t="str">
        <f t="shared" si="38"/>
        <v/>
      </c>
      <c r="CG38" s="55" t="str">
        <f t="shared" si="38"/>
        <v/>
      </c>
      <c r="CH38" s="55" t="str">
        <f t="shared" si="38"/>
        <v/>
      </c>
      <c r="CI38" s="55" t="str">
        <f t="shared" si="38"/>
        <v/>
      </c>
      <c r="CJ38" s="55" t="str">
        <f t="shared" si="31"/>
        <v/>
      </c>
      <c r="CK38" s="55" t="str">
        <f t="shared" si="31"/>
        <v/>
      </c>
      <c r="CL38" s="55" t="str">
        <f t="shared" si="31"/>
        <v/>
      </c>
      <c r="CM38" s="55" t="str">
        <f t="shared" si="31"/>
        <v/>
      </c>
      <c r="CN38" s="55" t="str">
        <f t="shared" si="31"/>
        <v/>
      </c>
      <c r="CO38" s="55" t="str">
        <f t="shared" si="31"/>
        <v/>
      </c>
      <c r="CP38" s="55" t="str">
        <f t="shared" si="31"/>
        <v/>
      </c>
      <c r="CQ38" s="55" t="str">
        <f t="shared" si="31"/>
        <v/>
      </c>
      <c r="CR38" s="55" t="str">
        <f t="shared" si="31"/>
        <v/>
      </c>
      <c r="CS38" s="55" t="str">
        <f t="shared" si="31"/>
        <v/>
      </c>
      <c r="CT38" s="55" t="str">
        <f t="shared" si="31"/>
        <v/>
      </c>
      <c r="CU38" s="55" t="str">
        <f t="shared" si="31"/>
        <v/>
      </c>
      <c r="CV38" s="55" t="str">
        <f t="shared" si="31"/>
        <v/>
      </c>
      <c r="CW38" s="55" t="str">
        <f t="shared" si="31"/>
        <v/>
      </c>
      <c r="CX38" s="55" t="str">
        <f t="shared" si="31"/>
        <v/>
      </c>
      <c r="CY38" s="55" t="str">
        <f t="shared" si="28"/>
        <v/>
      </c>
      <c r="CZ38" s="55" t="str">
        <f t="shared" si="28"/>
        <v/>
      </c>
      <c r="DA38" s="55" t="str">
        <f t="shared" si="28"/>
        <v/>
      </c>
      <c r="DB38" s="55" t="str">
        <f t="shared" si="28"/>
        <v/>
      </c>
      <c r="DC38" s="55" t="str">
        <f t="shared" si="28"/>
        <v/>
      </c>
      <c r="DD38" s="55" t="str">
        <f t="shared" si="28"/>
        <v/>
      </c>
      <c r="DE38" s="55" t="str">
        <f t="shared" si="28"/>
        <v/>
      </c>
      <c r="DF38" s="55" t="str">
        <f t="shared" si="28"/>
        <v/>
      </c>
      <c r="DG38" s="55" t="str">
        <f t="shared" si="28"/>
        <v/>
      </c>
      <c r="DH38" s="55" t="str">
        <f t="shared" si="28"/>
        <v/>
      </c>
      <c r="DI38" s="55" t="str">
        <f t="shared" si="28"/>
        <v/>
      </c>
      <c r="DJ38" s="55" t="str">
        <f t="shared" si="28"/>
        <v/>
      </c>
      <c r="DK38" s="55" t="str">
        <f t="shared" si="28"/>
        <v/>
      </c>
      <c r="DL38" s="55" t="str">
        <f t="shared" si="28"/>
        <v/>
      </c>
      <c r="DM38" s="55" t="str">
        <f t="shared" si="28"/>
        <v/>
      </c>
      <c r="DN38" s="55" t="str">
        <f t="shared" si="28"/>
        <v/>
      </c>
      <c r="DO38" s="55" t="str">
        <f t="shared" si="21"/>
        <v/>
      </c>
      <c r="DP38" s="55" t="str">
        <f t="shared" si="21"/>
        <v/>
      </c>
      <c r="DQ38" s="55" t="str">
        <f t="shared" si="21"/>
        <v/>
      </c>
      <c r="DR38" s="55" t="str">
        <f t="shared" si="21"/>
        <v/>
      </c>
      <c r="DS38" s="55" t="str">
        <f t="shared" si="21"/>
        <v/>
      </c>
      <c r="DT38" s="110" t="str">
        <f t="shared" si="21"/>
        <v/>
      </c>
      <c r="DU38" s="54"/>
      <c r="DV38" s="25"/>
      <c r="DW38" s="61" t="str">
        <f t="shared" si="35"/>
        <v/>
      </c>
      <c r="DX38" s="50">
        <f t="shared" si="35"/>
        <v>330.79622400000005</v>
      </c>
      <c r="DY38" s="50" t="str">
        <f t="shared" si="35"/>
        <v/>
      </c>
      <c r="DZ38" s="50" t="str">
        <f t="shared" si="35"/>
        <v/>
      </c>
      <c r="EA38" s="50" t="str">
        <f t="shared" si="35"/>
        <v/>
      </c>
      <c r="EB38" s="50" t="str">
        <f t="shared" si="35"/>
        <v/>
      </c>
      <c r="EC38" s="50" t="str">
        <f t="shared" si="35"/>
        <v/>
      </c>
      <c r="ED38" s="50" t="str">
        <f t="shared" si="35"/>
        <v/>
      </c>
      <c r="EE38" s="50" t="str">
        <f t="shared" si="35"/>
        <v/>
      </c>
      <c r="EF38" s="50" t="str">
        <f t="shared" si="35"/>
        <v/>
      </c>
      <c r="EG38" s="50" t="str">
        <f t="shared" si="35"/>
        <v/>
      </c>
      <c r="EH38" s="50" t="str">
        <f t="shared" si="35"/>
        <v/>
      </c>
      <c r="EI38" s="50" t="str">
        <f t="shared" si="35"/>
        <v/>
      </c>
      <c r="EJ38" s="50" t="str">
        <f t="shared" si="35"/>
        <v/>
      </c>
      <c r="EK38" s="50" t="str">
        <f t="shared" si="35"/>
        <v/>
      </c>
      <c r="EL38" s="50" t="str">
        <f t="shared" si="35"/>
        <v/>
      </c>
      <c r="EM38" s="50" t="str">
        <f t="shared" si="35"/>
        <v/>
      </c>
      <c r="EN38" s="50" t="str">
        <f t="shared" si="35"/>
        <v/>
      </c>
      <c r="EO38" s="50" t="str">
        <f t="shared" si="35"/>
        <v/>
      </c>
      <c r="EP38" s="50" t="str">
        <f t="shared" si="35"/>
        <v/>
      </c>
      <c r="EQ38" s="50" t="str">
        <f t="shared" si="35"/>
        <v/>
      </c>
      <c r="ER38" s="50" t="str">
        <f t="shared" si="35"/>
        <v/>
      </c>
      <c r="ES38" s="50" t="str">
        <f t="shared" si="35"/>
        <v/>
      </c>
      <c r="ET38" s="50" t="str">
        <f t="shared" si="35"/>
        <v/>
      </c>
      <c r="EU38" s="50" t="str">
        <f t="shared" si="35"/>
        <v/>
      </c>
      <c r="EV38" s="50" t="str">
        <f t="shared" si="35"/>
        <v/>
      </c>
      <c r="EW38" s="50" t="str">
        <f t="shared" si="35"/>
        <v/>
      </c>
      <c r="EX38" s="50" t="str">
        <f t="shared" si="35"/>
        <v/>
      </c>
      <c r="EY38" s="50" t="str">
        <f t="shared" si="35"/>
        <v/>
      </c>
      <c r="EZ38" s="50" t="str">
        <f t="shared" si="35"/>
        <v/>
      </c>
      <c r="FA38" s="50" t="str">
        <f t="shared" si="35"/>
        <v/>
      </c>
      <c r="FB38" s="50" t="str">
        <f t="shared" si="35"/>
        <v/>
      </c>
      <c r="FC38" s="50" t="str">
        <f t="shared" si="39"/>
        <v/>
      </c>
      <c r="FD38" s="50" t="str">
        <f t="shared" si="39"/>
        <v/>
      </c>
      <c r="FE38" s="50" t="str">
        <f t="shared" si="39"/>
        <v/>
      </c>
      <c r="FF38" s="50" t="str">
        <f t="shared" si="39"/>
        <v/>
      </c>
      <c r="FG38" s="50" t="str">
        <f t="shared" si="39"/>
        <v/>
      </c>
      <c r="FH38" s="50" t="str">
        <f t="shared" si="39"/>
        <v/>
      </c>
      <c r="FI38" s="50" t="str">
        <f t="shared" si="39"/>
        <v/>
      </c>
      <c r="FJ38" s="50" t="str">
        <f t="shared" si="39"/>
        <v/>
      </c>
      <c r="FK38" s="50" t="str">
        <f t="shared" si="39"/>
        <v/>
      </c>
      <c r="FL38" s="50" t="str">
        <f t="shared" si="39"/>
        <v/>
      </c>
      <c r="FM38" s="50" t="str">
        <f t="shared" si="39"/>
        <v/>
      </c>
      <c r="FN38" s="50" t="str">
        <f t="shared" si="39"/>
        <v/>
      </c>
      <c r="FO38" s="50" t="str">
        <f t="shared" si="39"/>
        <v/>
      </c>
      <c r="FP38" s="50" t="str">
        <f t="shared" si="39"/>
        <v/>
      </c>
      <c r="FQ38" s="50" t="str">
        <f t="shared" si="39"/>
        <v/>
      </c>
      <c r="FR38" s="50" t="str">
        <f t="shared" si="39"/>
        <v/>
      </c>
      <c r="FS38" s="50" t="str">
        <f t="shared" si="39"/>
        <v/>
      </c>
      <c r="FT38" s="50" t="str">
        <f t="shared" si="39"/>
        <v/>
      </c>
      <c r="FU38" s="50" t="str">
        <f t="shared" si="39"/>
        <v/>
      </c>
      <c r="FV38" s="50" t="str">
        <f t="shared" si="39"/>
        <v/>
      </c>
      <c r="FW38" s="50" t="str">
        <f t="shared" si="39"/>
        <v/>
      </c>
      <c r="FX38" s="50" t="str">
        <f t="shared" si="39"/>
        <v/>
      </c>
      <c r="FY38" s="50" t="str">
        <f t="shared" si="39"/>
        <v/>
      </c>
      <c r="FZ38" s="50" t="str">
        <f t="shared" si="39"/>
        <v/>
      </c>
      <c r="GA38" s="50" t="str">
        <f t="shared" si="39"/>
        <v/>
      </c>
      <c r="GB38" s="50" t="str">
        <f t="shared" si="39"/>
        <v/>
      </c>
      <c r="GC38" s="50" t="str">
        <f t="shared" si="39"/>
        <v/>
      </c>
      <c r="GD38" s="50" t="str">
        <f t="shared" si="39"/>
        <v/>
      </c>
      <c r="GE38" s="50" t="str">
        <f t="shared" si="39"/>
        <v/>
      </c>
      <c r="GF38" s="50" t="str">
        <f t="shared" si="39"/>
        <v/>
      </c>
      <c r="GG38" s="50" t="str">
        <f t="shared" si="39"/>
        <v/>
      </c>
      <c r="GH38" s="50" t="str">
        <f t="shared" si="33"/>
        <v/>
      </c>
      <c r="GI38" s="50" t="str">
        <f t="shared" si="33"/>
        <v/>
      </c>
      <c r="GJ38" s="50" t="str">
        <f t="shared" si="33"/>
        <v/>
      </c>
      <c r="GK38" s="50" t="str">
        <f t="shared" si="33"/>
        <v/>
      </c>
      <c r="GL38" s="50" t="str">
        <f t="shared" si="33"/>
        <v/>
      </c>
      <c r="GM38" s="50" t="str">
        <f t="shared" si="33"/>
        <v/>
      </c>
      <c r="GN38" s="50" t="str">
        <f t="shared" si="33"/>
        <v/>
      </c>
      <c r="GO38" s="50" t="str">
        <f t="shared" si="33"/>
        <v/>
      </c>
      <c r="GP38" s="50" t="str">
        <f t="shared" si="33"/>
        <v/>
      </c>
      <c r="GQ38" s="50" t="str">
        <f t="shared" si="33"/>
        <v/>
      </c>
      <c r="GR38" s="50" t="str">
        <f t="shared" si="33"/>
        <v/>
      </c>
      <c r="GS38" s="50" t="str">
        <f t="shared" si="33"/>
        <v/>
      </c>
      <c r="GT38" s="50" t="str">
        <f t="shared" si="33"/>
        <v/>
      </c>
      <c r="GU38" s="50" t="str">
        <f t="shared" si="33"/>
        <v/>
      </c>
      <c r="GV38" s="50" t="str">
        <f t="shared" si="33"/>
        <v/>
      </c>
      <c r="GW38" s="50" t="str">
        <f t="shared" si="29"/>
        <v/>
      </c>
      <c r="GX38" s="50" t="str">
        <f t="shared" si="29"/>
        <v/>
      </c>
      <c r="GY38" s="50" t="str">
        <f t="shared" si="29"/>
        <v/>
      </c>
      <c r="GZ38" s="50" t="str">
        <f t="shared" si="29"/>
        <v/>
      </c>
      <c r="HA38" s="50" t="str">
        <f t="shared" si="29"/>
        <v/>
      </c>
      <c r="HB38" s="50" t="str">
        <f t="shared" si="29"/>
        <v/>
      </c>
      <c r="HC38" s="50" t="str">
        <f t="shared" si="29"/>
        <v/>
      </c>
      <c r="HD38" s="50" t="str">
        <f t="shared" si="29"/>
        <v/>
      </c>
      <c r="HE38" s="50" t="str">
        <f t="shared" si="29"/>
        <v/>
      </c>
      <c r="HF38" s="50" t="str">
        <f t="shared" si="29"/>
        <v/>
      </c>
      <c r="HG38" s="50" t="str">
        <f t="shared" si="29"/>
        <v/>
      </c>
      <c r="HH38" s="50" t="str">
        <f t="shared" si="29"/>
        <v/>
      </c>
      <c r="HI38" s="50" t="str">
        <f t="shared" si="29"/>
        <v/>
      </c>
      <c r="HJ38" s="50" t="str">
        <f t="shared" si="29"/>
        <v/>
      </c>
      <c r="HK38" s="50" t="str">
        <f t="shared" si="29"/>
        <v/>
      </c>
      <c r="HL38" s="50" t="str">
        <f t="shared" si="29"/>
        <v/>
      </c>
      <c r="HM38" s="50" t="str">
        <f t="shared" si="22"/>
        <v/>
      </c>
      <c r="HN38" s="50" t="str">
        <f t="shared" si="23"/>
        <v/>
      </c>
      <c r="HO38" s="50" t="str">
        <f t="shared" si="23"/>
        <v/>
      </c>
      <c r="HP38" s="50" t="str">
        <f t="shared" si="23"/>
        <v/>
      </c>
      <c r="HQ38" s="50" t="str">
        <f t="shared" si="23"/>
        <v/>
      </c>
      <c r="HR38" s="116" t="str">
        <f t="shared" si="23"/>
        <v/>
      </c>
    </row>
    <row r="39" spans="1:226" ht="11.15" customHeight="1" x14ac:dyDescent="0.25">
      <c r="A39" s="26" t="s">
        <v>42</v>
      </c>
      <c r="B39" s="27">
        <v>2</v>
      </c>
      <c r="C39" s="28" t="str">
        <f>IF(A39=0,"",VLOOKUP(A39,[3]CO!$A$3:$F$5327,2,0))</f>
        <v>Barreno en concreto para varillas</v>
      </c>
      <c r="D39" s="29"/>
      <c r="E39" s="29"/>
      <c r="F39" s="29"/>
      <c r="G39" s="30" t="str">
        <f>IF(A39=0,"",VLOOKUP(A39,[3]CO!$A$3:$F$5327,3,0))</f>
        <v>PZA</v>
      </c>
      <c r="H39" s="29"/>
      <c r="I39" s="31"/>
      <c r="J39" s="31"/>
      <c r="K39" s="31"/>
      <c r="L39" s="31">
        <v>165</v>
      </c>
      <c r="M39" s="32">
        <f t="shared" si="4"/>
        <v>165</v>
      </c>
      <c r="N39" s="32">
        <f>IF(B39=0,"",IF(H39="M",HLOOKUP(B39,$Y$12:$DT$13,2),IF(A39=0,"",VLOOKUP(A39,[3]CO!$A$3:$F$5327,4,0))))</f>
        <v>16.706880000000002</v>
      </c>
      <c r="O39" s="32">
        <f t="shared" si="11"/>
        <v>2756.6352000000002</v>
      </c>
      <c r="P39" s="33"/>
      <c r="Q39" s="34" t="str">
        <f t="shared" si="5"/>
        <v/>
      </c>
      <c r="R39" s="35" t="str">
        <f t="shared" si="6"/>
        <v/>
      </c>
      <c r="S39" s="122"/>
      <c r="T39" s="53">
        <f>IF(A39=0,"",VLOOKUP(A39,[3]CO!$A$3:$F$5318,5,0))</f>
        <v>0</v>
      </c>
      <c r="U39" s="54">
        <f t="shared" si="12"/>
        <v>0</v>
      </c>
      <c r="V39" s="24"/>
      <c r="W39" s="25"/>
      <c r="X39" s="25"/>
      <c r="Y39" s="64" t="str">
        <f t="shared" si="34"/>
        <v/>
      </c>
      <c r="Z39" s="55">
        <f t="shared" si="34"/>
        <v>0</v>
      </c>
      <c r="AA39" s="55" t="str">
        <f t="shared" si="34"/>
        <v/>
      </c>
      <c r="AB39" s="55" t="str">
        <f t="shared" si="34"/>
        <v/>
      </c>
      <c r="AC39" s="55" t="str">
        <f t="shared" si="34"/>
        <v/>
      </c>
      <c r="AD39" s="55" t="str">
        <f t="shared" si="34"/>
        <v/>
      </c>
      <c r="AE39" s="55" t="str">
        <f t="shared" si="34"/>
        <v/>
      </c>
      <c r="AF39" s="55" t="str">
        <f t="shared" si="34"/>
        <v/>
      </c>
      <c r="AG39" s="55" t="str">
        <f t="shared" si="34"/>
        <v/>
      </c>
      <c r="AH39" s="55" t="str">
        <f t="shared" si="34"/>
        <v/>
      </c>
      <c r="AI39" s="55" t="str">
        <f t="shared" si="34"/>
        <v/>
      </c>
      <c r="AJ39" s="55" t="str">
        <f t="shared" si="34"/>
        <v/>
      </c>
      <c r="AK39" s="55" t="str">
        <f t="shared" si="34"/>
        <v/>
      </c>
      <c r="AL39" s="55" t="str">
        <f t="shared" si="34"/>
        <v/>
      </c>
      <c r="AM39" s="55" t="str">
        <f t="shared" si="34"/>
        <v/>
      </c>
      <c r="AN39" s="55" t="str">
        <f t="shared" si="34"/>
        <v/>
      </c>
      <c r="AO39" s="55" t="str">
        <f t="shared" si="34"/>
        <v/>
      </c>
      <c r="AP39" s="55" t="str">
        <f t="shared" si="34"/>
        <v/>
      </c>
      <c r="AQ39" s="55" t="str">
        <f t="shared" si="34"/>
        <v/>
      </c>
      <c r="AR39" s="55" t="str">
        <f t="shared" si="34"/>
        <v/>
      </c>
      <c r="AS39" s="55" t="str">
        <f t="shared" si="34"/>
        <v/>
      </c>
      <c r="AT39" s="55" t="str">
        <f t="shared" si="34"/>
        <v/>
      </c>
      <c r="AU39" s="55" t="str">
        <f t="shared" si="34"/>
        <v/>
      </c>
      <c r="AV39" s="55" t="str">
        <f t="shared" si="34"/>
        <v/>
      </c>
      <c r="AW39" s="55" t="str">
        <f t="shared" si="34"/>
        <v/>
      </c>
      <c r="AX39" s="55" t="str">
        <f t="shared" si="34"/>
        <v/>
      </c>
      <c r="AY39" s="55" t="str">
        <f t="shared" si="34"/>
        <v/>
      </c>
      <c r="AZ39" s="55" t="str">
        <f t="shared" si="34"/>
        <v/>
      </c>
      <c r="BA39" s="55" t="str">
        <f t="shared" si="34"/>
        <v/>
      </c>
      <c r="BB39" s="55" t="str">
        <f t="shared" si="34"/>
        <v/>
      </c>
      <c r="BC39" s="55" t="str">
        <f t="shared" si="34"/>
        <v/>
      </c>
      <c r="BD39" s="55" t="str">
        <f t="shared" si="34"/>
        <v/>
      </c>
      <c r="BE39" s="55" t="str">
        <f t="shared" si="38"/>
        <v/>
      </c>
      <c r="BF39" s="55" t="str">
        <f t="shared" si="38"/>
        <v/>
      </c>
      <c r="BG39" s="55" t="str">
        <f t="shared" si="38"/>
        <v/>
      </c>
      <c r="BH39" s="55" t="str">
        <f t="shared" si="38"/>
        <v/>
      </c>
      <c r="BI39" s="55" t="str">
        <f t="shared" si="38"/>
        <v/>
      </c>
      <c r="BJ39" s="55" t="str">
        <f t="shared" si="38"/>
        <v/>
      </c>
      <c r="BK39" s="55" t="str">
        <f t="shared" si="38"/>
        <v/>
      </c>
      <c r="BL39" s="55" t="str">
        <f t="shared" si="38"/>
        <v/>
      </c>
      <c r="BM39" s="55" t="str">
        <f t="shared" si="38"/>
        <v/>
      </c>
      <c r="BN39" s="55" t="str">
        <f t="shared" si="38"/>
        <v/>
      </c>
      <c r="BO39" s="55" t="str">
        <f t="shared" si="38"/>
        <v/>
      </c>
      <c r="BP39" s="55" t="str">
        <f t="shared" si="38"/>
        <v/>
      </c>
      <c r="BQ39" s="55" t="str">
        <f t="shared" si="38"/>
        <v/>
      </c>
      <c r="BR39" s="55" t="str">
        <f t="shared" si="38"/>
        <v/>
      </c>
      <c r="BS39" s="55" t="str">
        <f t="shared" si="38"/>
        <v/>
      </c>
      <c r="BT39" s="55" t="str">
        <f t="shared" si="38"/>
        <v/>
      </c>
      <c r="BU39" s="55" t="str">
        <f t="shared" si="38"/>
        <v/>
      </c>
      <c r="BV39" s="55" t="str">
        <f t="shared" si="38"/>
        <v/>
      </c>
      <c r="BW39" s="55" t="str">
        <f t="shared" si="38"/>
        <v/>
      </c>
      <c r="BX39" s="55" t="str">
        <f t="shared" si="38"/>
        <v/>
      </c>
      <c r="BY39" s="55" t="str">
        <f t="shared" si="38"/>
        <v/>
      </c>
      <c r="BZ39" s="55" t="str">
        <f t="shared" si="38"/>
        <v/>
      </c>
      <c r="CA39" s="55" t="str">
        <f t="shared" si="38"/>
        <v/>
      </c>
      <c r="CB39" s="55" t="str">
        <f t="shared" si="38"/>
        <v/>
      </c>
      <c r="CC39" s="55" t="str">
        <f t="shared" si="38"/>
        <v/>
      </c>
      <c r="CD39" s="55" t="str">
        <f t="shared" si="38"/>
        <v/>
      </c>
      <c r="CE39" s="55" t="str">
        <f t="shared" si="38"/>
        <v/>
      </c>
      <c r="CF39" s="55" t="str">
        <f t="shared" si="38"/>
        <v/>
      </c>
      <c r="CG39" s="55" t="str">
        <f t="shared" si="38"/>
        <v/>
      </c>
      <c r="CH39" s="55" t="str">
        <f t="shared" si="38"/>
        <v/>
      </c>
      <c r="CI39" s="55" t="str">
        <f t="shared" si="38"/>
        <v/>
      </c>
      <c r="CJ39" s="55" t="str">
        <f t="shared" si="31"/>
        <v/>
      </c>
      <c r="CK39" s="55" t="str">
        <f t="shared" si="31"/>
        <v/>
      </c>
      <c r="CL39" s="55" t="str">
        <f t="shared" si="31"/>
        <v/>
      </c>
      <c r="CM39" s="55" t="str">
        <f t="shared" si="31"/>
        <v/>
      </c>
      <c r="CN39" s="55" t="str">
        <f t="shared" si="31"/>
        <v/>
      </c>
      <c r="CO39" s="55" t="str">
        <f t="shared" si="31"/>
        <v/>
      </c>
      <c r="CP39" s="55" t="str">
        <f t="shared" si="31"/>
        <v/>
      </c>
      <c r="CQ39" s="55" t="str">
        <f t="shared" si="31"/>
        <v/>
      </c>
      <c r="CR39" s="55" t="str">
        <f t="shared" si="31"/>
        <v/>
      </c>
      <c r="CS39" s="55" t="str">
        <f t="shared" si="31"/>
        <v/>
      </c>
      <c r="CT39" s="55" t="str">
        <f t="shared" si="31"/>
        <v/>
      </c>
      <c r="CU39" s="55" t="str">
        <f t="shared" si="31"/>
        <v/>
      </c>
      <c r="CV39" s="55" t="str">
        <f t="shared" si="31"/>
        <v/>
      </c>
      <c r="CW39" s="55" t="str">
        <f t="shared" si="31"/>
        <v/>
      </c>
      <c r="CX39" s="55" t="str">
        <f t="shared" si="31"/>
        <v/>
      </c>
      <c r="CY39" s="55" t="str">
        <f t="shared" si="28"/>
        <v/>
      </c>
      <c r="CZ39" s="55" t="str">
        <f t="shared" si="28"/>
        <v/>
      </c>
      <c r="DA39" s="55" t="str">
        <f t="shared" si="28"/>
        <v/>
      </c>
      <c r="DB39" s="55" t="str">
        <f t="shared" si="28"/>
        <v/>
      </c>
      <c r="DC39" s="55" t="str">
        <f t="shared" si="28"/>
        <v/>
      </c>
      <c r="DD39" s="55" t="str">
        <f t="shared" si="28"/>
        <v/>
      </c>
      <c r="DE39" s="55" t="str">
        <f t="shared" si="28"/>
        <v/>
      </c>
      <c r="DF39" s="55" t="str">
        <f t="shared" si="28"/>
        <v/>
      </c>
      <c r="DG39" s="55" t="str">
        <f t="shared" si="28"/>
        <v/>
      </c>
      <c r="DH39" s="55" t="str">
        <f t="shared" si="28"/>
        <v/>
      </c>
      <c r="DI39" s="55" t="str">
        <f t="shared" si="28"/>
        <v/>
      </c>
      <c r="DJ39" s="55" t="str">
        <f t="shared" si="28"/>
        <v/>
      </c>
      <c r="DK39" s="55" t="str">
        <f t="shared" si="28"/>
        <v/>
      </c>
      <c r="DL39" s="55" t="str">
        <f t="shared" si="28"/>
        <v/>
      </c>
      <c r="DM39" s="55" t="str">
        <f t="shared" si="28"/>
        <v/>
      </c>
      <c r="DN39" s="55" t="str">
        <f t="shared" si="28"/>
        <v/>
      </c>
      <c r="DO39" s="55" t="str">
        <f t="shared" ref="DO39:DT48" si="40">IF($B39=DO$12,$U39,"")</f>
        <v/>
      </c>
      <c r="DP39" s="55" t="str">
        <f t="shared" si="40"/>
        <v/>
      </c>
      <c r="DQ39" s="55" t="str">
        <f t="shared" si="40"/>
        <v/>
      </c>
      <c r="DR39" s="55" t="str">
        <f t="shared" si="40"/>
        <v/>
      </c>
      <c r="DS39" s="55" t="str">
        <f t="shared" si="40"/>
        <v/>
      </c>
      <c r="DT39" s="110" t="str">
        <f t="shared" si="40"/>
        <v/>
      </c>
      <c r="DU39" s="54"/>
      <c r="DV39" s="25"/>
      <c r="DW39" s="61" t="str">
        <f t="shared" si="35"/>
        <v/>
      </c>
      <c r="DX39" s="50">
        <f t="shared" si="35"/>
        <v>2756.6352000000002</v>
      </c>
      <c r="DY39" s="50" t="str">
        <f t="shared" si="35"/>
        <v/>
      </c>
      <c r="DZ39" s="50" t="str">
        <f t="shared" si="35"/>
        <v/>
      </c>
      <c r="EA39" s="50" t="str">
        <f t="shared" si="35"/>
        <v/>
      </c>
      <c r="EB39" s="50" t="str">
        <f t="shared" si="35"/>
        <v/>
      </c>
      <c r="EC39" s="50" t="str">
        <f t="shared" si="35"/>
        <v/>
      </c>
      <c r="ED39" s="50" t="str">
        <f t="shared" si="35"/>
        <v/>
      </c>
      <c r="EE39" s="50" t="str">
        <f t="shared" si="35"/>
        <v/>
      </c>
      <c r="EF39" s="50" t="str">
        <f t="shared" si="35"/>
        <v/>
      </c>
      <c r="EG39" s="50" t="str">
        <f t="shared" si="35"/>
        <v/>
      </c>
      <c r="EH39" s="50" t="str">
        <f t="shared" si="35"/>
        <v/>
      </c>
      <c r="EI39" s="50" t="str">
        <f t="shared" si="35"/>
        <v/>
      </c>
      <c r="EJ39" s="50" t="str">
        <f t="shared" si="35"/>
        <v/>
      </c>
      <c r="EK39" s="50" t="str">
        <f t="shared" si="35"/>
        <v/>
      </c>
      <c r="EL39" s="50" t="str">
        <f t="shared" si="35"/>
        <v/>
      </c>
      <c r="EM39" s="50" t="str">
        <f t="shared" si="35"/>
        <v/>
      </c>
      <c r="EN39" s="50" t="str">
        <f t="shared" si="35"/>
        <v/>
      </c>
      <c r="EO39" s="50" t="str">
        <f t="shared" si="35"/>
        <v/>
      </c>
      <c r="EP39" s="50" t="str">
        <f t="shared" si="35"/>
        <v/>
      </c>
      <c r="EQ39" s="50" t="str">
        <f t="shared" si="35"/>
        <v/>
      </c>
      <c r="ER39" s="50" t="str">
        <f t="shared" si="35"/>
        <v/>
      </c>
      <c r="ES39" s="50" t="str">
        <f t="shared" si="35"/>
        <v/>
      </c>
      <c r="ET39" s="50" t="str">
        <f t="shared" si="35"/>
        <v/>
      </c>
      <c r="EU39" s="50" t="str">
        <f t="shared" si="35"/>
        <v/>
      </c>
      <c r="EV39" s="50" t="str">
        <f t="shared" si="35"/>
        <v/>
      </c>
      <c r="EW39" s="50" t="str">
        <f t="shared" si="35"/>
        <v/>
      </c>
      <c r="EX39" s="50" t="str">
        <f t="shared" si="35"/>
        <v/>
      </c>
      <c r="EY39" s="50" t="str">
        <f t="shared" si="35"/>
        <v/>
      </c>
      <c r="EZ39" s="50" t="str">
        <f t="shared" si="35"/>
        <v/>
      </c>
      <c r="FA39" s="50" t="str">
        <f t="shared" si="35"/>
        <v/>
      </c>
      <c r="FB39" s="50" t="str">
        <f t="shared" si="35"/>
        <v/>
      </c>
      <c r="FC39" s="50" t="str">
        <f t="shared" si="39"/>
        <v/>
      </c>
      <c r="FD39" s="50" t="str">
        <f t="shared" si="39"/>
        <v/>
      </c>
      <c r="FE39" s="50" t="str">
        <f t="shared" si="39"/>
        <v/>
      </c>
      <c r="FF39" s="50" t="str">
        <f t="shared" si="39"/>
        <v/>
      </c>
      <c r="FG39" s="50" t="str">
        <f t="shared" si="39"/>
        <v/>
      </c>
      <c r="FH39" s="50" t="str">
        <f t="shared" si="39"/>
        <v/>
      </c>
      <c r="FI39" s="50" t="str">
        <f t="shared" si="39"/>
        <v/>
      </c>
      <c r="FJ39" s="50" t="str">
        <f t="shared" si="39"/>
        <v/>
      </c>
      <c r="FK39" s="50" t="str">
        <f t="shared" si="39"/>
        <v/>
      </c>
      <c r="FL39" s="50" t="str">
        <f t="shared" si="39"/>
        <v/>
      </c>
      <c r="FM39" s="50" t="str">
        <f t="shared" si="39"/>
        <v/>
      </c>
      <c r="FN39" s="50" t="str">
        <f t="shared" si="39"/>
        <v/>
      </c>
      <c r="FO39" s="50" t="str">
        <f t="shared" si="39"/>
        <v/>
      </c>
      <c r="FP39" s="50" t="str">
        <f t="shared" si="39"/>
        <v/>
      </c>
      <c r="FQ39" s="50" t="str">
        <f t="shared" si="39"/>
        <v/>
      </c>
      <c r="FR39" s="50" t="str">
        <f t="shared" si="39"/>
        <v/>
      </c>
      <c r="FS39" s="50" t="str">
        <f t="shared" si="39"/>
        <v/>
      </c>
      <c r="FT39" s="50" t="str">
        <f t="shared" si="39"/>
        <v/>
      </c>
      <c r="FU39" s="50" t="str">
        <f t="shared" si="39"/>
        <v/>
      </c>
      <c r="FV39" s="50" t="str">
        <f t="shared" si="39"/>
        <v/>
      </c>
      <c r="FW39" s="50" t="str">
        <f t="shared" si="39"/>
        <v/>
      </c>
      <c r="FX39" s="50" t="str">
        <f t="shared" si="39"/>
        <v/>
      </c>
      <c r="FY39" s="50" t="str">
        <f t="shared" si="39"/>
        <v/>
      </c>
      <c r="FZ39" s="50" t="str">
        <f t="shared" si="39"/>
        <v/>
      </c>
      <c r="GA39" s="50" t="str">
        <f t="shared" si="39"/>
        <v/>
      </c>
      <c r="GB39" s="50" t="str">
        <f t="shared" si="39"/>
        <v/>
      </c>
      <c r="GC39" s="50" t="str">
        <f t="shared" si="39"/>
        <v/>
      </c>
      <c r="GD39" s="50" t="str">
        <f t="shared" si="39"/>
        <v/>
      </c>
      <c r="GE39" s="50" t="str">
        <f t="shared" si="39"/>
        <v/>
      </c>
      <c r="GF39" s="50" t="str">
        <f t="shared" si="39"/>
        <v/>
      </c>
      <c r="GG39" s="50" t="str">
        <f t="shared" si="39"/>
        <v/>
      </c>
      <c r="GH39" s="50" t="str">
        <f t="shared" si="33"/>
        <v/>
      </c>
      <c r="GI39" s="50" t="str">
        <f t="shared" si="33"/>
        <v/>
      </c>
      <c r="GJ39" s="50" t="str">
        <f t="shared" si="33"/>
        <v/>
      </c>
      <c r="GK39" s="50" t="str">
        <f t="shared" si="33"/>
        <v/>
      </c>
      <c r="GL39" s="50" t="str">
        <f t="shared" si="33"/>
        <v/>
      </c>
      <c r="GM39" s="50" t="str">
        <f t="shared" si="33"/>
        <v/>
      </c>
      <c r="GN39" s="50" t="str">
        <f t="shared" si="33"/>
        <v/>
      </c>
      <c r="GO39" s="50" t="str">
        <f t="shared" si="33"/>
        <v/>
      </c>
      <c r="GP39" s="50" t="str">
        <f t="shared" si="33"/>
        <v/>
      </c>
      <c r="GQ39" s="50" t="str">
        <f t="shared" si="33"/>
        <v/>
      </c>
      <c r="GR39" s="50" t="str">
        <f t="shared" si="33"/>
        <v/>
      </c>
      <c r="GS39" s="50" t="str">
        <f t="shared" si="33"/>
        <v/>
      </c>
      <c r="GT39" s="50" t="str">
        <f t="shared" si="33"/>
        <v/>
      </c>
      <c r="GU39" s="50" t="str">
        <f t="shared" si="33"/>
        <v/>
      </c>
      <c r="GV39" s="50" t="str">
        <f t="shared" si="33"/>
        <v/>
      </c>
      <c r="GW39" s="50" t="str">
        <f t="shared" si="29"/>
        <v/>
      </c>
      <c r="GX39" s="50" t="str">
        <f t="shared" si="29"/>
        <v/>
      </c>
      <c r="GY39" s="50" t="str">
        <f t="shared" si="29"/>
        <v/>
      </c>
      <c r="GZ39" s="50" t="str">
        <f t="shared" si="29"/>
        <v/>
      </c>
      <c r="HA39" s="50" t="str">
        <f t="shared" si="29"/>
        <v/>
      </c>
      <c r="HB39" s="50" t="str">
        <f t="shared" si="29"/>
        <v/>
      </c>
      <c r="HC39" s="50" t="str">
        <f t="shared" si="29"/>
        <v/>
      </c>
      <c r="HD39" s="50" t="str">
        <f t="shared" si="29"/>
        <v/>
      </c>
      <c r="HE39" s="50" t="str">
        <f t="shared" si="29"/>
        <v/>
      </c>
      <c r="HF39" s="50" t="str">
        <f t="shared" si="29"/>
        <v/>
      </c>
      <c r="HG39" s="50" t="str">
        <f t="shared" si="29"/>
        <v/>
      </c>
      <c r="HH39" s="50" t="str">
        <f t="shared" si="29"/>
        <v/>
      </c>
      <c r="HI39" s="50" t="str">
        <f t="shared" si="29"/>
        <v/>
      </c>
      <c r="HJ39" s="50" t="str">
        <f t="shared" si="29"/>
        <v/>
      </c>
      <c r="HK39" s="50" t="str">
        <f t="shared" si="29"/>
        <v/>
      </c>
      <c r="HL39" s="50" t="str">
        <f t="shared" si="29"/>
        <v/>
      </c>
      <c r="HM39" s="50" t="str">
        <f t="shared" si="22"/>
        <v/>
      </c>
      <c r="HN39" s="50" t="str">
        <f t="shared" si="23"/>
        <v/>
      </c>
      <c r="HO39" s="50" t="str">
        <f t="shared" si="23"/>
        <v/>
      </c>
      <c r="HP39" s="50" t="str">
        <f t="shared" si="23"/>
        <v/>
      </c>
      <c r="HQ39" s="50" t="str">
        <f t="shared" si="23"/>
        <v/>
      </c>
      <c r="HR39" s="116" t="str">
        <f t="shared" si="23"/>
        <v/>
      </c>
    </row>
    <row r="40" spans="1:226" ht="11.15" customHeight="1" x14ac:dyDescent="0.25">
      <c r="A40" s="26" t="s">
        <v>43</v>
      </c>
      <c r="B40" s="27">
        <v>2</v>
      </c>
      <c r="C40" s="28" t="str">
        <f>IF(A40=0,"",VLOOKUP(A40,[3]CO!$A$3:$F$5327,2,0))</f>
        <v>Cimbra perimetral en losa de concreto o piso</v>
      </c>
      <c r="D40" s="29"/>
      <c r="E40" s="29"/>
      <c r="F40" s="29"/>
      <c r="G40" s="30" t="str">
        <f>IF(A40=0,"",VLOOKUP(A40,[3]CO!$A$3:$F$5327,3,0))</f>
        <v>ML</v>
      </c>
      <c r="H40" s="29"/>
      <c r="I40" s="31">
        <f>6.9+3</f>
        <v>9.9</v>
      </c>
      <c r="J40" s="31"/>
      <c r="K40" s="31"/>
      <c r="L40" s="31">
        <v>1</v>
      </c>
      <c r="M40" s="32">
        <f t="shared" si="4"/>
        <v>9.9</v>
      </c>
      <c r="N40" s="32">
        <f>IF(B40=0,"",IF(H40="M",HLOOKUP(B40,$Y$12:$DT$13,2),IF(A40=0,"",VLOOKUP(A40,[3]CO!$A$3:$F$5327,4,0))))</f>
        <v>7.5180960000000008</v>
      </c>
      <c r="O40" s="32">
        <f t="shared" si="11"/>
        <v>74.429150400000012</v>
      </c>
      <c r="P40" s="33"/>
      <c r="Q40" s="34" t="str">
        <f t="shared" si="5"/>
        <v/>
      </c>
      <c r="R40" s="35" t="str">
        <f t="shared" si="6"/>
        <v/>
      </c>
      <c r="S40" s="122"/>
      <c r="T40" s="53">
        <f>IF(A40=0,"",VLOOKUP(A40,[3]CO!$A$3:$F$5318,5,0))</f>
        <v>0</v>
      </c>
      <c r="U40" s="54">
        <f t="shared" si="12"/>
        <v>0</v>
      </c>
      <c r="V40" s="24"/>
      <c r="W40" s="25"/>
      <c r="X40" s="25"/>
      <c r="Y40" s="64" t="str">
        <f t="shared" si="34"/>
        <v/>
      </c>
      <c r="Z40" s="55">
        <f t="shared" si="34"/>
        <v>0</v>
      </c>
      <c r="AA40" s="55" t="str">
        <f t="shared" si="34"/>
        <v/>
      </c>
      <c r="AB40" s="55" t="str">
        <f t="shared" si="34"/>
        <v/>
      </c>
      <c r="AC40" s="55" t="str">
        <f t="shared" si="34"/>
        <v/>
      </c>
      <c r="AD40" s="55" t="str">
        <f t="shared" si="34"/>
        <v/>
      </c>
      <c r="AE40" s="55" t="str">
        <f t="shared" si="34"/>
        <v/>
      </c>
      <c r="AF40" s="55" t="str">
        <f t="shared" si="34"/>
        <v/>
      </c>
      <c r="AG40" s="55" t="str">
        <f t="shared" si="34"/>
        <v/>
      </c>
      <c r="AH40" s="55" t="str">
        <f t="shared" si="34"/>
        <v/>
      </c>
      <c r="AI40" s="55" t="str">
        <f t="shared" si="34"/>
        <v/>
      </c>
      <c r="AJ40" s="55" t="str">
        <f t="shared" si="34"/>
        <v/>
      </c>
      <c r="AK40" s="55" t="str">
        <f t="shared" si="34"/>
        <v/>
      </c>
      <c r="AL40" s="55" t="str">
        <f t="shared" si="34"/>
        <v/>
      </c>
      <c r="AM40" s="55" t="str">
        <f t="shared" si="34"/>
        <v/>
      </c>
      <c r="AN40" s="55" t="str">
        <f t="shared" si="34"/>
        <v/>
      </c>
      <c r="AO40" s="55" t="str">
        <f t="shared" si="34"/>
        <v/>
      </c>
      <c r="AP40" s="55" t="str">
        <f t="shared" si="34"/>
        <v/>
      </c>
      <c r="AQ40" s="55" t="str">
        <f t="shared" si="34"/>
        <v/>
      </c>
      <c r="AR40" s="55" t="str">
        <f t="shared" si="34"/>
        <v/>
      </c>
      <c r="AS40" s="55" t="str">
        <f t="shared" si="34"/>
        <v/>
      </c>
      <c r="AT40" s="55" t="str">
        <f t="shared" si="34"/>
        <v/>
      </c>
      <c r="AU40" s="55" t="str">
        <f t="shared" si="34"/>
        <v/>
      </c>
      <c r="AV40" s="55" t="str">
        <f t="shared" si="34"/>
        <v/>
      </c>
      <c r="AW40" s="55" t="str">
        <f t="shared" si="34"/>
        <v/>
      </c>
      <c r="AX40" s="55" t="str">
        <f t="shared" si="34"/>
        <v/>
      </c>
      <c r="AY40" s="55" t="str">
        <f t="shared" si="34"/>
        <v/>
      </c>
      <c r="AZ40" s="55" t="str">
        <f t="shared" si="34"/>
        <v/>
      </c>
      <c r="BA40" s="55" t="str">
        <f t="shared" si="34"/>
        <v/>
      </c>
      <c r="BB40" s="55" t="str">
        <f t="shared" si="34"/>
        <v/>
      </c>
      <c r="BC40" s="55" t="str">
        <f t="shared" si="34"/>
        <v/>
      </c>
      <c r="BD40" s="55" t="str">
        <f t="shared" si="34"/>
        <v/>
      </c>
      <c r="BE40" s="55" t="str">
        <f t="shared" si="38"/>
        <v/>
      </c>
      <c r="BF40" s="55" t="str">
        <f t="shared" si="38"/>
        <v/>
      </c>
      <c r="BG40" s="55" t="str">
        <f t="shared" si="38"/>
        <v/>
      </c>
      <c r="BH40" s="55" t="str">
        <f t="shared" si="38"/>
        <v/>
      </c>
      <c r="BI40" s="55" t="str">
        <f t="shared" si="38"/>
        <v/>
      </c>
      <c r="BJ40" s="55" t="str">
        <f t="shared" si="38"/>
        <v/>
      </c>
      <c r="BK40" s="55" t="str">
        <f t="shared" si="38"/>
        <v/>
      </c>
      <c r="BL40" s="55" t="str">
        <f t="shared" si="38"/>
        <v/>
      </c>
      <c r="BM40" s="55" t="str">
        <f t="shared" si="38"/>
        <v/>
      </c>
      <c r="BN40" s="55" t="str">
        <f t="shared" si="38"/>
        <v/>
      </c>
      <c r="BO40" s="55" t="str">
        <f t="shared" si="38"/>
        <v/>
      </c>
      <c r="BP40" s="55" t="str">
        <f t="shared" si="38"/>
        <v/>
      </c>
      <c r="BQ40" s="55" t="str">
        <f t="shared" si="38"/>
        <v/>
      </c>
      <c r="BR40" s="55" t="str">
        <f t="shared" si="38"/>
        <v/>
      </c>
      <c r="BS40" s="55" t="str">
        <f t="shared" si="38"/>
        <v/>
      </c>
      <c r="BT40" s="55" t="str">
        <f t="shared" si="38"/>
        <v/>
      </c>
      <c r="BU40" s="55" t="str">
        <f t="shared" si="38"/>
        <v/>
      </c>
      <c r="BV40" s="55" t="str">
        <f t="shared" si="38"/>
        <v/>
      </c>
      <c r="BW40" s="55" t="str">
        <f t="shared" si="38"/>
        <v/>
      </c>
      <c r="BX40" s="55" t="str">
        <f t="shared" si="38"/>
        <v/>
      </c>
      <c r="BY40" s="55" t="str">
        <f t="shared" si="38"/>
        <v/>
      </c>
      <c r="BZ40" s="55" t="str">
        <f t="shared" si="38"/>
        <v/>
      </c>
      <c r="CA40" s="55" t="str">
        <f t="shared" si="38"/>
        <v/>
      </c>
      <c r="CB40" s="55" t="str">
        <f t="shared" si="38"/>
        <v/>
      </c>
      <c r="CC40" s="55" t="str">
        <f t="shared" si="38"/>
        <v/>
      </c>
      <c r="CD40" s="55" t="str">
        <f t="shared" si="38"/>
        <v/>
      </c>
      <c r="CE40" s="55" t="str">
        <f t="shared" si="38"/>
        <v/>
      </c>
      <c r="CF40" s="55" t="str">
        <f t="shared" si="38"/>
        <v/>
      </c>
      <c r="CG40" s="55" t="str">
        <f t="shared" si="38"/>
        <v/>
      </c>
      <c r="CH40" s="55" t="str">
        <f t="shared" si="38"/>
        <v/>
      </c>
      <c r="CI40" s="55" t="str">
        <f t="shared" si="38"/>
        <v/>
      </c>
      <c r="CJ40" s="55" t="str">
        <f t="shared" si="31"/>
        <v/>
      </c>
      <c r="CK40" s="55" t="str">
        <f t="shared" si="31"/>
        <v/>
      </c>
      <c r="CL40" s="55" t="str">
        <f t="shared" si="31"/>
        <v/>
      </c>
      <c r="CM40" s="55" t="str">
        <f t="shared" si="31"/>
        <v/>
      </c>
      <c r="CN40" s="55" t="str">
        <f t="shared" si="31"/>
        <v/>
      </c>
      <c r="CO40" s="55" t="str">
        <f t="shared" si="31"/>
        <v/>
      </c>
      <c r="CP40" s="55" t="str">
        <f t="shared" si="31"/>
        <v/>
      </c>
      <c r="CQ40" s="55" t="str">
        <f t="shared" si="31"/>
        <v/>
      </c>
      <c r="CR40" s="55" t="str">
        <f t="shared" si="31"/>
        <v/>
      </c>
      <c r="CS40" s="55" t="str">
        <f t="shared" si="31"/>
        <v/>
      </c>
      <c r="CT40" s="55" t="str">
        <f t="shared" si="31"/>
        <v/>
      </c>
      <c r="CU40" s="55" t="str">
        <f t="shared" si="31"/>
        <v/>
      </c>
      <c r="CV40" s="55" t="str">
        <f t="shared" si="31"/>
        <v/>
      </c>
      <c r="CW40" s="55" t="str">
        <f t="shared" si="31"/>
        <v/>
      </c>
      <c r="CX40" s="55" t="str">
        <f t="shared" si="31"/>
        <v/>
      </c>
      <c r="CY40" s="55" t="str">
        <f t="shared" si="28"/>
        <v/>
      </c>
      <c r="CZ40" s="55" t="str">
        <f t="shared" si="28"/>
        <v/>
      </c>
      <c r="DA40" s="55" t="str">
        <f t="shared" si="28"/>
        <v/>
      </c>
      <c r="DB40" s="55" t="str">
        <f t="shared" si="28"/>
        <v/>
      </c>
      <c r="DC40" s="55" t="str">
        <f t="shared" si="28"/>
        <v/>
      </c>
      <c r="DD40" s="55" t="str">
        <f t="shared" si="28"/>
        <v/>
      </c>
      <c r="DE40" s="55" t="str">
        <f t="shared" si="28"/>
        <v/>
      </c>
      <c r="DF40" s="55" t="str">
        <f t="shared" si="28"/>
        <v/>
      </c>
      <c r="DG40" s="55" t="str">
        <f t="shared" si="28"/>
        <v/>
      </c>
      <c r="DH40" s="55" t="str">
        <f t="shared" si="28"/>
        <v/>
      </c>
      <c r="DI40" s="55" t="str">
        <f t="shared" si="28"/>
        <v/>
      </c>
      <c r="DJ40" s="55" t="str">
        <f t="shared" si="28"/>
        <v/>
      </c>
      <c r="DK40" s="55" t="str">
        <f t="shared" si="28"/>
        <v/>
      </c>
      <c r="DL40" s="55" t="str">
        <f t="shared" si="28"/>
        <v/>
      </c>
      <c r="DM40" s="55" t="str">
        <f t="shared" si="28"/>
        <v/>
      </c>
      <c r="DN40" s="55" t="str">
        <f t="shared" si="28"/>
        <v/>
      </c>
      <c r="DO40" s="55" t="str">
        <f t="shared" si="40"/>
        <v/>
      </c>
      <c r="DP40" s="55" t="str">
        <f t="shared" si="40"/>
        <v/>
      </c>
      <c r="DQ40" s="55" t="str">
        <f t="shared" si="40"/>
        <v/>
      </c>
      <c r="DR40" s="55" t="str">
        <f t="shared" si="40"/>
        <v/>
      </c>
      <c r="DS40" s="55" t="str">
        <f t="shared" si="40"/>
        <v/>
      </c>
      <c r="DT40" s="110" t="str">
        <f t="shared" si="40"/>
        <v/>
      </c>
      <c r="DU40" s="54"/>
      <c r="DV40" s="25"/>
      <c r="DW40" s="61" t="str">
        <f t="shared" si="35"/>
        <v/>
      </c>
      <c r="DX40" s="50">
        <f t="shared" si="35"/>
        <v>74.429150400000012</v>
      </c>
      <c r="DY40" s="50" t="str">
        <f t="shared" si="35"/>
        <v/>
      </c>
      <c r="DZ40" s="50" t="str">
        <f t="shared" si="35"/>
        <v/>
      </c>
      <c r="EA40" s="50" t="str">
        <f t="shared" si="35"/>
        <v/>
      </c>
      <c r="EB40" s="50" t="str">
        <f t="shared" si="35"/>
        <v/>
      </c>
      <c r="EC40" s="50" t="str">
        <f t="shared" si="35"/>
        <v/>
      </c>
      <c r="ED40" s="50" t="str">
        <f t="shared" si="35"/>
        <v/>
      </c>
      <c r="EE40" s="50" t="str">
        <f t="shared" si="35"/>
        <v/>
      </c>
      <c r="EF40" s="50" t="str">
        <f t="shared" si="35"/>
        <v/>
      </c>
      <c r="EG40" s="50" t="str">
        <f t="shared" si="35"/>
        <v/>
      </c>
      <c r="EH40" s="50" t="str">
        <f t="shared" si="35"/>
        <v/>
      </c>
      <c r="EI40" s="50" t="str">
        <f t="shared" si="35"/>
        <v/>
      </c>
      <c r="EJ40" s="50" t="str">
        <f t="shared" si="35"/>
        <v/>
      </c>
      <c r="EK40" s="50" t="str">
        <f t="shared" si="35"/>
        <v/>
      </c>
      <c r="EL40" s="50" t="str">
        <f t="shared" si="35"/>
        <v/>
      </c>
      <c r="EM40" s="50" t="str">
        <f t="shared" si="35"/>
        <v/>
      </c>
      <c r="EN40" s="50" t="str">
        <f t="shared" si="35"/>
        <v/>
      </c>
      <c r="EO40" s="50" t="str">
        <f t="shared" si="35"/>
        <v/>
      </c>
      <c r="EP40" s="50" t="str">
        <f t="shared" si="35"/>
        <v/>
      </c>
      <c r="EQ40" s="50" t="str">
        <f t="shared" si="35"/>
        <v/>
      </c>
      <c r="ER40" s="50" t="str">
        <f t="shared" si="35"/>
        <v/>
      </c>
      <c r="ES40" s="50" t="str">
        <f t="shared" si="35"/>
        <v/>
      </c>
      <c r="ET40" s="50" t="str">
        <f t="shared" si="35"/>
        <v/>
      </c>
      <c r="EU40" s="50" t="str">
        <f t="shared" si="35"/>
        <v/>
      </c>
      <c r="EV40" s="50" t="str">
        <f t="shared" si="35"/>
        <v/>
      </c>
      <c r="EW40" s="50" t="str">
        <f t="shared" si="35"/>
        <v/>
      </c>
      <c r="EX40" s="50" t="str">
        <f t="shared" si="35"/>
        <v/>
      </c>
      <c r="EY40" s="50" t="str">
        <f t="shared" si="35"/>
        <v/>
      </c>
      <c r="EZ40" s="50" t="str">
        <f t="shared" si="35"/>
        <v/>
      </c>
      <c r="FA40" s="50" t="str">
        <f t="shared" si="35"/>
        <v/>
      </c>
      <c r="FB40" s="50" t="str">
        <f t="shared" si="35"/>
        <v/>
      </c>
      <c r="FC40" s="50" t="str">
        <f t="shared" si="39"/>
        <v/>
      </c>
      <c r="FD40" s="50" t="str">
        <f t="shared" si="39"/>
        <v/>
      </c>
      <c r="FE40" s="50" t="str">
        <f t="shared" si="39"/>
        <v/>
      </c>
      <c r="FF40" s="50" t="str">
        <f t="shared" si="39"/>
        <v/>
      </c>
      <c r="FG40" s="50" t="str">
        <f t="shared" si="39"/>
        <v/>
      </c>
      <c r="FH40" s="50" t="str">
        <f t="shared" si="39"/>
        <v/>
      </c>
      <c r="FI40" s="50" t="str">
        <f t="shared" si="39"/>
        <v/>
      </c>
      <c r="FJ40" s="50" t="str">
        <f t="shared" si="39"/>
        <v/>
      </c>
      <c r="FK40" s="50" t="str">
        <f t="shared" si="39"/>
        <v/>
      </c>
      <c r="FL40" s="50" t="str">
        <f t="shared" si="39"/>
        <v/>
      </c>
      <c r="FM40" s="50" t="str">
        <f t="shared" si="39"/>
        <v/>
      </c>
      <c r="FN40" s="50" t="str">
        <f t="shared" si="39"/>
        <v/>
      </c>
      <c r="FO40" s="50" t="str">
        <f t="shared" si="39"/>
        <v/>
      </c>
      <c r="FP40" s="50" t="str">
        <f t="shared" si="39"/>
        <v/>
      </c>
      <c r="FQ40" s="50" t="str">
        <f t="shared" si="39"/>
        <v/>
      </c>
      <c r="FR40" s="50" t="str">
        <f t="shared" si="39"/>
        <v/>
      </c>
      <c r="FS40" s="50" t="str">
        <f t="shared" si="39"/>
        <v/>
      </c>
      <c r="FT40" s="50" t="str">
        <f t="shared" si="39"/>
        <v/>
      </c>
      <c r="FU40" s="50" t="str">
        <f t="shared" si="39"/>
        <v/>
      </c>
      <c r="FV40" s="50" t="str">
        <f t="shared" si="39"/>
        <v/>
      </c>
      <c r="FW40" s="50" t="str">
        <f t="shared" si="39"/>
        <v/>
      </c>
      <c r="FX40" s="50" t="str">
        <f t="shared" si="39"/>
        <v/>
      </c>
      <c r="FY40" s="50" t="str">
        <f t="shared" si="39"/>
        <v/>
      </c>
      <c r="FZ40" s="50" t="str">
        <f t="shared" si="39"/>
        <v/>
      </c>
      <c r="GA40" s="50" t="str">
        <f t="shared" si="39"/>
        <v/>
      </c>
      <c r="GB40" s="50" t="str">
        <f t="shared" si="39"/>
        <v/>
      </c>
      <c r="GC40" s="50" t="str">
        <f t="shared" si="39"/>
        <v/>
      </c>
      <c r="GD40" s="50" t="str">
        <f t="shared" si="39"/>
        <v/>
      </c>
      <c r="GE40" s="50" t="str">
        <f t="shared" si="39"/>
        <v/>
      </c>
      <c r="GF40" s="50" t="str">
        <f t="shared" si="39"/>
        <v/>
      </c>
      <c r="GG40" s="50" t="str">
        <f t="shared" si="39"/>
        <v/>
      </c>
      <c r="GH40" s="50" t="str">
        <f t="shared" si="33"/>
        <v/>
      </c>
      <c r="GI40" s="50" t="str">
        <f t="shared" si="33"/>
        <v/>
      </c>
      <c r="GJ40" s="50" t="str">
        <f t="shared" si="33"/>
        <v/>
      </c>
      <c r="GK40" s="50" t="str">
        <f t="shared" si="33"/>
        <v/>
      </c>
      <c r="GL40" s="50" t="str">
        <f t="shared" si="33"/>
        <v/>
      </c>
      <c r="GM40" s="50" t="str">
        <f t="shared" si="33"/>
        <v/>
      </c>
      <c r="GN40" s="50" t="str">
        <f t="shared" si="33"/>
        <v/>
      </c>
      <c r="GO40" s="50" t="str">
        <f t="shared" si="33"/>
        <v/>
      </c>
      <c r="GP40" s="50" t="str">
        <f t="shared" si="33"/>
        <v/>
      </c>
      <c r="GQ40" s="50" t="str">
        <f t="shared" si="33"/>
        <v/>
      </c>
      <c r="GR40" s="50" t="str">
        <f t="shared" si="33"/>
        <v/>
      </c>
      <c r="GS40" s="50" t="str">
        <f t="shared" si="33"/>
        <v/>
      </c>
      <c r="GT40" s="50" t="str">
        <f t="shared" si="33"/>
        <v/>
      </c>
      <c r="GU40" s="50" t="str">
        <f t="shared" si="33"/>
        <v/>
      </c>
      <c r="GV40" s="50" t="str">
        <f t="shared" si="33"/>
        <v/>
      </c>
      <c r="GW40" s="50" t="str">
        <f t="shared" si="29"/>
        <v/>
      </c>
      <c r="GX40" s="50" t="str">
        <f t="shared" si="29"/>
        <v/>
      </c>
      <c r="GY40" s="50" t="str">
        <f t="shared" si="29"/>
        <v/>
      </c>
      <c r="GZ40" s="50" t="str">
        <f t="shared" si="29"/>
        <v/>
      </c>
      <c r="HA40" s="50" t="str">
        <f t="shared" si="29"/>
        <v/>
      </c>
      <c r="HB40" s="50" t="str">
        <f t="shared" si="29"/>
        <v/>
      </c>
      <c r="HC40" s="50" t="str">
        <f t="shared" si="29"/>
        <v/>
      </c>
      <c r="HD40" s="50" t="str">
        <f t="shared" si="29"/>
        <v/>
      </c>
      <c r="HE40" s="50" t="str">
        <f t="shared" si="29"/>
        <v/>
      </c>
      <c r="HF40" s="50" t="str">
        <f t="shared" si="29"/>
        <v/>
      </c>
      <c r="HG40" s="50" t="str">
        <f t="shared" si="29"/>
        <v/>
      </c>
      <c r="HH40" s="50" t="str">
        <f t="shared" si="29"/>
        <v/>
      </c>
      <c r="HI40" s="50" t="str">
        <f t="shared" si="29"/>
        <v/>
      </c>
      <c r="HJ40" s="50" t="str">
        <f t="shared" si="29"/>
        <v/>
      </c>
      <c r="HK40" s="50" t="str">
        <f t="shared" si="29"/>
        <v/>
      </c>
      <c r="HL40" s="50" t="str">
        <f t="shared" si="29"/>
        <v/>
      </c>
      <c r="HM40" s="50" t="str">
        <f t="shared" si="22"/>
        <v/>
      </c>
      <c r="HN40" s="50" t="str">
        <f t="shared" si="23"/>
        <v/>
      </c>
      <c r="HO40" s="50" t="str">
        <f t="shared" si="23"/>
        <v/>
      </c>
      <c r="HP40" s="50" t="str">
        <f t="shared" si="23"/>
        <v/>
      </c>
      <c r="HQ40" s="50" t="str">
        <f t="shared" si="23"/>
        <v/>
      </c>
      <c r="HR40" s="116" t="str">
        <f t="shared" si="23"/>
        <v/>
      </c>
    </row>
    <row r="41" spans="1:226" ht="11.15" customHeight="1" x14ac:dyDescent="0.25">
      <c r="A41" s="26"/>
      <c r="B41" s="27"/>
      <c r="C41" s="28" t="str">
        <f>IF(A41=0,"",VLOOKUP(A41,[3]CO!$A$3:$F$5327,2,0))</f>
        <v/>
      </c>
      <c r="D41" s="29" t="s">
        <v>44</v>
      </c>
      <c r="E41" s="29"/>
      <c r="F41" s="29"/>
      <c r="G41" s="30" t="str">
        <f>IF(A41=0,"",VLOOKUP(A41,[3]CO!$A$3:$F$5327,3,0))</f>
        <v/>
      </c>
      <c r="H41" s="29"/>
      <c r="I41" s="31"/>
      <c r="J41" s="31"/>
      <c r="K41" s="31"/>
      <c r="L41" s="31"/>
      <c r="M41" s="32" t="str">
        <f t="shared" si="4"/>
        <v/>
      </c>
      <c r="N41" s="32" t="str">
        <f>IF(B41=0,"",IF(H41="M",HLOOKUP(B41,$Y$12:$DT$13,2),IF(A41=0,"",VLOOKUP(A41,[3]CO!$A$3:$F$5327,4,0))))</f>
        <v/>
      </c>
      <c r="O41" s="32" t="str">
        <f t="shared" si="11"/>
        <v/>
      </c>
      <c r="P41" s="33"/>
      <c r="Q41" s="34" t="str">
        <f t="shared" si="5"/>
        <v/>
      </c>
      <c r="R41" s="35" t="str">
        <f t="shared" si="6"/>
        <v/>
      </c>
      <c r="S41" s="122"/>
      <c r="T41" s="53" t="str">
        <f>IF(A41=0,"",VLOOKUP(A41,[3]CO!$A$3:$F$5318,5,0))</f>
        <v/>
      </c>
      <c r="U41" s="54">
        <f t="shared" si="12"/>
        <v>0</v>
      </c>
      <c r="V41" s="24"/>
      <c r="W41" s="25"/>
      <c r="X41" s="25"/>
      <c r="Y41" s="64" t="str">
        <f t="shared" si="34"/>
        <v/>
      </c>
      <c r="Z41" s="55" t="str">
        <f t="shared" si="34"/>
        <v/>
      </c>
      <c r="AA41" s="55" t="str">
        <f t="shared" si="34"/>
        <v/>
      </c>
      <c r="AB41" s="55" t="str">
        <f t="shared" si="34"/>
        <v/>
      </c>
      <c r="AC41" s="55" t="str">
        <f t="shared" si="34"/>
        <v/>
      </c>
      <c r="AD41" s="55" t="str">
        <f t="shared" si="34"/>
        <v/>
      </c>
      <c r="AE41" s="55" t="str">
        <f t="shared" si="34"/>
        <v/>
      </c>
      <c r="AF41" s="55" t="str">
        <f t="shared" si="34"/>
        <v/>
      </c>
      <c r="AG41" s="55" t="str">
        <f t="shared" si="34"/>
        <v/>
      </c>
      <c r="AH41" s="55" t="str">
        <f t="shared" si="34"/>
        <v/>
      </c>
      <c r="AI41" s="55" t="str">
        <f t="shared" si="34"/>
        <v/>
      </c>
      <c r="AJ41" s="55" t="str">
        <f t="shared" si="34"/>
        <v/>
      </c>
      <c r="AK41" s="55" t="str">
        <f t="shared" si="34"/>
        <v/>
      </c>
      <c r="AL41" s="55" t="str">
        <f t="shared" si="34"/>
        <v/>
      </c>
      <c r="AM41" s="55" t="str">
        <f t="shared" si="34"/>
        <v/>
      </c>
      <c r="AN41" s="55" t="str">
        <f t="shared" si="34"/>
        <v/>
      </c>
      <c r="AO41" s="55" t="str">
        <f t="shared" si="34"/>
        <v/>
      </c>
      <c r="AP41" s="55" t="str">
        <f t="shared" si="34"/>
        <v/>
      </c>
      <c r="AQ41" s="55" t="str">
        <f t="shared" si="34"/>
        <v/>
      </c>
      <c r="AR41" s="55" t="str">
        <f t="shared" si="34"/>
        <v/>
      </c>
      <c r="AS41" s="55" t="str">
        <f t="shared" si="34"/>
        <v/>
      </c>
      <c r="AT41" s="55" t="str">
        <f t="shared" si="34"/>
        <v/>
      </c>
      <c r="AU41" s="55" t="str">
        <f t="shared" si="34"/>
        <v/>
      </c>
      <c r="AV41" s="55" t="str">
        <f t="shared" si="34"/>
        <v/>
      </c>
      <c r="AW41" s="55" t="str">
        <f t="shared" si="34"/>
        <v/>
      </c>
      <c r="AX41" s="55" t="str">
        <f t="shared" si="34"/>
        <v/>
      </c>
      <c r="AY41" s="55" t="str">
        <f t="shared" si="34"/>
        <v/>
      </c>
      <c r="AZ41" s="55" t="str">
        <f t="shared" si="34"/>
        <v/>
      </c>
      <c r="BA41" s="55" t="str">
        <f t="shared" si="34"/>
        <v/>
      </c>
      <c r="BB41" s="55" t="str">
        <f t="shared" si="34"/>
        <v/>
      </c>
      <c r="BC41" s="55" t="str">
        <f t="shared" si="34"/>
        <v/>
      </c>
      <c r="BD41" s="55" t="str">
        <f t="shared" ref="BD41" si="41">IF($B41=BD$12,$U41,"")</f>
        <v/>
      </c>
      <c r="BE41" s="55" t="str">
        <f t="shared" si="38"/>
        <v/>
      </c>
      <c r="BF41" s="55" t="str">
        <f t="shared" si="38"/>
        <v/>
      </c>
      <c r="BG41" s="55" t="str">
        <f t="shared" si="38"/>
        <v/>
      </c>
      <c r="BH41" s="55" t="str">
        <f t="shared" si="38"/>
        <v/>
      </c>
      <c r="BI41" s="55" t="str">
        <f t="shared" si="38"/>
        <v/>
      </c>
      <c r="BJ41" s="55" t="str">
        <f t="shared" si="38"/>
        <v/>
      </c>
      <c r="BK41" s="55" t="str">
        <f t="shared" si="38"/>
        <v/>
      </c>
      <c r="BL41" s="55" t="str">
        <f t="shared" si="38"/>
        <v/>
      </c>
      <c r="BM41" s="55" t="str">
        <f t="shared" si="38"/>
        <v/>
      </c>
      <c r="BN41" s="55" t="str">
        <f t="shared" si="38"/>
        <v/>
      </c>
      <c r="BO41" s="55" t="str">
        <f t="shared" si="38"/>
        <v/>
      </c>
      <c r="BP41" s="55" t="str">
        <f t="shared" si="38"/>
        <v/>
      </c>
      <c r="BQ41" s="55" t="str">
        <f t="shared" si="38"/>
        <v/>
      </c>
      <c r="BR41" s="55" t="str">
        <f t="shared" si="38"/>
        <v/>
      </c>
      <c r="BS41" s="55" t="str">
        <f t="shared" si="38"/>
        <v/>
      </c>
      <c r="BT41" s="55" t="str">
        <f t="shared" si="38"/>
        <v/>
      </c>
      <c r="BU41" s="55" t="str">
        <f t="shared" si="38"/>
        <v/>
      </c>
      <c r="BV41" s="55" t="str">
        <f t="shared" si="38"/>
        <v/>
      </c>
      <c r="BW41" s="55" t="str">
        <f t="shared" si="38"/>
        <v/>
      </c>
      <c r="BX41" s="55" t="str">
        <f t="shared" si="38"/>
        <v/>
      </c>
      <c r="BY41" s="55" t="str">
        <f t="shared" si="38"/>
        <v/>
      </c>
      <c r="BZ41" s="55" t="str">
        <f t="shared" si="38"/>
        <v/>
      </c>
      <c r="CA41" s="55" t="str">
        <f t="shared" si="38"/>
        <v/>
      </c>
      <c r="CB41" s="55" t="str">
        <f t="shared" si="38"/>
        <v/>
      </c>
      <c r="CC41" s="55" t="str">
        <f t="shared" si="38"/>
        <v/>
      </c>
      <c r="CD41" s="55" t="str">
        <f t="shared" si="38"/>
        <v/>
      </c>
      <c r="CE41" s="55" t="str">
        <f t="shared" si="38"/>
        <v/>
      </c>
      <c r="CF41" s="55" t="str">
        <f t="shared" si="38"/>
        <v/>
      </c>
      <c r="CG41" s="55" t="str">
        <f t="shared" si="38"/>
        <v/>
      </c>
      <c r="CH41" s="55" t="str">
        <f t="shared" si="38"/>
        <v/>
      </c>
      <c r="CI41" s="55" t="str">
        <f t="shared" si="38"/>
        <v/>
      </c>
      <c r="CJ41" s="55" t="str">
        <f t="shared" si="31"/>
        <v/>
      </c>
      <c r="CK41" s="55" t="str">
        <f t="shared" si="31"/>
        <v/>
      </c>
      <c r="CL41" s="55" t="str">
        <f t="shared" si="31"/>
        <v/>
      </c>
      <c r="CM41" s="55" t="str">
        <f t="shared" si="31"/>
        <v/>
      </c>
      <c r="CN41" s="55" t="str">
        <f t="shared" si="31"/>
        <v/>
      </c>
      <c r="CO41" s="55" t="str">
        <f t="shared" si="31"/>
        <v/>
      </c>
      <c r="CP41" s="55" t="str">
        <f t="shared" si="31"/>
        <v/>
      </c>
      <c r="CQ41" s="55" t="str">
        <f t="shared" si="31"/>
        <v/>
      </c>
      <c r="CR41" s="55" t="str">
        <f t="shared" si="31"/>
        <v/>
      </c>
      <c r="CS41" s="55" t="str">
        <f t="shared" si="31"/>
        <v/>
      </c>
      <c r="CT41" s="55" t="str">
        <f t="shared" si="31"/>
        <v/>
      </c>
      <c r="CU41" s="55" t="str">
        <f t="shared" si="31"/>
        <v/>
      </c>
      <c r="CV41" s="55" t="str">
        <f t="shared" si="31"/>
        <v/>
      </c>
      <c r="CW41" s="55" t="str">
        <f t="shared" si="31"/>
        <v/>
      </c>
      <c r="CX41" s="55" t="str">
        <f t="shared" si="31"/>
        <v/>
      </c>
      <c r="CY41" s="55" t="str">
        <f t="shared" si="28"/>
        <v/>
      </c>
      <c r="CZ41" s="55" t="str">
        <f t="shared" si="28"/>
        <v/>
      </c>
      <c r="DA41" s="55" t="str">
        <f t="shared" si="28"/>
        <v/>
      </c>
      <c r="DB41" s="55" t="str">
        <f t="shared" si="28"/>
        <v/>
      </c>
      <c r="DC41" s="55" t="str">
        <f t="shared" si="28"/>
        <v/>
      </c>
      <c r="DD41" s="55" t="str">
        <f t="shared" si="28"/>
        <v/>
      </c>
      <c r="DE41" s="55" t="str">
        <f t="shared" si="28"/>
        <v/>
      </c>
      <c r="DF41" s="55" t="str">
        <f t="shared" si="28"/>
        <v/>
      </c>
      <c r="DG41" s="55" t="str">
        <f t="shared" si="28"/>
        <v/>
      </c>
      <c r="DH41" s="55" t="str">
        <f t="shared" si="28"/>
        <v/>
      </c>
      <c r="DI41" s="55" t="str">
        <f t="shared" si="28"/>
        <v/>
      </c>
      <c r="DJ41" s="55" t="str">
        <f t="shared" si="28"/>
        <v/>
      </c>
      <c r="DK41" s="55" t="str">
        <f t="shared" si="28"/>
        <v/>
      </c>
      <c r="DL41" s="55" t="str">
        <f t="shared" si="28"/>
        <v/>
      </c>
      <c r="DM41" s="55" t="str">
        <f t="shared" si="28"/>
        <v/>
      </c>
      <c r="DN41" s="55" t="str">
        <f t="shared" si="28"/>
        <v/>
      </c>
      <c r="DO41" s="55" t="str">
        <f t="shared" si="40"/>
        <v/>
      </c>
      <c r="DP41" s="55" t="str">
        <f t="shared" si="40"/>
        <v/>
      </c>
      <c r="DQ41" s="55" t="str">
        <f t="shared" si="40"/>
        <v/>
      </c>
      <c r="DR41" s="55" t="str">
        <f t="shared" si="40"/>
        <v/>
      </c>
      <c r="DS41" s="55" t="str">
        <f t="shared" si="40"/>
        <v/>
      </c>
      <c r="DT41" s="110" t="str">
        <f t="shared" si="40"/>
        <v/>
      </c>
      <c r="DU41" s="54"/>
      <c r="DV41" s="25"/>
      <c r="DW41" s="61" t="str">
        <f t="shared" si="35"/>
        <v/>
      </c>
      <c r="DX41" s="50" t="str">
        <f t="shared" si="35"/>
        <v/>
      </c>
      <c r="DY41" s="50" t="str">
        <f t="shared" si="35"/>
        <v/>
      </c>
      <c r="DZ41" s="50" t="str">
        <f t="shared" si="35"/>
        <v/>
      </c>
      <c r="EA41" s="50" t="str">
        <f t="shared" si="35"/>
        <v/>
      </c>
      <c r="EB41" s="50" t="str">
        <f t="shared" si="35"/>
        <v/>
      </c>
      <c r="EC41" s="50" t="str">
        <f t="shared" si="35"/>
        <v/>
      </c>
      <c r="ED41" s="50" t="str">
        <f t="shared" si="35"/>
        <v/>
      </c>
      <c r="EE41" s="50" t="str">
        <f t="shared" si="35"/>
        <v/>
      </c>
      <c r="EF41" s="50" t="str">
        <f t="shared" si="35"/>
        <v/>
      </c>
      <c r="EG41" s="50" t="str">
        <f t="shared" si="35"/>
        <v/>
      </c>
      <c r="EH41" s="50" t="str">
        <f t="shared" si="35"/>
        <v/>
      </c>
      <c r="EI41" s="50" t="str">
        <f t="shared" si="35"/>
        <v/>
      </c>
      <c r="EJ41" s="50" t="str">
        <f t="shared" si="35"/>
        <v/>
      </c>
      <c r="EK41" s="50" t="str">
        <f t="shared" si="35"/>
        <v/>
      </c>
      <c r="EL41" s="50" t="str">
        <f t="shared" si="35"/>
        <v/>
      </c>
      <c r="EM41" s="50" t="str">
        <f t="shared" si="35"/>
        <v/>
      </c>
      <c r="EN41" s="50" t="str">
        <f t="shared" si="35"/>
        <v/>
      </c>
      <c r="EO41" s="50" t="str">
        <f t="shared" si="35"/>
        <v/>
      </c>
      <c r="EP41" s="50" t="str">
        <f t="shared" si="35"/>
        <v/>
      </c>
      <c r="EQ41" s="50" t="str">
        <f t="shared" si="35"/>
        <v/>
      </c>
      <c r="ER41" s="50" t="str">
        <f t="shared" si="35"/>
        <v/>
      </c>
      <c r="ES41" s="50" t="str">
        <f t="shared" si="35"/>
        <v/>
      </c>
      <c r="ET41" s="50" t="str">
        <f t="shared" si="35"/>
        <v/>
      </c>
      <c r="EU41" s="50" t="str">
        <f t="shared" si="35"/>
        <v/>
      </c>
      <c r="EV41" s="50" t="str">
        <f t="shared" si="35"/>
        <v/>
      </c>
      <c r="EW41" s="50" t="str">
        <f t="shared" si="35"/>
        <v/>
      </c>
      <c r="EX41" s="50" t="str">
        <f t="shared" si="35"/>
        <v/>
      </c>
      <c r="EY41" s="50" t="str">
        <f t="shared" si="35"/>
        <v/>
      </c>
      <c r="EZ41" s="50" t="str">
        <f t="shared" si="35"/>
        <v/>
      </c>
      <c r="FA41" s="50" t="str">
        <f t="shared" si="35"/>
        <v/>
      </c>
      <c r="FB41" s="50" t="str">
        <f t="shared" ref="FB41" si="42">IF($B41=FB$12,$O41,"")</f>
        <v/>
      </c>
      <c r="FC41" s="50" t="str">
        <f t="shared" si="39"/>
        <v/>
      </c>
      <c r="FD41" s="50" t="str">
        <f t="shared" si="39"/>
        <v/>
      </c>
      <c r="FE41" s="50" t="str">
        <f t="shared" si="39"/>
        <v/>
      </c>
      <c r="FF41" s="50" t="str">
        <f t="shared" si="39"/>
        <v/>
      </c>
      <c r="FG41" s="50" t="str">
        <f t="shared" si="39"/>
        <v/>
      </c>
      <c r="FH41" s="50" t="str">
        <f t="shared" si="39"/>
        <v/>
      </c>
      <c r="FI41" s="50" t="str">
        <f t="shared" si="39"/>
        <v/>
      </c>
      <c r="FJ41" s="50" t="str">
        <f t="shared" si="39"/>
        <v/>
      </c>
      <c r="FK41" s="50" t="str">
        <f t="shared" si="39"/>
        <v/>
      </c>
      <c r="FL41" s="50" t="str">
        <f t="shared" si="39"/>
        <v/>
      </c>
      <c r="FM41" s="50" t="str">
        <f t="shared" si="39"/>
        <v/>
      </c>
      <c r="FN41" s="50" t="str">
        <f t="shared" si="39"/>
        <v/>
      </c>
      <c r="FO41" s="50" t="str">
        <f t="shared" si="39"/>
        <v/>
      </c>
      <c r="FP41" s="50" t="str">
        <f t="shared" si="39"/>
        <v/>
      </c>
      <c r="FQ41" s="50" t="str">
        <f t="shared" si="39"/>
        <v/>
      </c>
      <c r="FR41" s="50" t="str">
        <f t="shared" si="39"/>
        <v/>
      </c>
      <c r="FS41" s="50" t="str">
        <f t="shared" si="39"/>
        <v/>
      </c>
      <c r="FT41" s="50" t="str">
        <f t="shared" si="39"/>
        <v/>
      </c>
      <c r="FU41" s="50" t="str">
        <f t="shared" si="39"/>
        <v/>
      </c>
      <c r="FV41" s="50" t="str">
        <f t="shared" si="39"/>
        <v/>
      </c>
      <c r="FW41" s="50" t="str">
        <f t="shared" si="39"/>
        <v/>
      </c>
      <c r="FX41" s="50" t="str">
        <f t="shared" si="39"/>
        <v/>
      </c>
      <c r="FY41" s="50" t="str">
        <f t="shared" si="39"/>
        <v/>
      </c>
      <c r="FZ41" s="50" t="str">
        <f t="shared" si="39"/>
        <v/>
      </c>
      <c r="GA41" s="50" t="str">
        <f t="shared" si="39"/>
        <v/>
      </c>
      <c r="GB41" s="50" t="str">
        <f t="shared" si="39"/>
        <v/>
      </c>
      <c r="GC41" s="50" t="str">
        <f t="shared" si="39"/>
        <v/>
      </c>
      <c r="GD41" s="50" t="str">
        <f t="shared" si="39"/>
        <v/>
      </c>
      <c r="GE41" s="50" t="str">
        <f t="shared" si="39"/>
        <v/>
      </c>
      <c r="GF41" s="50" t="str">
        <f t="shared" si="39"/>
        <v/>
      </c>
      <c r="GG41" s="50" t="str">
        <f t="shared" si="39"/>
        <v/>
      </c>
      <c r="GH41" s="50" t="str">
        <f t="shared" si="33"/>
        <v/>
      </c>
      <c r="GI41" s="50" t="str">
        <f t="shared" si="33"/>
        <v/>
      </c>
      <c r="GJ41" s="50" t="str">
        <f t="shared" si="33"/>
        <v/>
      </c>
      <c r="GK41" s="50" t="str">
        <f t="shared" si="33"/>
        <v/>
      </c>
      <c r="GL41" s="50" t="str">
        <f t="shared" si="33"/>
        <v/>
      </c>
      <c r="GM41" s="50" t="str">
        <f t="shared" si="33"/>
        <v/>
      </c>
      <c r="GN41" s="50" t="str">
        <f t="shared" si="33"/>
        <v/>
      </c>
      <c r="GO41" s="50" t="str">
        <f t="shared" si="33"/>
        <v/>
      </c>
      <c r="GP41" s="50" t="str">
        <f t="shared" si="33"/>
        <v/>
      </c>
      <c r="GQ41" s="50" t="str">
        <f t="shared" si="33"/>
        <v/>
      </c>
      <c r="GR41" s="50" t="str">
        <f t="shared" si="33"/>
        <v/>
      </c>
      <c r="GS41" s="50" t="str">
        <f t="shared" si="33"/>
        <v/>
      </c>
      <c r="GT41" s="50" t="str">
        <f t="shared" si="33"/>
        <v/>
      </c>
      <c r="GU41" s="50" t="str">
        <f t="shared" si="33"/>
        <v/>
      </c>
      <c r="GV41" s="50" t="str">
        <f t="shared" si="33"/>
        <v/>
      </c>
      <c r="GW41" s="50" t="str">
        <f t="shared" si="29"/>
        <v/>
      </c>
      <c r="GX41" s="50" t="str">
        <f t="shared" si="29"/>
        <v/>
      </c>
      <c r="GY41" s="50" t="str">
        <f t="shared" si="29"/>
        <v/>
      </c>
      <c r="GZ41" s="50" t="str">
        <f t="shared" si="29"/>
        <v/>
      </c>
      <c r="HA41" s="50" t="str">
        <f t="shared" si="29"/>
        <v/>
      </c>
      <c r="HB41" s="50" t="str">
        <f t="shared" si="29"/>
        <v/>
      </c>
      <c r="HC41" s="50" t="str">
        <f t="shared" si="29"/>
        <v/>
      </c>
      <c r="HD41" s="50" t="str">
        <f t="shared" si="29"/>
        <v/>
      </c>
      <c r="HE41" s="50" t="str">
        <f t="shared" si="29"/>
        <v/>
      </c>
      <c r="HF41" s="50" t="str">
        <f t="shared" si="29"/>
        <v/>
      </c>
      <c r="HG41" s="50" t="str">
        <f t="shared" si="29"/>
        <v/>
      </c>
      <c r="HH41" s="50" t="str">
        <f t="shared" si="29"/>
        <v/>
      </c>
      <c r="HI41" s="50" t="str">
        <f t="shared" si="29"/>
        <v/>
      </c>
      <c r="HJ41" s="50" t="str">
        <f t="shared" si="29"/>
        <v/>
      </c>
      <c r="HK41" s="50" t="str">
        <f t="shared" si="29"/>
        <v/>
      </c>
      <c r="HL41" s="50" t="str">
        <f t="shared" si="29"/>
        <v/>
      </c>
      <c r="HM41" s="50" t="str">
        <f t="shared" si="22"/>
        <v/>
      </c>
      <c r="HN41" s="50" t="str">
        <f t="shared" si="23"/>
        <v/>
      </c>
      <c r="HO41" s="50" t="str">
        <f t="shared" si="23"/>
        <v/>
      </c>
      <c r="HP41" s="50" t="str">
        <f t="shared" si="23"/>
        <v/>
      </c>
      <c r="HQ41" s="50" t="str">
        <f t="shared" si="23"/>
        <v/>
      </c>
      <c r="HR41" s="116" t="str">
        <f t="shared" si="23"/>
        <v/>
      </c>
    </row>
    <row r="42" spans="1:226" ht="11.15" customHeight="1" x14ac:dyDescent="0.25">
      <c r="A42" s="26" t="s">
        <v>45</v>
      </c>
      <c r="B42" s="27">
        <v>2</v>
      </c>
      <c r="C42" s="28" t="str">
        <f>IF(A42=0,"",VLOOKUP(A42,[3]CO!$A$3:$F$5327,2,0))</f>
        <v>Colado de losa esp. 20 cms rev. premezclada</v>
      </c>
      <c r="D42" s="29"/>
      <c r="E42" s="29"/>
      <c r="F42" s="29"/>
      <c r="G42" s="30" t="str">
        <f>IF(A42=0,"",VLOOKUP(A42,[3]CO!$A$3:$F$5327,3,0))</f>
        <v>M2</v>
      </c>
      <c r="H42" s="29"/>
      <c r="I42" s="31">
        <v>4.05</v>
      </c>
      <c r="J42" s="31">
        <v>2.2000000000000002</v>
      </c>
      <c r="K42" s="31"/>
      <c r="L42" s="31">
        <v>1</v>
      </c>
      <c r="M42" s="32">
        <f t="shared" si="4"/>
        <v>8.91</v>
      </c>
      <c r="N42" s="32">
        <f>IF(B42=0,"",IF(H42="M",HLOOKUP(B42,$Y$12:$DT$13,2),IF(A42=0,"",VLOOKUP(A42,[3]CO!$A$3:$F$5327,4,0))))</f>
        <v>55.28011764705883</v>
      </c>
      <c r="O42" s="32">
        <f t="shared" si="11"/>
        <v>492.54584823529416</v>
      </c>
      <c r="P42" s="33"/>
      <c r="Q42" s="34" t="str">
        <f t="shared" si="5"/>
        <v/>
      </c>
      <c r="R42" s="35" t="str">
        <f t="shared" si="6"/>
        <v/>
      </c>
      <c r="S42" s="122"/>
      <c r="T42" s="53">
        <f>IF(A42=0,"",VLOOKUP(A42,[3]CO!$A$3:$F$5318,5,0))</f>
        <v>0</v>
      </c>
      <c r="U42" s="54">
        <f t="shared" si="12"/>
        <v>0</v>
      </c>
      <c r="V42" s="24"/>
      <c r="W42" s="25"/>
      <c r="X42" s="25"/>
      <c r="Y42" s="64" t="str">
        <f t="shared" ref="Y42:BD49" si="43">IF($B42=Y$12,$U42,"")</f>
        <v/>
      </c>
      <c r="Z42" s="55">
        <f t="shared" si="43"/>
        <v>0</v>
      </c>
      <c r="AA42" s="55" t="str">
        <f t="shared" si="43"/>
        <v/>
      </c>
      <c r="AB42" s="55" t="str">
        <f t="shared" si="43"/>
        <v/>
      </c>
      <c r="AC42" s="55" t="str">
        <f t="shared" si="43"/>
        <v/>
      </c>
      <c r="AD42" s="55" t="str">
        <f t="shared" si="43"/>
        <v/>
      </c>
      <c r="AE42" s="55" t="str">
        <f t="shared" si="43"/>
        <v/>
      </c>
      <c r="AF42" s="55" t="str">
        <f t="shared" si="43"/>
        <v/>
      </c>
      <c r="AG42" s="55" t="str">
        <f t="shared" si="43"/>
        <v/>
      </c>
      <c r="AH42" s="55" t="str">
        <f t="shared" si="43"/>
        <v/>
      </c>
      <c r="AI42" s="55" t="str">
        <f t="shared" si="43"/>
        <v/>
      </c>
      <c r="AJ42" s="55" t="str">
        <f t="shared" si="43"/>
        <v/>
      </c>
      <c r="AK42" s="55" t="str">
        <f t="shared" si="43"/>
        <v/>
      </c>
      <c r="AL42" s="55" t="str">
        <f t="shared" si="43"/>
        <v/>
      </c>
      <c r="AM42" s="55" t="str">
        <f t="shared" si="43"/>
        <v/>
      </c>
      <c r="AN42" s="55" t="str">
        <f t="shared" si="43"/>
        <v/>
      </c>
      <c r="AO42" s="55" t="str">
        <f t="shared" si="43"/>
        <v/>
      </c>
      <c r="AP42" s="55" t="str">
        <f t="shared" si="43"/>
        <v/>
      </c>
      <c r="AQ42" s="55" t="str">
        <f t="shared" si="43"/>
        <v/>
      </c>
      <c r="AR42" s="55" t="str">
        <f t="shared" si="43"/>
        <v/>
      </c>
      <c r="AS42" s="55" t="str">
        <f t="shared" si="43"/>
        <v/>
      </c>
      <c r="AT42" s="55" t="str">
        <f t="shared" si="43"/>
        <v/>
      </c>
      <c r="AU42" s="55" t="str">
        <f t="shared" si="43"/>
        <v/>
      </c>
      <c r="AV42" s="55" t="str">
        <f t="shared" si="43"/>
        <v/>
      </c>
      <c r="AW42" s="55" t="str">
        <f t="shared" si="43"/>
        <v/>
      </c>
      <c r="AX42" s="55" t="str">
        <f t="shared" si="43"/>
        <v/>
      </c>
      <c r="AY42" s="55" t="str">
        <f t="shared" si="43"/>
        <v/>
      </c>
      <c r="AZ42" s="55" t="str">
        <f t="shared" si="43"/>
        <v/>
      </c>
      <c r="BA42" s="55" t="str">
        <f t="shared" si="43"/>
        <v/>
      </c>
      <c r="BB42" s="55" t="str">
        <f t="shared" si="43"/>
        <v/>
      </c>
      <c r="BC42" s="55" t="str">
        <f t="shared" si="43"/>
        <v/>
      </c>
      <c r="BD42" s="55" t="str">
        <f t="shared" si="43"/>
        <v/>
      </c>
      <c r="BE42" s="55" t="str">
        <f t="shared" si="38"/>
        <v/>
      </c>
      <c r="BF42" s="55" t="str">
        <f t="shared" si="38"/>
        <v/>
      </c>
      <c r="BG42" s="55" t="str">
        <f t="shared" si="38"/>
        <v/>
      </c>
      <c r="BH42" s="55" t="str">
        <f t="shared" si="38"/>
        <v/>
      </c>
      <c r="BI42" s="55" t="str">
        <f t="shared" si="38"/>
        <v/>
      </c>
      <c r="BJ42" s="55" t="str">
        <f t="shared" si="38"/>
        <v/>
      </c>
      <c r="BK42" s="55" t="str">
        <f t="shared" si="38"/>
        <v/>
      </c>
      <c r="BL42" s="55" t="str">
        <f t="shared" si="38"/>
        <v/>
      </c>
      <c r="BM42" s="55" t="str">
        <f t="shared" si="38"/>
        <v/>
      </c>
      <c r="BN42" s="55" t="str">
        <f t="shared" si="38"/>
        <v/>
      </c>
      <c r="BO42" s="55" t="str">
        <f t="shared" si="38"/>
        <v/>
      </c>
      <c r="BP42" s="55" t="str">
        <f t="shared" si="38"/>
        <v/>
      </c>
      <c r="BQ42" s="55" t="str">
        <f t="shared" si="38"/>
        <v/>
      </c>
      <c r="BR42" s="55" t="str">
        <f t="shared" si="38"/>
        <v/>
      </c>
      <c r="BS42" s="55" t="str">
        <f t="shared" si="38"/>
        <v/>
      </c>
      <c r="BT42" s="55" t="str">
        <f t="shared" si="38"/>
        <v/>
      </c>
      <c r="BU42" s="55" t="str">
        <f t="shared" si="38"/>
        <v/>
      </c>
      <c r="BV42" s="55" t="str">
        <f t="shared" si="38"/>
        <v/>
      </c>
      <c r="BW42" s="55" t="str">
        <f t="shared" si="38"/>
        <v/>
      </c>
      <c r="BX42" s="55" t="str">
        <f t="shared" si="38"/>
        <v/>
      </c>
      <c r="BY42" s="55" t="str">
        <f t="shared" si="38"/>
        <v/>
      </c>
      <c r="BZ42" s="55" t="str">
        <f t="shared" si="38"/>
        <v/>
      </c>
      <c r="CA42" s="55" t="str">
        <f t="shared" si="38"/>
        <v/>
      </c>
      <c r="CB42" s="55" t="str">
        <f t="shared" si="38"/>
        <v/>
      </c>
      <c r="CC42" s="55" t="str">
        <f t="shared" si="38"/>
        <v/>
      </c>
      <c r="CD42" s="55" t="str">
        <f t="shared" si="38"/>
        <v/>
      </c>
      <c r="CE42" s="55" t="str">
        <f t="shared" si="38"/>
        <v/>
      </c>
      <c r="CF42" s="55" t="str">
        <f t="shared" si="38"/>
        <v/>
      </c>
      <c r="CG42" s="55" t="str">
        <f t="shared" si="38"/>
        <v/>
      </c>
      <c r="CH42" s="55" t="str">
        <f t="shared" si="38"/>
        <v/>
      </c>
      <c r="CI42" s="55" t="str">
        <f t="shared" si="38"/>
        <v/>
      </c>
      <c r="CJ42" s="55" t="str">
        <f t="shared" si="31"/>
        <v/>
      </c>
      <c r="CK42" s="55" t="str">
        <f t="shared" si="31"/>
        <v/>
      </c>
      <c r="CL42" s="55" t="str">
        <f t="shared" si="31"/>
        <v/>
      </c>
      <c r="CM42" s="55" t="str">
        <f t="shared" si="31"/>
        <v/>
      </c>
      <c r="CN42" s="55" t="str">
        <f t="shared" si="31"/>
        <v/>
      </c>
      <c r="CO42" s="55" t="str">
        <f t="shared" si="31"/>
        <v/>
      </c>
      <c r="CP42" s="55" t="str">
        <f t="shared" si="31"/>
        <v/>
      </c>
      <c r="CQ42" s="55" t="str">
        <f t="shared" si="31"/>
        <v/>
      </c>
      <c r="CR42" s="55" t="str">
        <f t="shared" si="31"/>
        <v/>
      </c>
      <c r="CS42" s="55" t="str">
        <f t="shared" si="31"/>
        <v/>
      </c>
      <c r="CT42" s="55" t="str">
        <f t="shared" si="31"/>
        <v/>
      </c>
      <c r="CU42" s="55" t="str">
        <f t="shared" si="31"/>
        <v/>
      </c>
      <c r="CV42" s="55" t="str">
        <f t="shared" si="31"/>
        <v/>
      </c>
      <c r="CW42" s="55" t="str">
        <f t="shared" si="31"/>
        <v/>
      </c>
      <c r="CX42" s="55" t="str">
        <f t="shared" si="31"/>
        <v/>
      </c>
      <c r="CY42" s="55" t="str">
        <f t="shared" si="28"/>
        <v/>
      </c>
      <c r="CZ42" s="55" t="str">
        <f t="shared" si="28"/>
        <v/>
      </c>
      <c r="DA42" s="55" t="str">
        <f t="shared" si="28"/>
        <v/>
      </c>
      <c r="DB42" s="55" t="str">
        <f t="shared" si="28"/>
        <v/>
      </c>
      <c r="DC42" s="55" t="str">
        <f t="shared" si="28"/>
        <v/>
      </c>
      <c r="DD42" s="55" t="str">
        <f t="shared" si="28"/>
        <v/>
      </c>
      <c r="DE42" s="55" t="str">
        <f t="shared" si="28"/>
        <v/>
      </c>
      <c r="DF42" s="55" t="str">
        <f t="shared" si="28"/>
        <v/>
      </c>
      <c r="DG42" s="55" t="str">
        <f t="shared" si="28"/>
        <v/>
      </c>
      <c r="DH42" s="55" t="str">
        <f t="shared" si="28"/>
        <v/>
      </c>
      <c r="DI42" s="55" t="str">
        <f t="shared" si="28"/>
        <v/>
      </c>
      <c r="DJ42" s="55" t="str">
        <f t="shared" si="28"/>
        <v/>
      </c>
      <c r="DK42" s="55" t="str">
        <f t="shared" si="28"/>
        <v/>
      </c>
      <c r="DL42" s="55" t="str">
        <f t="shared" si="28"/>
        <v/>
      </c>
      <c r="DM42" s="55" t="str">
        <f t="shared" si="28"/>
        <v/>
      </c>
      <c r="DN42" s="55" t="str">
        <f t="shared" si="28"/>
        <v/>
      </c>
      <c r="DO42" s="55" t="str">
        <f t="shared" si="40"/>
        <v/>
      </c>
      <c r="DP42" s="55" t="str">
        <f t="shared" si="40"/>
        <v/>
      </c>
      <c r="DQ42" s="55" t="str">
        <f t="shared" si="40"/>
        <v/>
      </c>
      <c r="DR42" s="55" t="str">
        <f t="shared" si="40"/>
        <v/>
      </c>
      <c r="DS42" s="55" t="str">
        <f t="shared" si="40"/>
        <v/>
      </c>
      <c r="DT42" s="110" t="str">
        <f t="shared" si="40"/>
        <v/>
      </c>
      <c r="DU42" s="54"/>
      <c r="DV42" s="25"/>
      <c r="DW42" s="61" t="str">
        <f t="shared" ref="DW42:FB49" si="44">IF($B42=DW$12,$O42,"")</f>
        <v/>
      </c>
      <c r="DX42" s="50">
        <f t="shared" si="44"/>
        <v>492.54584823529416</v>
      </c>
      <c r="DY42" s="50" t="str">
        <f t="shared" si="44"/>
        <v/>
      </c>
      <c r="DZ42" s="50" t="str">
        <f t="shared" si="44"/>
        <v/>
      </c>
      <c r="EA42" s="50" t="str">
        <f t="shared" si="44"/>
        <v/>
      </c>
      <c r="EB42" s="50" t="str">
        <f t="shared" si="44"/>
        <v/>
      </c>
      <c r="EC42" s="50" t="str">
        <f t="shared" si="44"/>
        <v/>
      </c>
      <c r="ED42" s="50" t="str">
        <f t="shared" si="44"/>
        <v/>
      </c>
      <c r="EE42" s="50" t="str">
        <f t="shared" si="44"/>
        <v/>
      </c>
      <c r="EF42" s="50" t="str">
        <f t="shared" si="44"/>
        <v/>
      </c>
      <c r="EG42" s="50" t="str">
        <f t="shared" si="44"/>
        <v/>
      </c>
      <c r="EH42" s="50" t="str">
        <f t="shared" si="44"/>
        <v/>
      </c>
      <c r="EI42" s="50" t="str">
        <f t="shared" si="44"/>
        <v/>
      </c>
      <c r="EJ42" s="50" t="str">
        <f t="shared" si="44"/>
        <v/>
      </c>
      <c r="EK42" s="50" t="str">
        <f t="shared" si="44"/>
        <v/>
      </c>
      <c r="EL42" s="50" t="str">
        <f t="shared" si="44"/>
        <v/>
      </c>
      <c r="EM42" s="50" t="str">
        <f t="shared" si="44"/>
        <v/>
      </c>
      <c r="EN42" s="50" t="str">
        <f t="shared" si="44"/>
        <v/>
      </c>
      <c r="EO42" s="50" t="str">
        <f t="shared" si="44"/>
        <v/>
      </c>
      <c r="EP42" s="50" t="str">
        <f t="shared" si="44"/>
        <v/>
      </c>
      <c r="EQ42" s="50" t="str">
        <f t="shared" si="44"/>
        <v/>
      </c>
      <c r="ER42" s="50" t="str">
        <f t="shared" si="44"/>
        <v/>
      </c>
      <c r="ES42" s="50" t="str">
        <f t="shared" si="44"/>
        <v/>
      </c>
      <c r="ET42" s="50" t="str">
        <f t="shared" si="44"/>
        <v/>
      </c>
      <c r="EU42" s="50" t="str">
        <f t="shared" si="44"/>
        <v/>
      </c>
      <c r="EV42" s="50" t="str">
        <f t="shared" si="44"/>
        <v/>
      </c>
      <c r="EW42" s="50" t="str">
        <f t="shared" si="44"/>
        <v/>
      </c>
      <c r="EX42" s="50" t="str">
        <f t="shared" si="44"/>
        <v/>
      </c>
      <c r="EY42" s="50" t="str">
        <f t="shared" si="44"/>
        <v/>
      </c>
      <c r="EZ42" s="50" t="str">
        <f t="shared" si="44"/>
        <v/>
      </c>
      <c r="FA42" s="50" t="str">
        <f t="shared" si="44"/>
        <v/>
      </c>
      <c r="FB42" s="50" t="str">
        <f t="shared" si="44"/>
        <v/>
      </c>
      <c r="FC42" s="50" t="str">
        <f t="shared" si="39"/>
        <v/>
      </c>
      <c r="FD42" s="50" t="str">
        <f t="shared" si="39"/>
        <v/>
      </c>
      <c r="FE42" s="50" t="str">
        <f t="shared" si="39"/>
        <v/>
      </c>
      <c r="FF42" s="50" t="str">
        <f t="shared" si="39"/>
        <v/>
      </c>
      <c r="FG42" s="50" t="str">
        <f t="shared" si="39"/>
        <v/>
      </c>
      <c r="FH42" s="50" t="str">
        <f t="shared" si="39"/>
        <v/>
      </c>
      <c r="FI42" s="50" t="str">
        <f t="shared" si="39"/>
        <v/>
      </c>
      <c r="FJ42" s="50" t="str">
        <f t="shared" si="39"/>
        <v/>
      </c>
      <c r="FK42" s="50" t="str">
        <f t="shared" si="39"/>
        <v/>
      </c>
      <c r="FL42" s="50" t="str">
        <f t="shared" si="39"/>
        <v/>
      </c>
      <c r="FM42" s="50" t="str">
        <f t="shared" si="39"/>
        <v/>
      </c>
      <c r="FN42" s="50" t="str">
        <f t="shared" si="39"/>
        <v/>
      </c>
      <c r="FO42" s="50" t="str">
        <f t="shared" si="39"/>
        <v/>
      </c>
      <c r="FP42" s="50" t="str">
        <f t="shared" si="39"/>
        <v/>
      </c>
      <c r="FQ42" s="50" t="str">
        <f t="shared" si="39"/>
        <v/>
      </c>
      <c r="FR42" s="50" t="str">
        <f t="shared" si="39"/>
        <v/>
      </c>
      <c r="FS42" s="50" t="str">
        <f t="shared" si="39"/>
        <v/>
      </c>
      <c r="FT42" s="50" t="str">
        <f t="shared" si="39"/>
        <v/>
      </c>
      <c r="FU42" s="50" t="str">
        <f t="shared" si="39"/>
        <v/>
      </c>
      <c r="FV42" s="50" t="str">
        <f t="shared" si="39"/>
        <v/>
      </c>
      <c r="FW42" s="50" t="str">
        <f t="shared" si="39"/>
        <v/>
      </c>
      <c r="FX42" s="50" t="str">
        <f t="shared" si="39"/>
        <v/>
      </c>
      <c r="FY42" s="50" t="str">
        <f t="shared" si="39"/>
        <v/>
      </c>
      <c r="FZ42" s="50" t="str">
        <f t="shared" si="39"/>
        <v/>
      </c>
      <c r="GA42" s="50" t="str">
        <f t="shared" si="39"/>
        <v/>
      </c>
      <c r="GB42" s="50" t="str">
        <f t="shared" si="39"/>
        <v/>
      </c>
      <c r="GC42" s="50" t="str">
        <f t="shared" si="39"/>
        <v/>
      </c>
      <c r="GD42" s="50" t="str">
        <f t="shared" si="39"/>
        <v/>
      </c>
      <c r="GE42" s="50" t="str">
        <f t="shared" si="39"/>
        <v/>
      </c>
      <c r="GF42" s="50" t="str">
        <f t="shared" si="39"/>
        <v/>
      </c>
      <c r="GG42" s="50" t="str">
        <f t="shared" si="39"/>
        <v/>
      </c>
      <c r="GH42" s="50" t="str">
        <f t="shared" si="33"/>
        <v/>
      </c>
      <c r="GI42" s="50" t="str">
        <f t="shared" si="33"/>
        <v/>
      </c>
      <c r="GJ42" s="50" t="str">
        <f t="shared" si="33"/>
        <v/>
      </c>
      <c r="GK42" s="50" t="str">
        <f t="shared" si="33"/>
        <v/>
      </c>
      <c r="GL42" s="50" t="str">
        <f t="shared" si="33"/>
        <v/>
      </c>
      <c r="GM42" s="50" t="str">
        <f t="shared" si="33"/>
        <v/>
      </c>
      <c r="GN42" s="50" t="str">
        <f t="shared" si="33"/>
        <v/>
      </c>
      <c r="GO42" s="50" t="str">
        <f t="shared" si="33"/>
        <v/>
      </c>
      <c r="GP42" s="50" t="str">
        <f t="shared" si="33"/>
        <v/>
      </c>
      <c r="GQ42" s="50" t="str">
        <f t="shared" si="33"/>
        <v/>
      </c>
      <c r="GR42" s="50" t="str">
        <f t="shared" si="33"/>
        <v/>
      </c>
      <c r="GS42" s="50" t="str">
        <f t="shared" si="33"/>
        <v/>
      </c>
      <c r="GT42" s="50" t="str">
        <f t="shared" si="33"/>
        <v/>
      </c>
      <c r="GU42" s="50" t="str">
        <f t="shared" si="33"/>
        <v/>
      </c>
      <c r="GV42" s="50" t="str">
        <f t="shared" si="33"/>
        <v/>
      </c>
      <c r="GW42" s="50" t="str">
        <f t="shared" si="29"/>
        <v/>
      </c>
      <c r="GX42" s="50" t="str">
        <f t="shared" si="29"/>
        <v/>
      </c>
      <c r="GY42" s="50" t="str">
        <f t="shared" si="29"/>
        <v/>
      </c>
      <c r="GZ42" s="50" t="str">
        <f t="shared" si="29"/>
        <v/>
      </c>
      <c r="HA42" s="50" t="str">
        <f t="shared" si="29"/>
        <v/>
      </c>
      <c r="HB42" s="50" t="str">
        <f t="shared" si="29"/>
        <v/>
      </c>
      <c r="HC42" s="50" t="str">
        <f t="shared" si="29"/>
        <v/>
      </c>
      <c r="HD42" s="50" t="str">
        <f t="shared" si="29"/>
        <v/>
      </c>
      <c r="HE42" s="50" t="str">
        <f t="shared" si="29"/>
        <v/>
      </c>
      <c r="HF42" s="50" t="str">
        <f t="shared" si="29"/>
        <v/>
      </c>
      <c r="HG42" s="50" t="str">
        <f t="shared" si="29"/>
        <v/>
      </c>
      <c r="HH42" s="50" t="str">
        <f t="shared" si="29"/>
        <v/>
      </c>
      <c r="HI42" s="50" t="str">
        <f t="shared" si="29"/>
        <v/>
      </c>
      <c r="HJ42" s="50" t="str">
        <f t="shared" si="29"/>
        <v/>
      </c>
      <c r="HK42" s="50" t="str">
        <f t="shared" si="29"/>
        <v/>
      </c>
      <c r="HL42" s="50" t="str">
        <f t="shared" si="29"/>
        <v/>
      </c>
      <c r="HM42" s="50" t="str">
        <f t="shared" si="22"/>
        <v/>
      </c>
      <c r="HN42" s="50" t="str">
        <f t="shared" si="23"/>
        <v/>
      </c>
      <c r="HO42" s="50" t="str">
        <f t="shared" si="23"/>
        <v/>
      </c>
      <c r="HP42" s="50" t="str">
        <f t="shared" si="23"/>
        <v/>
      </c>
      <c r="HQ42" s="50" t="str">
        <f t="shared" si="23"/>
        <v/>
      </c>
      <c r="HR42" s="116" t="str">
        <f t="shared" si="23"/>
        <v/>
      </c>
    </row>
    <row r="43" spans="1:226" ht="11.15" customHeight="1" x14ac:dyDescent="0.25">
      <c r="A43" s="26" t="s">
        <v>45</v>
      </c>
      <c r="B43" s="27">
        <v>2</v>
      </c>
      <c r="C43" s="28" t="str">
        <f>IF(A43=0,"",VLOOKUP(A43,[3]CO!$A$3:$F$5327,2,0))</f>
        <v>Colado de losa esp. 20 cms rev. premezclada</v>
      </c>
      <c r="D43" s="29"/>
      <c r="E43" s="29"/>
      <c r="F43" s="29"/>
      <c r="G43" s="30" t="str">
        <f>IF(A43=0,"",VLOOKUP(A43,[3]CO!$A$3:$F$5327,3,0))</f>
        <v>M2</v>
      </c>
      <c r="H43" s="29"/>
      <c r="I43" s="31">
        <v>1.55</v>
      </c>
      <c r="J43" s="31">
        <v>4.05</v>
      </c>
      <c r="K43" s="31"/>
      <c r="L43" s="31">
        <v>1</v>
      </c>
      <c r="M43" s="32">
        <f t="shared" si="4"/>
        <v>6.2774999999999999</v>
      </c>
      <c r="N43" s="32">
        <f>IF(B43=0,"",IF(H43="M",HLOOKUP(B43,$Y$12:$DT$13,2),IF(A43=0,"",VLOOKUP(A43,[3]CO!$A$3:$F$5327,4,0))))</f>
        <v>55.28011764705883</v>
      </c>
      <c r="O43" s="32">
        <f t="shared" si="11"/>
        <v>347.02093852941181</v>
      </c>
      <c r="P43" s="33"/>
      <c r="Q43" s="34" t="str">
        <f t="shared" si="5"/>
        <v/>
      </c>
      <c r="R43" s="35" t="str">
        <f t="shared" si="6"/>
        <v/>
      </c>
      <c r="S43" s="122"/>
      <c r="T43" s="53">
        <f>IF(A43=0,"",VLOOKUP(A43,[3]CO!$A$3:$F$5318,5,0))</f>
        <v>0</v>
      </c>
      <c r="U43" s="54">
        <f t="shared" si="12"/>
        <v>0</v>
      </c>
      <c r="V43" s="24"/>
      <c r="W43" s="25"/>
      <c r="X43" s="25"/>
      <c r="Y43" s="64" t="str">
        <f t="shared" si="43"/>
        <v/>
      </c>
      <c r="Z43" s="55">
        <f t="shared" si="43"/>
        <v>0</v>
      </c>
      <c r="AA43" s="55" t="str">
        <f t="shared" si="43"/>
        <v/>
      </c>
      <c r="AB43" s="55" t="str">
        <f t="shared" si="43"/>
        <v/>
      </c>
      <c r="AC43" s="55" t="str">
        <f t="shared" si="43"/>
        <v/>
      </c>
      <c r="AD43" s="55" t="str">
        <f t="shared" si="43"/>
        <v/>
      </c>
      <c r="AE43" s="55" t="str">
        <f t="shared" si="43"/>
        <v/>
      </c>
      <c r="AF43" s="55" t="str">
        <f t="shared" si="43"/>
        <v/>
      </c>
      <c r="AG43" s="55" t="str">
        <f t="shared" si="43"/>
        <v/>
      </c>
      <c r="AH43" s="55" t="str">
        <f t="shared" si="43"/>
        <v/>
      </c>
      <c r="AI43" s="55" t="str">
        <f t="shared" si="43"/>
        <v/>
      </c>
      <c r="AJ43" s="55" t="str">
        <f t="shared" si="43"/>
        <v/>
      </c>
      <c r="AK43" s="55" t="str">
        <f t="shared" si="43"/>
        <v/>
      </c>
      <c r="AL43" s="55" t="str">
        <f t="shared" si="43"/>
        <v/>
      </c>
      <c r="AM43" s="55" t="str">
        <f t="shared" si="43"/>
        <v/>
      </c>
      <c r="AN43" s="55" t="str">
        <f t="shared" si="43"/>
        <v/>
      </c>
      <c r="AO43" s="55" t="str">
        <f t="shared" si="43"/>
        <v/>
      </c>
      <c r="AP43" s="55" t="str">
        <f t="shared" si="43"/>
        <v/>
      </c>
      <c r="AQ43" s="55" t="str">
        <f t="shared" si="43"/>
        <v/>
      </c>
      <c r="AR43" s="55" t="str">
        <f t="shared" si="43"/>
        <v/>
      </c>
      <c r="AS43" s="55" t="str">
        <f t="shared" si="43"/>
        <v/>
      </c>
      <c r="AT43" s="55" t="str">
        <f t="shared" si="43"/>
        <v/>
      </c>
      <c r="AU43" s="55" t="str">
        <f t="shared" si="43"/>
        <v/>
      </c>
      <c r="AV43" s="55" t="str">
        <f t="shared" si="43"/>
        <v/>
      </c>
      <c r="AW43" s="55" t="str">
        <f t="shared" si="43"/>
        <v/>
      </c>
      <c r="AX43" s="55" t="str">
        <f t="shared" si="43"/>
        <v/>
      </c>
      <c r="AY43" s="55" t="str">
        <f t="shared" si="43"/>
        <v/>
      </c>
      <c r="AZ43" s="55" t="str">
        <f t="shared" si="43"/>
        <v/>
      </c>
      <c r="BA43" s="55" t="str">
        <f t="shared" si="43"/>
        <v/>
      </c>
      <c r="BB43" s="55" t="str">
        <f t="shared" si="43"/>
        <v/>
      </c>
      <c r="BC43" s="55" t="str">
        <f t="shared" si="43"/>
        <v/>
      </c>
      <c r="BD43" s="55" t="str">
        <f t="shared" si="43"/>
        <v/>
      </c>
      <c r="BE43" s="55" t="str">
        <f t="shared" si="38"/>
        <v/>
      </c>
      <c r="BF43" s="55" t="str">
        <f t="shared" si="38"/>
        <v/>
      </c>
      <c r="BG43" s="55" t="str">
        <f t="shared" si="38"/>
        <v/>
      </c>
      <c r="BH43" s="55" t="str">
        <f t="shared" si="38"/>
        <v/>
      </c>
      <c r="BI43" s="55" t="str">
        <f t="shared" si="38"/>
        <v/>
      </c>
      <c r="BJ43" s="55" t="str">
        <f t="shared" si="38"/>
        <v/>
      </c>
      <c r="BK43" s="55" t="str">
        <f t="shared" si="38"/>
        <v/>
      </c>
      <c r="BL43" s="55" t="str">
        <f t="shared" si="38"/>
        <v/>
      </c>
      <c r="BM43" s="55" t="str">
        <f t="shared" si="38"/>
        <v/>
      </c>
      <c r="BN43" s="55" t="str">
        <f t="shared" si="38"/>
        <v/>
      </c>
      <c r="BO43" s="55" t="str">
        <f t="shared" si="38"/>
        <v/>
      </c>
      <c r="BP43" s="55" t="str">
        <f t="shared" si="38"/>
        <v/>
      </c>
      <c r="BQ43" s="55" t="str">
        <f t="shared" si="38"/>
        <v/>
      </c>
      <c r="BR43" s="55" t="str">
        <f t="shared" si="38"/>
        <v/>
      </c>
      <c r="BS43" s="55" t="str">
        <f t="shared" si="38"/>
        <v/>
      </c>
      <c r="BT43" s="55" t="str">
        <f t="shared" si="38"/>
        <v/>
      </c>
      <c r="BU43" s="55" t="str">
        <f t="shared" si="38"/>
        <v/>
      </c>
      <c r="BV43" s="55" t="str">
        <f t="shared" si="38"/>
        <v/>
      </c>
      <c r="BW43" s="55" t="str">
        <f t="shared" si="38"/>
        <v/>
      </c>
      <c r="BX43" s="55" t="str">
        <f t="shared" si="38"/>
        <v/>
      </c>
      <c r="BY43" s="55" t="str">
        <f t="shared" si="38"/>
        <v/>
      </c>
      <c r="BZ43" s="55" t="str">
        <f t="shared" si="38"/>
        <v/>
      </c>
      <c r="CA43" s="55" t="str">
        <f t="shared" si="38"/>
        <v/>
      </c>
      <c r="CB43" s="55" t="str">
        <f t="shared" si="38"/>
        <v/>
      </c>
      <c r="CC43" s="55" t="str">
        <f t="shared" si="38"/>
        <v/>
      </c>
      <c r="CD43" s="55" t="str">
        <f t="shared" si="38"/>
        <v/>
      </c>
      <c r="CE43" s="55" t="str">
        <f t="shared" si="38"/>
        <v/>
      </c>
      <c r="CF43" s="55" t="str">
        <f t="shared" si="38"/>
        <v/>
      </c>
      <c r="CG43" s="55" t="str">
        <f t="shared" si="38"/>
        <v/>
      </c>
      <c r="CH43" s="55" t="str">
        <f t="shared" si="38"/>
        <v/>
      </c>
      <c r="CI43" s="55" t="str">
        <f t="shared" si="38"/>
        <v/>
      </c>
      <c r="CJ43" s="55" t="str">
        <f t="shared" si="31"/>
        <v/>
      </c>
      <c r="CK43" s="55" t="str">
        <f t="shared" si="31"/>
        <v/>
      </c>
      <c r="CL43" s="55" t="str">
        <f t="shared" si="31"/>
        <v/>
      </c>
      <c r="CM43" s="55" t="str">
        <f t="shared" si="31"/>
        <v/>
      </c>
      <c r="CN43" s="55" t="str">
        <f t="shared" si="31"/>
        <v/>
      </c>
      <c r="CO43" s="55" t="str">
        <f t="shared" si="31"/>
        <v/>
      </c>
      <c r="CP43" s="55" t="str">
        <f t="shared" si="31"/>
        <v/>
      </c>
      <c r="CQ43" s="55" t="str">
        <f t="shared" si="31"/>
        <v/>
      </c>
      <c r="CR43" s="55" t="str">
        <f t="shared" si="31"/>
        <v/>
      </c>
      <c r="CS43" s="55" t="str">
        <f t="shared" si="31"/>
        <v/>
      </c>
      <c r="CT43" s="55" t="str">
        <f t="shared" si="31"/>
        <v/>
      </c>
      <c r="CU43" s="55" t="str">
        <f t="shared" si="31"/>
        <v/>
      </c>
      <c r="CV43" s="55" t="str">
        <f t="shared" si="31"/>
        <v/>
      </c>
      <c r="CW43" s="55" t="str">
        <f t="shared" si="31"/>
        <v/>
      </c>
      <c r="CX43" s="55" t="str">
        <f t="shared" si="31"/>
        <v/>
      </c>
      <c r="CY43" s="55" t="str">
        <f t="shared" si="28"/>
        <v/>
      </c>
      <c r="CZ43" s="55" t="str">
        <f t="shared" si="28"/>
        <v/>
      </c>
      <c r="DA43" s="55" t="str">
        <f t="shared" si="28"/>
        <v/>
      </c>
      <c r="DB43" s="55" t="str">
        <f t="shared" si="28"/>
        <v/>
      </c>
      <c r="DC43" s="55" t="str">
        <f t="shared" si="28"/>
        <v/>
      </c>
      <c r="DD43" s="55" t="str">
        <f t="shared" si="28"/>
        <v/>
      </c>
      <c r="DE43" s="55" t="str">
        <f t="shared" si="28"/>
        <v/>
      </c>
      <c r="DF43" s="55" t="str">
        <f t="shared" si="28"/>
        <v/>
      </c>
      <c r="DG43" s="55" t="str">
        <f t="shared" si="28"/>
        <v/>
      </c>
      <c r="DH43" s="55" t="str">
        <f t="shared" si="28"/>
        <v/>
      </c>
      <c r="DI43" s="55" t="str">
        <f t="shared" si="28"/>
        <v/>
      </c>
      <c r="DJ43" s="55" t="str">
        <f t="shared" si="28"/>
        <v/>
      </c>
      <c r="DK43" s="55" t="str">
        <f t="shared" si="28"/>
        <v/>
      </c>
      <c r="DL43" s="55" t="str">
        <f t="shared" si="28"/>
        <v/>
      </c>
      <c r="DM43" s="55" t="str">
        <f t="shared" si="28"/>
        <v/>
      </c>
      <c r="DN43" s="55" t="str">
        <f t="shared" si="28"/>
        <v/>
      </c>
      <c r="DO43" s="55" t="str">
        <f t="shared" si="40"/>
        <v/>
      </c>
      <c r="DP43" s="55" t="str">
        <f t="shared" si="40"/>
        <v/>
      </c>
      <c r="DQ43" s="55" t="str">
        <f t="shared" si="40"/>
        <v/>
      </c>
      <c r="DR43" s="55" t="str">
        <f t="shared" si="40"/>
        <v/>
      </c>
      <c r="DS43" s="55" t="str">
        <f t="shared" si="40"/>
        <v/>
      </c>
      <c r="DT43" s="110" t="str">
        <f t="shared" si="40"/>
        <v/>
      </c>
      <c r="DU43" s="54"/>
      <c r="DV43" s="25"/>
      <c r="DW43" s="61" t="str">
        <f t="shared" si="44"/>
        <v/>
      </c>
      <c r="DX43" s="50">
        <f t="shared" si="44"/>
        <v>347.02093852941181</v>
      </c>
      <c r="DY43" s="50" t="str">
        <f t="shared" si="44"/>
        <v/>
      </c>
      <c r="DZ43" s="50" t="str">
        <f t="shared" si="44"/>
        <v/>
      </c>
      <c r="EA43" s="50" t="str">
        <f t="shared" si="44"/>
        <v/>
      </c>
      <c r="EB43" s="50" t="str">
        <f t="shared" si="44"/>
        <v/>
      </c>
      <c r="EC43" s="50" t="str">
        <f t="shared" si="44"/>
        <v/>
      </c>
      <c r="ED43" s="50" t="str">
        <f t="shared" si="44"/>
        <v/>
      </c>
      <c r="EE43" s="50" t="str">
        <f t="shared" si="44"/>
        <v/>
      </c>
      <c r="EF43" s="50" t="str">
        <f t="shared" si="44"/>
        <v/>
      </c>
      <c r="EG43" s="50" t="str">
        <f t="shared" si="44"/>
        <v/>
      </c>
      <c r="EH43" s="50" t="str">
        <f t="shared" si="44"/>
        <v/>
      </c>
      <c r="EI43" s="50" t="str">
        <f t="shared" si="44"/>
        <v/>
      </c>
      <c r="EJ43" s="50" t="str">
        <f t="shared" si="44"/>
        <v/>
      </c>
      <c r="EK43" s="50" t="str">
        <f t="shared" si="44"/>
        <v/>
      </c>
      <c r="EL43" s="50" t="str">
        <f t="shared" si="44"/>
        <v/>
      </c>
      <c r="EM43" s="50" t="str">
        <f t="shared" si="44"/>
        <v/>
      </c>
      <c r="EN43" s="50" t="str">
        <f t="shared" si="44"/>
        <v/>
      </c>
      <c r="EO43" s="50" t="str">
        <f t="shared" si="44"/>
        <v/>
      </c>
      <c r="EP43" s="50" t="str">
        <f t="shared" si="44"/>
        <v/>
      </c>
      <c r="EQ43" s="50" t="str">
        <f t="shared" si="44"/>
        <v/>
      </c>
      <c r="ER43" s="50" t="str">
        <f t="shared" si="44"/>
        <v/>
      </c>
      <c r="ES43" s="50" t="str">
        <f t="shared" si="44"/>
        <v/>
      </c>
      <c r="ET43" s="50" t="str">
        <f t="shared" si="44"/>
        <v/>
      </c>
      <c r="EU43" s="50" t="str">
        <f t="shared" si="44"/>
        <v/>
      </c>
      <c r="EV43" s="50" t="str">
        <f t="shared" si="44"/>
        <v/>
      </c>
      <c r="EW43" s="50" t="str">
        <f t="shared" si="44"/>
        <v/>
      </c>
      <c r="EX43" s="50" t="str">
        <f t="shared" si="44"/>
        <v/>
      </c>
      <c r="EY43" s="50" t="str">
        <f t="shared" si="44"/>
        <v/>
      </c>
      <c r="EZ43" s="50" t="str">
        <f t="shared" si="44"/>
        <v/>
      </c>
      <c r="FA43" s="50" t="str">
        <f t="shared" si="44"/>
        <v/>
      </c>
      <c r="FB43" s="50" t="str">
        <f t="shared" si="44"/>
        <v/>
      </c>
      <c r="FC43" s="50" t="str">
        <f t="shared" si="39"/>
        <v/>
      </c>
      <c r="FD43" s="50" t="str">
        <f t="shared" si="39"/>
        <v/>
      </c>
      <c r="FE43" s="50" t="str">
        <f t="shared" si="39"/>
        <v/>
      </c>
      <c r="FF43" s="50" t="str">
        <f t="shared" si="39"/>
        <v/>
      </c>
      <c r="FG43" s="50" t="str">
        <f t="shared" si="39"/>
        <v/>
      </c>
      <c r="FH43" s="50" t="str">
        <f t="shared" si="39"/>
        <v/>
      </c>
      <c r="FI43" s="50" t="str">
        <f t="shared" si="39"/>
        <v/>
      </c>
      <c r="FJ43" s="50" t="str">
        <f t="shared" si="39"/>
        <v/>
      </c>
      <c r="FK43" s="50" t="str">
        <f t="shared" si="39"/>
        <v/>
      </c>
      <c r="FL43" s="50" t="str">
        <f t="shared" si="39"/>
        <v/>
      </c>
      <c r="FM43" s="50" t="str">
        <f t="shared" si="39"/>
        <v/>
      </c>
      <c r="FN43" s="50" t="str">
        <f t="shared" si="39"/>
        <v/>
      </c>
      <c r="FO43" s="50" t="str">
        <f t="shared" si="39"/>
        <v/>
      </c>
      <c r="FP43" s="50" t="str">
        <f t="shared" si="39"/>
        <v/>
      </c>
      <c r="FQ43" s="50" t="str">
        <f t="shared" si="39"/>
        <v/>
      </c>
      <c r="FR43" s="50" t="str">
        <f t="shared" si="39"/>
        <v/>
      </c>
      <c r="FS43" s="50" t="str">
        <f t="shared" si="39"/>
        <v/>
      </c>
      <c r="FT43" s="50" t="str">
        <f t="shared" si="39"/>
        <v/>
      </c>
      <c r="FU43" s="50" t="str">
        <f t="shared" si="39"/>
        <v/>
      </c>
      <c r="FV43" s="50" t="str">
        <f t="shared" si="39"/>
        <v/>
      </c>
      <c r="FW43" s="50" t="str">
        <f t="shared" si="39"/>
        <v/>
      </c>
      <c r="FX43" s="50" t="str">
        <f t="shared" si="39"/>
        <v/>
      </c>
      <c r="FY43" s="50" t="str">
        <f t="shared" si="39"/>
        <v/>
      </c>
      <c r="FZ43" s="50" t="str">
        <f t="shared" si="39"/>
        <v/>
      </c>
      <c r="GA43" s="50" t="str">
        <f t="shared" si="39"/>
        <v/>
      </c>
      <c r="GB43" s="50" t="str">
        <f t="shared" si="39"/>
        <v/>
      </c>
      <c r="GC43" s="50" t="str">
        <f t="shared" si="39"/>
        <v/>
      </c>
      <c r="GD43" s="50" t="str">
        <f t="shared" si="39"/>
        <v/>
      </c>
      <c r="GE43" s="50" t="str">
        <f t="shared" si="39"/>
        <v/>
      </c>
      <c r="GF43" s="50" t="str">
        <f t="shared" si="39"/>
        <v/>
      </c>
      <c r="GG43" s="50" t="str">
        <f t="shared" si="39"/>
        <v/>
      </c>
      <c r="GH43" s="50" t="str">
        <f t="shared" si="33"/>
        <v/>
      </c>
      <c r="GI43" s="50" t="str">
        <f t="shared" si="33"/>
        <v/>
      </c>
      <c r="GJ43" s="50" t="str">
        <f t="shared" si="33"/>
        <v/>
      </c>
      <c r="GK43" s="50" t="str">
        <f t="shared" si="33"/>
        <v/>
      </c>
      <c r="GL43" s="50" t="str">
        <f t="shared" si="33"/>
        <v/>
      </c>
      <c r="GM43" s="50" t="str">
        <f t="shared" si="33"/>
        <v/>
      </c>
      <c r="GN43" s="50" t="str">
        <f t="shared" si="33"/>
        <v/>
      </c>
      <c r="GO43" s="50" t="str">
        <f t="shared" si="33"/>
        <v/>
      </c>
      <c r="GP43" s="50" t="str">
        <f t="shared" si="33"/>
        <v/>
      </c>
      <c r="GQ43" s="50" t="str">
        <f t="shared" si="33"/>
        <v/>
      </c>
      <c r="GR43" s="50" t="str">
        <f t="shared" si="33"/>
        <v/>
      </c>
      <c r="GS43" s="50" t="str">
        <f t="shared" si="33"/>
        <v/>
      </c>
      <c r="GT43" s="50" t="str">
        <f t="shared" si="33"/>
        <v/>
      </c>
      <c r="GU43" s="50" t="str">
        <f t="shared" si="33"/>
        <v/>
      </c>
      <c r="GV43" s="50" t="str">
        <f t="shared" si="33"/>
        <v/>
      </c>
      <c r="GW43" s="50" t="str">
        <f t="shared" si="29"/>
        <v/>
      </c>
      <c r="GX43" s="50" t="str">
        <f t="shared" si="29"/>
        <v/>
      </c>
      <c r="GY43" s="50" t="str">
        <f t="shared" si="29"/>
        <v/>
      </c>
      <c r="GZ43" s="50" t="str">
        <f t="shared" si="29"/>
        <v/>
      </c>
      <c r="HA43" s="50" t="str">
        <f t="shared" si="29"/>
        <v/>
      </c>
      <c r="HB43" s="50" t="str">
        <f t="shared" si="29"/>
        <v/>
      </c>
      <c r="HC43" s="50" t="str">
        <f t="shared" si="29"/>
        <v/>
      </c>
      <c r="HD43" s="50" t="str">
        <f t="shared" si="29"/>
        <v/>
      </c>
      <c r="HE43" s="50" t="str">
        <f t="shared" si="29"/>
        <v/>
      </c>
      <c r="HF43" s="50" t="str">
        <f t="shared" si="29"/>
        <v/>
      </c>
      <c r="HG43" s="50" t="str">
        <f t="shared" si="29"/>
        <v/>
      </c>
      <c r="HH43" s="50" t="str">
        <f t="shared" si="29"/>
        <v/>
      </c>
      <c r="HI43" s="50" t="str">
        <f t="shared" si="29"/>
        <v/>
      </c>
      <c r="HJ43" s="50" t="str">
        <f t="shared" si="29"/>
        <v/>
      </c>
      <c r="HK43" s="50" t="str">
        <f t="shared" si="29"/>
        <v/>
      </c>
      <c r="HL43" s="50" t="str">
        <f t="shared" si="29"/>
        <v/>
      </c>
      <c r="HM43" s="50" t="str">
        <f t="shared" si="22"/>
        <v/>
      </c>
      <c r="HN43" s="50" t="str">
        <f t="shared" si="23"/>
        <v/>
      </c>
      <c r="HO43" s="50" t="str">
        <f t="shared" si="23"/>
        <v/>
      </c>
      <c r="HP43" s="50" t="str">
        <f t="shared" si="23"/>
        <v/>
      </c>
      <c r="HQ43" s="50" t="str">
        <f t="shared" si="23"/>
        <v/>
      </c>
      <c r="HR43" s="116" t="str">
        <f t="shared" si="23"/>
        <v/>
      </c>
    </row>
    <row r="44" spans="1:226" ht="11.15" customHeight="1" x14ac:dyDescent="0.25">
      <c r="A44" s="26" t="s">
        <v>45</v>
      </c>
      <c r="B44" s="27">
        <v>2</v>
      </c>
      <c r="C44" s="28" t="str">
        <f>IF(A44=0,"",VLOOKUP(A44,[3]CO!$A$3:$F$5327,2,0))</f>
        <v>Colado de losa esp. 20 cms rev. premezclada</v>
      </c>
      <c r="D44" s="29"/>
      <c r="E44" s="29"/>
      <c r="F44" s="29"/>
      <c r="G44" s="30" t="str">
        <f>IF(A44=0,"",VLOOKUP(A44,[3]CO!$A$3:$F$5327,3,0))</f>
        <v>M2</v>
      </c>
      <c r="H44" s="29"/>
      <c r="I44" s="31">
        <v>4.45</v>
      </c>
      <c r="J44" s="31">
        <v>5.9</v>
      </c>
      <c r="K44" s="31"/>
      <c r="L44" s="31">
        <v>1</v>
      </c>
      <c r="M44" s="32">
        <f t="shared" si="4"/>
        <v>26.255000000000003</v>
      </c>
      <c r="N44" s="32">
        <f>IF(B44=0,"",IF(H44="M",HLOOKUP(B44,$Y$12:$DT$13,2),IF(A44=0,"",VLOOKUP(A44,[3]CO!$A$3:$F$5327,4,0))))</f>
        <v>55.28011764705883</v>
      </c>
      <c r="O44" s="32">
        <f t="shared" si="11"/>
        <v>1451.3794888235298</v>
      </c>
      <c r="P44" s="33"/>
      <c r="Q44" s="34" t="str">
        <f t="shared" si="5"/>
        <v/>
      </c>
      <c r="R44" s="35" t="str">
        <f t="shared" si="6"/>
        <v/>
      </c>
      <c r="S44" s="122"/>
      <c r="T44" s="53">
        <f>IF(A44=0,"",VLOOKUP(A44,[3]CO!$A$3:$F$5318,5,0))</f>
        <v>0</v>
      </c>
      <c r="U44" s="54">
        <f t="shared" si="12"/>
        <v>0</v>
      </c>
      <c r="V44" s="24"/>
      <c r="W44" s="25"/>
      <c r="X44" s="25"/>
      <c r="Y44" s="64" t="str">
        <f t="shared" si="43"/>
        <v/>
      </c>
      <c r="Z44" s="55">
        <f t="shared" si="43"/>
        <v>0</v>
      </c>
      <c r="AA44" s="55" t="str">
        <f t="shared" si="43"/>
        <v/>
      </c>
      <c r="AB44" s="55" t="str">
        <f t="shared" si="43"/>
        <v/>
      </c>
      <c r="AC44" s="55" t="str">
        <f t="shared" si="43"/>
        <v/>
      </c>
      <c r="AD44" s="55" t="str">
        <f t="shared" si="43"/>
        <v/>
      </c>
      <c r="AE44" s="55" t="str">
        <f t="shared" si="43"/>
        <v/>
      </c>
      <c r="AF44" s="55" t="str">
        <f t="shared" si="43"/>
        <v/>
      </c>
      <c r="AG44" s="55" t="str">
        <f t="shared" si="43"/>
        <v/>
      </c>
      <c r="AH44" s="55" t="str">
        <f t="shared" si="43"/>
        <v/>
      </c>
      <c r="AI44" s="55" t="str">
        <f t="shared" si="43"/>
        <v/>
      </c>
      <c r="AJ44" s="55" t="str">
        <f t="shared" si="43"/>
        <v/>
      </c>
      <c r="AK44" s="55" t="str">
        <f t="shared" si="43"/>
        <v/>
      </c>
      <c r="AL44" s="55" t="str">
        <f t="shared" si="43"/>
        <v/>
      </c>
      <c r="AM44" s="55" t="str">
        <f t="shared" si="43"/>
        <v/>
      </c>
      <c r="AN44" s="55" t="str">
        <f t="shared" si="43"/>
        <v/>
      </c>
      <c r="AO44" s="55" t="str">
        <f t="shared" si="43"/>
        <v/>
      </c>
      <c r="AP44" s="55" t="str">
        <f t="shared" si="43"/>
        <v/>
      </c>
      <c r="AQ44" s="55" t="str">
        <f t="shared" si="43"/>
        <v/>
      </c>
      <c r="AR44" s="55" t="str">
        <f t="shared" si="43"/>
        <v/>
      </c>
      <c r="AS44" s="55" t="str">
        <f t="shared" si="43"/>
        <v/>
      </c>
      <c r="AT44" s="55" t="str">
        <f t="shared" si="43"/>
        <v/>
      </c>
      <c r="AU44" s="55" t="str">
        <f t="shared" si="43"/>
        <v/>
      </c>
      <c r="AV44" s="55" t="str">
        <f t="shared" si="43"/>
        <v/>
      </c>
      <c r="AW44" s="55" t="str">
        <f t="shared" si="43"/>
        <v/>
      </c>
      <c r="AX44" s="55" t="str">
        <f t="shared" si="43"/>
        <v/>
      </c>
      <c r="AY44" s="55" t="str">
        <f t="shared" si="43"/>
        <v/>
      </c>
      <c r="AZ44" s="55" t="str">
        <f t="shared" si="43"/>
        <v/>
      </c>
      <c r="BA44" s="55" t="str">
        <f t="shared" si="43"/>
        <v/>
      </c>
      <c r="BB44" s="55" t="str">
        <f t="shared" si="43"/>
        <v/>
      </c>
      <c r="BC44" s="55" t="str">
        <f t="shared" si="43"/>
        <v/>
      </c>
      <c r="BD44" s="55" t="str">
        <f t="shared" si="43"/>
        <v/>
      </c>
      <c r="BE44" s="55" t="str">
        <f t="shared" si="38"/>
        <v/>
      </c>
      <c r="BF44" s="55" t="str">
        <f t="shared" si="38"/>
        <v/>
      </c>
      <c r="BG44" s="55" t="str">
        <f t="shared" si="38"/>
        <v/>
      </c>
      <c r="BH44" s="55" t="str">
        <f t="shared" si="38"/>
        <v/>
      </c>
      <c r="BI44" s="55" t="str">
        <f t="shared" si="38"/>
        <v/>
      </c>
      <c r="BJ44" s="55" t="str">
        <f t="shared" si="38"/>
        <v/>
      </c>
      <c r="BK44" s="55" t="str">
        <f t="shared" si="38"/>
        <v/>
      </c>
      <c r="BL44" s="55" t="str">
        <f t="shared" ref="BL44:CI44" si="45">IF($B44=BL$12,$U44,"")</f>
        <v/>
      </c>
      <c r="BM44" s="55" t="str">
        <f t="shared" si="45"/>
        <v/>
      </c>
      <c r="BN44" s="55" t="str">
        <f t="shared" si="45"/>
        <v/>
      </c>
      <c r="BO44" s="55" t="str">
        <f t="shared" si="45"/>
        <v/>
      </c>
      <c r="BP44" s="55" t="str">
        <f t="shared" si="45"/>
        <v/>
      </c>
      <c r="BQ44" s="55" t="str">
        <f t="shared" si="45"/>
        <v/>
      </c>
      <c r="BR44" s="55" t="str">
        <f t="shared" si="45"/>
        <v/>
      </c>
      <c r="BS44" s="55" t="str">
        <f t="shared" si="45"/>
        <v/>
      </c>
      <c r="BT44" s="55" t="str">
        <f t="shared" si="45"/>
        <v/>
      </c>
      <c r="BU44" s="55" t="str">
        <f t="shared" si="45"/>
        <v/>
      </c>
      <c r="BV44" s="55" t="str">
        <f t="shared" si="45"/>
        <v/>
      </c>
      <c r="BW44" s="55" t="str">
        <f t="shared" si="45"/>
        <v/>
      </c>
      <c r="BX44" s="55" t="str">
        <f t="shared" si="45"/>
        <v/>
      </c>
      <c r="BY44" s="55" t="str">
        <f t="shared" si="45"/>
        <v/>
      </c>
      <c r="BZ44" s="55" t="str">
        <f t="shared" si="45"/>
        <v/>
      </c>
      <c r="CA44" s="55" t="str">
        <f t="shared" si="45"/>
        <v/>
      </c>
      <c r="CB44" s="55" t="str">
        <f t="shared" si="45"/>
        <v/>
      </c>
      <c r="CC44" s="55" t="str">
        <f t="shared" si="45"/>
        <v/>
      </c>
      <c r="CD44" s="55" t="str">
        <f t="shared" si="45"/>
        <v/>
      </c>
      <c r="CE44" s="55" t="str">
        <f t="shared" si="45"/>
        <v/>
      </c>
      <c r="CF44" s="55" t="str">
        <f t="shared" si="45"/>
        <v/>
      </c>
      <c r="CG44" s="55" t="str">
        <f t="shared" si="45"/>
        <v/>
      </c>
      <c r="CH44" s="55" t="str">
        <f t="shared" si="45"/>
        <v/>
      </c>
      <c r="CI44" s="55" t="str">
        <f t="shared" si="45"/>
        <v/>
      </c>
      <c r="CJ44" s="55" t="str">
        <f t="shared" si="31"/>
        <v/>
      </c>
      <c r="CK44" s="55" t="str">
        <f t="shared" si="31"/>
        <v/>
      </c>
      <c r="CL44" s="55" t="str">
        <f t="shared" si="31"/>
        <v/>
      </c>
      <c r="CM44" s="55" t="str">
        <f t="shared" si="31"/>
        <v/>
      </c>
      <c r="CN44" s="55" t="str">
        <f t="shared" si="31"/>
        <v/>
      </c>
      <c r="CO44" s="55" t="str">
        <f t="shared" si="31"/>
        <v/>
      </c>
      <c r="CP44" s="55" t="str">
        <f t="shared" si="31"/>
        <v/>
      </c>
      <c r="CQ44" s="55" t="str">
        <f t="shared" si="31"/>
        <v/>
      </c>
      <c r="CR44" s="55" t="str">
        <f t="shared" si="31"/>
        <v/>
      </c>
      <c r="CS44" s="55" t="str">
        <f t="shared" si="31"/>
        <v/>
      </c>
      <c r="CT44" s="55" t="str">
        <f t="shared" si="31"/>
        <v/>
      </c>
      <c r="CU44" s="55" t="str">
        <f t="shared" si="31"/>
        <v/>
      </c>
      <c r="CV44" s="55" t="str">
        <f t="shared" si="31"/>
        <v/>
      </c>
      <c r="CW44" s="55" t="str">
        <f t="shared" si="31"/>
        <v/>
      </c>
      <c r="CX44" s="55" t="str">
        <f t="shared" si="31"/>
        <v/>
      </c>
      <c r="CY44" s="55" t="str">
        <f t="shared" si="31"/>
        <v/>
      </c>
      <c r="CZ44" s="55" t="str">
        <f t="shared" si="28"/>
        <v/>
      </c>
      <c r="DA44" s="55" t="str">
        <f t="shared" si="28"/>
        <v/>
      </c>
      <c r="DB44" s="55" t="str">
        <f t="shared" si="28"/>
        <v/>
      </c>
      <c r="DC44" s="55" t="str">
        <f t="shared" si="28"/>
        <v/>
      </c>
      <c r="DD44" s="55" t="str">
        <f t="shared" si="28"/>
        <v/>
      </c>
      <c r="DE44" s="55" t="str">
        <f t="shared" si="28"/>
        <v/>
      </c>
      <c r="DF44" s="55" t="str">
        <f t="shared" si="28"/>
        <v/>
      </c>
      <c r="DG44" s="55" t="str">
        <f t="shared" si="28"/>
        <v/>
      </c>
      <c r="DH44" s="55" t="str">
        <f t="shared" si="28"/>
        <v/>
      </c>
      <c r="DI44" s="55" t="str">
        <f t="shared" si="28"/>
        <v/>
      </c>
      <c r="DJ44" s="55" t="str">
        <f t="shared" si="28"/>
        <v/>
      </c>
      <c r="DK44" s="55" t="str">
        <f t="shared" si="28"/>
        <v/>
      </c>
      <c r="DL44" s="55" t="str">
        <f t="shared" si="28"/>
        <v/>
      </c>
      <c r="DM44" s="55" t="str">
        <f t="shared" si="28"/>
        <v/>
      </c>
      <c r="DN44" s="55" t="str">
        <f t="shared" si="28"/>
        <v/>
      </c>
      <c r="DO44" s="55" t="str">
        <f t="shared" si="40"/>
        <v/>
      </c>
      <c r="DP44" s="55" t="str">
        <f t="shared" si="40"/>
        <v/>
      </c>
      <c r="DQ44" s="55" t="str">
        <f t="shared" si="40"/>
        <v/>
      </c>
      <c r="DR44" s="55" t="str">
        <f t="shared" si="40"/>
        <v/>
      </c>
      <c r="DS44" s="55" t="str">
        <f t="shared" si="40"/>
        <v/>
      </c>
      <c r="DT44" s="110" t="str">
        <f t="shared" si="40"/>
        <v/>
      </c>
      <c r="DU44" s="54"/>
      <c r="DV44" s="25"/>
      <c r="DW44" s="61" t="str">
        <f t="shared" si="44"/>
        <v/>
      </c>
      <c r="DX44" s="50">
        <f t="shared" si="44"/>
        <v>1451.3794888235298</v>
      </c>
      <c r="DY44" s="50" t="str">
        <f t="shared" si="44"/>
        <v/>
      </c>
      <c r="DZ44" s="50" t="str">
        <f t="shared" si="44"/>
        <v/>
      </c>
      <c r="EA44" s="50" t="str">
        <f t="shared" si="44"/>
        <v/>
      </c>
      <c r="EB44" s="50" t="str">
        <f t="shared" si="44"/>
        <v/>
      </c>
      <c r="EC44" s="50" t="str">
        <f t="shared" si="44"/>
        <v/>
      </c>
      <c r="ED44" s="50" t="str">
        <f t="shared" si="44"/>
        <v/>
      </c>
      <c r="EE44" s="50" t="str">
        <f t="shared" si="44"/>
        <v/>
      </c>
      <c r="EF44" s="50" t="str">
        <f t="shared" si="44"/>
        <v/>
      </c>
      <c r="EG44" s="50" t="str">
        <f t="shared" si="44"/>
        <v/>
      </c>
      <c r="EH44" s="50" t="str">
        <f t="shared" si="44"/>
        <v/>
      </c>
      <c r="EI44" s="50" t="str">
        <f t="shared" si="44"/>
        <v/>
      </c>
      <c r="EJ44" s="50" t="str">
        <f t="shared" si="44"/>
        <v/>
      </c>
      <c r="EK44" s="50" t="str">
        <f t="shared" si="44"/>
        <v/>
      </c>
      <c r="EL44" s="50" t="str">
        <f t="shared" si="44"/>
        <v/>
      </c>
      <c r="EM44" s="50" t="str">
        <f t="shared" si="44"/>
        <v/>
      </c>
      <c r="EN44" s="50" t="str">
        <f t="shared" si="44"/>
        <v/>
      </c>
      <c r="EO44" s="50" t="str">
        <f t="shared" si="44"/>
        <v/>
      </c>
      <c r="EP44" s="50" t="str">
        <f t="shared" si="44"/>
        <v/>
      </c>
      <c r="EQ44" s="50" t="str">
        <f t="shared" si="44"/>
        <v/>
      </c>
      <c r="ER44" s="50" t="str">
        <f t="shared" si="44"/>
        <v/>
      </c>
      <c r="ES44" s="50" t="str">
        <f t="shared" si="44"/>
        <v/>
      </c>
      <c r="ET44" s="50" t="str">
        <f t="shared" si="44"/>
        <v/>
      </c>
      <c r="EU44" s="50" t="str">
        <f t="shared" si="44"/>
        <v/>
      </c>
      <c r="EV44" s="50" t="str">
        <f t="shared" si="44"/>
        <v/>
      </c>
      <c r="EW44" s="50" t="str">
        <f t="shared" si="44"/>
        <v/>
      </c>
      <c r="EX44" s="50" t="str">
        <f t="shared" si="44"/>
        <v/>
      </c>
      <c r="EY44" s="50" t="str">
        <f t="shared" si="44"/>
        <v/>
      </c>
      <c r="EZ44" s="50" t="str">
        <f t="shared" si="44"/>
        <v/>
      </c>
      <c r="FA44" s="50" t="str">
        <f t="shared" si="44"/>
        <v/>
      </c>
      <c r="FB44" s="50" t="str">
        <f t="shared" si="44"/>
        <v/>
      </c>
      <c r="FC44" s="50" t="str">
        <f t="shared" si="39"/>
        <v/>
      </c>
      <c r="FD44" s="50" t="str">
        <f t="shared" si="39"/>
        <v/>
      </c>
      <c r="FE44" s="50" t="str">
        <f t="shared" si="39"/>
        <v/>
      </c>
      <c r="FF44" s="50" t="str">
        <f t="shared" si="39"/>
        <v/>
      </c>
      <c r="FG44" s="50" t="str">
        <f t="shared" si="39"/>
        <v/>
      </c>
      <c r="FH44" s="50" t="str">
        <f t="shared" si="39"/>
        <v/>
      </c>
      <c r="FI44" s="50" t="str">
        <f t="shared" si="39"/>
        <v/>
      </c>
      <c r="FJ44" s="50" t="str">
        <f t="shared" ref="FJ44:GG44" si="46">IF($B44=FJ$12,$O44,"")</f>
        <v/>
      </c>
      <c r="FK44" s="50" t="str">
        <f t="shared" si="46"/>
        <v/>
      </c>
      <c r="FL44" s="50" t="str">
        <f t="shared" si="46"/>
        <v/>
      </c>
      <c r="FM44" s="50" t="str">
        <f t="shared" si="46"/>
        <v/>
      </c>
      <c r="FN44" s="50" t="str">
        <f t="shared" si="46"/>
        <v/>
      </c>
      <c r="FO44" s="50" t="str">
        <f t="shared" si="46"/>
        <v/>
      </c>
      <c r="FP44" s="50" t="str">
        <f t="shared" si="46"/>
        <v/>
      </c>
      <c r="FQ44" s="50" t="str">
        <f t="shared" si="46"/>
        <v/>
      </c>
      <c r="FR44" s="50" t="str">
        <f t="shared" si="46"/>
        <v/>
      </c>
      <c r="FS44" s="50" t="str">
        <f t="shared" si="46"/>
        <v/>
      </c>
      <c r="FT44" s="50" t="str">
        <f t="shared" si="46"/>
        <v/>
      </c>
      <c r="FU44" s="50" t="str">
        <f t="shared" si="46"/>
        <v/>
      </c>
      <c r="FV44" s="50" t="str">
        <f t="shared" si="46"/>
        <v/>
      </c>
      <c r="FW44" s="50" t="str">
        <f t="shared" si="46"/>
        <v/>
      </c>
      <c r="FX44" s="50" t="str">
        <f t="shared" si="46"/>
        <v/>
      </c>
      <c r="FY44" s="50" t="str">
        <f t="shared" si="46"/>
        <v/>
      </c>
      <c r="FZ44" s="50" t="str">
        <f t="shared" si="46"/>
        <v/>
      </c>
      <c r="GA44" s="50" t="str">
        <f t="shared" si="46"/>
        <v/>
      </c>
      <c r="GB44" s="50" t="str">
        <f t="shared" si="46"/>
        <v/>
      </c>
      <c r="GC44" s="50" t="str">
        <f t="shared" si="46"/>
        <v/>
      </c>
      <c r="GD44" s="50" t="str">
        <f t="shared" si="46"/>
        <v/>
      </c>
      <c r="GE44" s="50" t="str">
        <f t="shared" si="46"/>
        <v/>
      </c>
      <c r="GF44" s="50" t="str">
        <f t="shared" si="46"/>
        <v/>
      </c>
      <c r="GG44" s="50" t="str">
        <f t="shared" si="46"/>
        <v/>
      </c>
      <c r="GH44" s="50" t="str">
        <f t="shared" si="33"/>
        <v/>
      </c>
      <c r="GI44" s="50" t="str">
        <f t="shared" si="33"/>
        <v/>
      </c>
      <c r="GJ44" s="50" t="str">
        <f t="shared" si="33"/>
        <v/>
      </c>
      <c r="GK44" s="50" t="str">
        <f t="shared" si="33"/>
        <v/>
      </c>
      <c r="GL44" s="50" t="str">
        <f t="shared" si="33"/>
        <v/>
      </c>
      <c r="GM44" s="50" t="str">
        <f t="shared" si="33"/>
        <v/>
      </c>
      <c r="GN44" s="50" t="str">
        <f t="shared" si="33"/>
        <v/>
      </c>
      <c r="GO44" s="50" t="str">
        <f t="shared" si="33"/>
        <v/>
      </c>
      <c r="GP44" s="50" t="str">
        <f t="shared" si="33"/>
        <v/>
      </c>
      <c r="GQ44" s="50" t="str">
        <f t="shared" si="33"/>
        <v/>
      </c>
      <c r="GR44" s="50" t="str">
        <f t="shared" si="33"/>
        <v/>
      </c>
      <c r="GS44" s="50" t="str">
        <f t="shared" si="33"/>
        <v/>
      </c>
      <c r="GT44" s="50" t="str">
        <f t="shared" si="33"/>
        <v/>
      </c>
      <c r="GU44" s="50" t="str">
        <f t="shared" si="33"/>
        <v/>
      </c>
      <c r="GV44" s="50" t="str">
        <f t="shared" si="33"/>
        <v/>
      </c>
      <c r="GW44" s="50" t="str">
        <f t="shared" si="33"/>
        <v/>
      </c>
      <c r="GX44" s="50" t="str">
        <f t="shared" si="29"/>
        <v/>
      </c>
      <c r="GY44" s="50" t="str">
        <f t="shared" si="29"/>
        <v/>
      </c>
      <c r="GZ44" s="50" t="str">
        <f t="shared" si="29"/>
        <v/>
      </c>
      <c r="HA44" s="50" t="str">
        <f t="shared" si="29"/>
        <v/>
      </c>
      <c r="HB44" s="50" t="str">
        <f t="shared" si="29"/>
        <v/>
      </c>
      <c r="HC44" s="50" t="str">
        <f t="shared" si="29"/>
        <v/>
      </c>
      <c r="HD44" s="50" t="str">
        <f t="shared" si="29"/>
        <v/>
      </c>
      <c r="HE44" s="50" t="str">
        <f t="shared" si="29"/>
        <v/>
      </c>
      <c r="HF44" s="50" t="str">
        <f t="shared" si="29"/>
        <v/>
      </c>
      <c r="HG44" s="50" t="str">
        <f t="shared" si="29"/>
        <v/>
      </c>
      <c r="HH44" s="50" t="str">
        <f t="shared" si="29"/>
        <v/>
      </c>
      <c r="HI44" s="50" t="str">
        <f t="shared" si="29"/>
        <v/>
      </c>
      <c r="HJ44" s="50" t="str">
        <f t="shared" si="29"/>
        <v/>
      </c>
      <c r="HK44" s="50" t="str">
        <f t="shared" si="29"/>
        <v/>
      </c>
      <c r="HL44" s="50" t="str">
        <f t="shared" si="29"/>
        <v/>
      </c>
      <c r="HM44" s="50" t="str">
        <f t="shared" si="22"/>
        <v/>
      </c>
      <c r="HN44" s="50" t="str">
        <f t="shared" si="23"/>
        <v/>
      </c>
      <c r="HO44" s="50" t="str">
        <f t="shared" si="23"/>
        <v/>
      </c>
      <c r="HP44" s="50" t="str">
        <f t="shared" si="23"/>
        <v/>
      </c>
      <c r="HQ44" s="50" t="str">
        <f t="shared" si="23"/>
        <v/>
      </c>
      <c r="HR44" s="116" t="str">
        <f t="shared" si="23"/>
        <v/>
      </c>
    </row>
    <row r="45" spans="1:226" ht="11.15" customHeight="1" x14ac:dyDescent="0.25">
      <c r="A45" s="26" t="s">
        <v>46</v>
      </c>
      <c r="B45" s="27">
        <v>2</v>
      </c>
      <c r="C45" s="28" t="str">
        <f>IF(A45=0,"",VLOOKUP(A45,[3]CO!$A$3:$F$5327,2,0))</f>
        <v>Repellado de hormigon, piso o concreto c/lechada</v>
      </c>
      <c r="D45" s="29"/>
      <c r="E45" s="29"/>
      <c r="F45" s="29"/>
      <c r="G45" s="30" t="str">
        <f>IF(A45=0,"",VLOOKUP(A45,[3]CO!$A$3:$F$5327,3,0))</f>
        <v>M2</v>
      </c>
      <c r="H45" s="29"/>
      <c r="I45" s="31">
        <v>4.05</v>
      </c>
      <c r="J45" s="31">
        <v>2.2000000000000002</v>
      </c>
      <c r="K45" s="31"/>
      <c r="L45" s="31">
        <v>1</v>
      </c>
      <c r="M45" s="32">
        <f t="shared" si="4"/>
        <v>8.91</v>
      </c>
      <c r="N45" s="32">
        <f>IF(B45=0,"",IF(H45="M",HLOOKUP(B45,$Y$12:$DT$13,2),IF(A45=0,"",VLOOKUP(A45,[3]CO!$A$3:$F$5327,4,0))))</f>
        <v>25.060320000000001</v>
      </c>
      <c r="O45" s="32">
        <f t="shared" si="11"/>
        <v>223.28745120000002</v>
      </c>
      <c r="P45" s="33"/>
      <c r="Q45" s="34" t="str">
        <f t="shared" si="5"/>
        <v/>
      </c>
      <c r="R45" s="35" t="str">
        <f t="shared" si="6"/>
        <v/>
      </c>
      <c r="S45" s="122"/>
      <c r="T45" s="53">
        <f>IF(A45=0,"",VLOOKUP(A45,[3]CO!$A$3:$F$5318,5,0))</f>
        <v>1</v>
      </c>
      <c r="U45" s="54">
        <f t="shared" si="12"/>
        <v>22.328745120000004</v>
      </c>
      <c r="V45" s="24"/>
      <c r="W45" s="25"/>
      <c r="X45" s="25"/>
      <c r="Y45" s="64" t="str">
        <f t="shared" si="43"/>
        <v/>
      </c>
      <c r="Z45" s="55">
        <f t="shared" si="43"/>
        <v>22.328745120000004</v>
      </c>
      <c r="AA45" s="55" t="str">
        <f t="shared" si="43"/>
        <v/>
      </c>
      <c r="AB45" s="55" t="str">
        <f t="shared" si="43"/>
        <v/>
      </c>
      <c r="AC45" s="55" t="str">
        <f t="shared" si="43"/>
        <v/>
      </c>
      <c r="AD45" s="55" t="str">
        <f t="shared" si="43"/>
        <v/>
      </c>
      <c r="AE45" s="55" t="str">
        <f t="shared" si="43"/>
        <v/>
      </c>
      <c r="AF45" s="55" t="str">
        <f t="shared" si="43"/>
        <v/>
      </c>
      <c r="AG45" s="55" t="str">
        <f t="shared" si="43"/>
        <v/>
      </c>
      <c r="AH45" s="55" t="str">
        <f t="shared" si="43"/>
        <v/>
      </c>
      <c r="AI45" s="55" t="str">
        <f t="shared" si="43"/>
        <v/>
      </c>
      <c r="AJ45" s="55" t="str">
        <f t="shared" si="43"/>
        <v/>
      </c>
      <c r="AK45" s="55" t="str">
        <f t="shared" si="43"/>
        <v/>
      </c>
      <c r="AL45" s="55" t="str">
        <f t="shared" si="43"/>
        <v/>
      </c>
      <c r="AM45" s="55" t="str">
        <f t="shared" si="43"/>
        <v/>
      </c>
      <c r="AN45" s="55" t="str">
        <f t="shared" si="43"/>
        <v/>
      </c>
      <c r="AO45" s="55" t="str">
        <f t="shared" si="43"/>
        <v/>
      </c>
      <c r="AP45" s="55" t="str">
        <f t="shared" si="43"/>
        <v/>
      </c>
      <c r="AQ45" s="55" t="str">
        <f t="shared" si="43"/>
        <v/>
      </c>
      <c r="AR45" s="55" t="str">
        <f t="shared" si="43"/>
        <v/>
      </c>
      <c r="AS45" s="55" t="str">
        <f t="shared" si="43"/>
        <v/>
      </c>
      <c r="AT45" s="55" t="str">
        <f t="shared" si="43"/>
        <v/>
      </c>
      <c r="AU45" s="55" t="str">
        <f t="shared" si="43"/>
        <v/>
      </c>
      <c r="AV45" s="55" t="str">
        <f t="shared" si="43"/>
        <v/>
      </c>
      <c r="AW45" s="55" t="str">
        <f t="shared" si="43"/>
        <v/>
      </c>
      <c r="AX45" s="55" t="str">
        <f t="shared" si="43"/>
        <v/>
      </c>
      <c r="AY45" s="55" t="str">
        <f t="shared" si="43"/>
        <v/>
      </c>
      <c r="AZ45" s="55" t="str">
        <f t="shared" si="43"/>
        <v/>
      </c>
      <c r="BA45" s="55" t="str">
        <f t="shared" si="43"/>
        <v/>
      </c>
      <c r="BB45" s="55" t="str">
        <f t="shared" si="43"/>
        <v/>
      </c>
      <c r="BC45" s="55" t="str">
        <f t="shared" si="43"/>
        <v/>
      </c>
      <c r="BD45" s="55" t="str">
        <f t="shared" si="43"/>
        <v/>
      </c>
      <c r="BE45" s="55" t="str">
        <f t="shared" ref="BE45:CI74" si="47">IF($B45=BE$12,$U45,"")</f>
        <v/>
      </c>
      <c r="BF45" s="55" t="str">
        <f t="shared" si="47"/>
        <v/>
      </c>
      <c r="BG45" s="55" t="str">
        <f t="shared" si="47"/>
        <v/>
      </c>
      <c r="BH45" s="55" t="str">
        <f t="shared" si="47"/>
        <v/>
      </c>
      <c r="BI45" s="55" t="str">
        <f t="shared" si="47"/>
        <v/>
      </c>
      <c r="BJ45" s="55" t="str">
        <f t="shared" si="47"/>
        <v/>
      </c>
      <c r="BK45" s="55" t="str">
        <f t="shared" si="47"/>
        <v/>
      </c>
      <c r="BL45" s="55" t="str">
        <f t="shared" si="47"/>
        <v/>
      </c>
      <c r="BM45" s="55" t="str">
        <f t="shared" si="47"/>
        <v/>
      </c>
      <c r="BN45" s="55" t="str">
        <f t="shared" si="47"/>
        <v/>
      </c>
      <c r="BO45" s="55" t="str">
        <f t="shared" si="47"/>
        <v/>
      </c>
      <c r="BP45" s="55" t="str">
        <f t="shared" si="47"/>
        <v/>
      </c>
      <c r="BQ45" s="55" t="str">
        <f t="shared" si="47"/>
        <v/>
      </c>
      <c r="BR45" s="55" t="str">
        <f t="shared" si="47"/>
        <v/>
      </c>
      <c r="BS45" s="55" t="str">
        <f t="shared" si="47"/>
        <v/>
      </c>
      <c r="BT45" s="55" t="str">
        <f t="shared" si="47"/>
        <v/>
      </c>
      <c r="BU45" s="55" t="str">
        <f t="shared" si="47"/>
        <v/>
      </c>
      <c r="BV45" s="55" t="str">
        <f t="shared" si="47"/>
        <v/>
      </c>
      <c r="BW45" s="55" t="str">
        <f t="shared" si="47"/>
        <v/>
      </c>
      <c r="BX45" s="55" t="str">
        <f t="shared" si="47"/>
        <v/>
      </c>
      <c r="BY45" s="55" t="str">
        <f t="shared" si="47"/>
        <v/>
      </c>
      <c r="BZ45" s="55" t="str">
        <f t="shared" si="47"/>
        <v/>
      </c>
      <c r="CA45" s="55" t="str">
        <f t="shared" si="47"/>
        <v/>
      </c>
      <c r="CB45" s="55" t="str">
        <f t="shared" si="47"/>
        <v/>
      </c>
      <c r="CC45" s="55" t="str">
        <f t="shared" si="47"/>
        <v/>
      </c>
      <c r="CD45" s="55" t="str">
        <f t="shared" si="47"/>
        <v/>
      </c>
      <c r="CE45" s="55" t="str">
        <f t="shared" si="47"/>
        <v/>
      </c>
      <c r="CF45" s="55" t="str">
        <f t="shared" si="47"/>
        <v/>
      </c>
      <c r="CG45" s="55" t="str">
        <f t="shared" si="47"/>
        <v/>
      </c>
      <c r="CH45" s="55" t="str">
        <f t="shared" si="47"/>
        <v/>
      </c>
      <c r="CI45" s="55" t="str">
        <f t="shared" si="47"/>
        <v/>
      </c>
      <c r="CJ45" s="55" t="str">
        <f t="shared" si="31"/>
        <v/>
      </c>
      <c r="CK45" s="55" t="str">
        <f t="shared" si="31"/>
        <v/>
      </c>
      <c r="CL45" s="55" t="str">
        <f t="shared" si="31"/>
        <v/>
      </c>
      <c r="CM45" s="55" t="str">
        <f t="shared" si="31"/>
        <v/>
      </c>
      <c r="CN45" s="55" t="str">
        <f t="shared" si="31"/>
        <v/>
      </c>
      <c r="CO45" s="55" t="str">
        <f t="shared" si="31"/>
        <v/>
      </c>
      <c r="CP45" s="55" t="str">
        <f t="shared" si="31"/>
        <v/>
      </c>
      <c r="CQ45" s="55" t="str">
        <f t="shared" si="31"/>
        <v/>
      </c>
      <c r="CR45" s="55" t="str">
        <f t="shared" si="31"/>
        <v/>
      </c>
      <c r="CS45" s="55" t="str">
        <f t="shared" si="31"/>
        <v/>
      </c>
      <c r="CT45" s="55" t="str">
        <f t="shared" si="31"/>
        <v/>
      </c>
      <c r="CU45" s="55" t="str">
        <f t="shared" si="31"/>
        <v/>
      </c>
      <c r="CV45" s="55" t="str">
        <f t="shared" si="31"/>
        <v/>
      </c>
      <c r="CW45" s="55" t="str">
        <f t="shared" si="31"/>
        <v/>
      </c>
      <c r="CX45" s="55" t="str">
        <f t="shared" si="31"/>
        <v/>
      </c>
      <c r="CY45" s="55" t="str">
        <f t="shared" si="31"/>
        <v/>
      </c>
      <c r="CZ45" s="55" t="str">
        <f t="shared" si="28"/>
        <v/>
      </c>
      <c r="DA45" s="55" t="str">
        <f t="shared" si="28"/>
        <v/>
      </c>
      <c r="DB45" s="55" t="str">
        <f t="shared" si="28"/>
        <v/>
      </c>
      <c r="DC45" s="55" t="str">
        <f t="shared" si="28"/>
        <v/>
      </c>
      <c r="DD45" s="55" t="str">
        <f t="shared" si="28"/>
        <v/>
      </c>
      <c r="DE45" s="55" t="str">
        <f t="shared" si="28"/>
        <v/>
      </c>
      <c r="DF45" s="55" t="str">
        <f t="shared" si="28"/>
        <v/>
      </c>
      <c r="DG45" s="55" t="str">
        <f t="shared" si="28"/>
        <v/>
      </c>
      <c r="DH45" s="55" t="str">
        <f t="shared" si="28"/>
        <v/>
      </c>
      <c r="DI45" s="55" t="str">
        <f t="shared" si="28"/>
        <v/>
      </c>
      <c r="DJ45" s="55" t="str">
        <f t="shared" si="28"/>
        <v/>
      </c>
      <c r="DK45" s="55" t="str">
        <f t="shared" si="28"/>
        <v/>
      </c>
      <c r="DL45" s="55" t="str">
        <f t="shared" si="28"/>
        <v/>
      </c>
      <c r="DM45" s="55" t="str">
        <f t="shared" si="28"/>
        <v/>
      </c>
      <c r="DN45" s="55" t="str">
        <f t="shared" si="28"/>
        <v/>
      </c>
      <c r="DO45" s="55" t="str">
        <f t="shared" si="40"/>
        <v/>
      </c>
      <c r="DP45" s="55" t="str">
        <f t="shared" si="40"/>
        <v/>
      </c>
      <c r="DQ45" s="55" t="str">
        <f t="shared" si="40"/>
        <v/>
      </c>
      <c r="DR45" s="55" t="str">
        <f t="shared" si="40"/>
        <v/>
      </c>
      <c r="DS45" s="55" t="str">
        <f t="shared" si="40"/>
        <v/>
      </c>
      <c r="DT45" s="110" t="str">
        <f t="shared" si="40"/>
        <v/>
      </c>
      <c r="DU45" s="54"/>
      <c r="DV45" s="25"/>
      <c r="DW45" s="61" t="str">
        <f t="shared" si="44"/>
        <v/>
      </c>
      <c r="DX45" s="50">
        <f t="shared" si="44"/>
        <v>223.28745120000002</v>
      </c>
      <c r="DY45" s="50" t="str">
        <f t="shared" si="44"/>
        <v/>
      </c>
      <c r="DZ45" s="50" t="str">
        <f t="shared" si="44"/>
        <v/>
      </c>
      <c r="EA45" s="50" t="str">
        <f t="shared" si="44"/>
        <v/>
      </c>
      <c r="EB45" s="50" t="str">
        <f t="shared" si="44"/>
        <v/>
      </c>
      <c r="EC45" s="50" t="str">
        <f t="shared" si="44"/>
        <v/>
      </c>
      <c r="ED45" s="50" t="str">
        <f t="shared" si="44"/>
        <v/>
      </c>
      <c r="EE45" s="50" t="str">
        <f t="shared" si="44"/>
        <v/>
      </c>
      <c r="EF45" s="50" t="str">
        <f t="shared" si="44"/>
        <v/>
      </c>
      <c r="EG45" s="50" t="str">
        <f t="shared" si="44"/>
        <v/>
      </c>
      <c r="EH45" s="50" t="str">
        <f t="shared" si="44"/>
        <v/>
      </c>
      <c r="EI45" s="50" t="str">
        <f t="shared" si="44"/>
        <v/>
      </c>
      <c r="EJ45" s="50" t="str">
        <f t="shared" si="44"/>
        <v/>
      </c>
      <c r="EK45" s="50" t="str">
        <f t="shared" si="44"/>
        <v/>
      </c>
      <c r="EL45" s="50" t="str">
        <f t="shared" si="44"/>
        <v/>
      </c>
      <c r="EM45" s="50" t="str">
        <f t="shared" si="44"/>
        <v/>
      </c>
      <c r="EN45" s="50" t="str">
        <f t="shared" si="44"/>
        <v/>
      </c>
      <c r="EO45" s="50" t="str">
        <f t="shared" si="44"/>
        <v/>
      </c>
      <c r="EP45" s="50" t="str">
        <f t="shared" si="44"/>
        <v/>
      </c>
      <c r="EQ45" s="50" t="str">
        <f t="shared" si="44"/>
        <v/>
      </c>
      <c r="ER45" s="50" t="str">
        <f t="shared" si="44"/>
        <v/>
      </c>
      <c r="ES45" s="50" t="str">
        <f t="shared" si="44"/>
        <v/>
      </c>
      <c r="ET45" s="50" t="str">
        <f t="shared" si="44"/>
        <v/>
      </c>
      <c r="EU45" s="50" t="str">
        <f t="shared" si="44"/>
        <v/>
      </c>
      <c r="EV45" s="50" t="str">
        <f t="shared" si="44"/>
        <v/>
      </c>
      <c r="EW45" s="50" t="str">
        <f t="shared" si="44"/>
        <v/>
      </c>
      <c r="EX45" s="50" t="str">
        <f t="shared" si="44"/>
        <v/>
      </c>
      <c r="EY45" s="50" t="str">
        <f t="shared" si="44"/>
        <v/>
      </c>
      <c r="EZ45" s="50" t="str">
        <f t="shared" si="44"/>
        <v/>
      </c>
      <c r="FA45" s="50" t="str">
        <f t="shared" si="44"/>
        <v/>
      </c>
      <c r="FB45" s="50" t="str">
        <f t="shared" si="44"/>
        <v/>
      </c>
      <c r="FC45" s="50" t="str">
        <f t="shared" ref="FC45:GG74" si="48">IF($B45=FC$12,$O45,"")</f>
        <v/>
      </c>
      <c r="FD45" s="50" t="str">
        <f t="shared" si="48"/>
        <v/>
      </c>
      <c r="FE45" s="50" t="str">
        <f t="shared" si="48"/>
        <v/>
      </c>
      <c r="FF45" s="50" t="str">
        <f t="shared" si="48"/>
        <v/>
      </c>
      <c r="FG45" s="50" t="str">
        <f t="shared" si="48"/>
        <v/>
      </c>
      <c r="FH45" s="50" t="str">
        <f t="shared" si="48"/>
        <v/>
      </c>
      <c r="FI45" s="50" t="str">
        <f t="shared" si="48"/>
        <v/>
      </c>
      <c r="FJ45" s="50" t="str">
        <f t="shared" si="48"/>
        <v/>
      </c>
      <c r="FK45" s="50" t="str">
        <f t="shared" si="48"/>
        <v/>
      </c>
      <c r="FL45" s="50" t="str">
        <f t="shared" si="48"/>
        <v/>
      </c>
      <c r="FM45" s="50" t="str">
        <f t="shared" si="48"/>
        <v/>
      </c>
      <c r="FN45" s="50" t="str">
        <f t="shared" si="48"/>
        <v/>
      </c>
      <c r="FO45" s="50" t="str">
        <f t="shared" si="48"/>
        <v/>
      </c>
      <c r="FP45" s="50" t="str">
        <f t="shared" si="48"/>
        <v/>
      </c>
      <c r="FQ45" s="50" t="str">
        <f t="shared" si="48"/>
        <v/>
      </c>
      <c r="FR45" s="50" t="str">
        <f t="shared" si="48"/>
        <v/>
      </c>
      <c r="FS45" s="50" t="str">
        <f t="shared" si="48"/>
        <v/>
      </c>
      <c r="FT45" s="50" t="str">
        <f t="shared" si="48"/>
        <v/>
      </c>
      <c r="FU45" s="50" t="str">
        <f t="shared" si="48"/>
        <v/>
      </c>
      <c r="FV45" s="50" t="str">
        <f t="shared" si="48"/>
        <v/>
      </c>
      <c r="FW45" s="50" t="str">
        <f t="shared" si="48"/>
        <v/>
      </c>
      <c r="FX45" s="50" t="str">
        <f t="shared" si="48"/>
        <v/>
      </c>
      <c r="FY45" s="50" t="str">
        <f t="shared" si="48"/>
        <v/>
      </c>
      <c r="FZ45" s="50" t="str">
        <f t="shared" si="48"/>
        <v/>
      </c>
      <c r="GA45" s="50" t="str">
        <f t="shared" si="48"/>
        <v/>
      </c>
      <c r="GB45" s="50" t="str">
        <f t="shared" si="48"/>
        <v/>
      </c>
      <c r="GC45" s="50" t="str">
        <f t="shared" si="48"/>
        <v/>
      </c>
      <c r="GD45" s="50" t="str">
        <f t="shared" si="48"/>
        <v/>
      </c>
      <c r="GE45" s="50" t="str">
        <f t="shared" si="48"/>
        <v/>
      </c>
      <c r="GF45" s="50" t="str">
        <f t="shared" si="48"/>
        <v/>
      </c>
      <c r="GG45" s="50" t="str">
        <f t="shared" si="48"/>
        <v/>
      </c>
      <c r="GH45" s="50" t="str">
        <f t="shared" si="33"/>
        <v/>
      </c>
      <c r="GI45" s="50" t="str">
        <f t="shared" si="33"/>
        <v/>
      </c>
      <c r="GJ45" s="50" t="str">
        <f t="shared" si="33"/>
        <v/>
      </c>
      <c r="GK45" s="50" t="str">
        <f t="shared" si="33"/>
        <v/>
      </c>
      <c r="GL45" s="50" t="str">
        <f t="shared" si="33"/>
        <v/>
      </c>
      <c r="GM45" s="50" t="str">
        <f t="shared" si="33"/>
        <v/>
      </c>
      <c r="GN45" s="50" t="str">
        <f t="shared" si="33"/>
        <v/>
      </c>
      <c r="GO45" s="50" t="str">
        <f t="shared" si="33"/>
        <v/>
      </c>
      <c r="GP45" s="50" t="str">
        <f t="shared" si="33"/>
        <v/>
      </c>
      <c r="GQ45" s="50" t="str">
        <f t="shared" si="33"/>
        <v/>
      </c>
      <c r="GR45" s="50" t="str">
        <f t="shared" si="33"/>
        <v/>
      </c>
      <c r="GS45" s="50" t="str">
        <f t="shared" si="33"/>
        <v/>
      </c>
      <c r="GT45" s="50" t="str">
        <f t="shared" si="33"/>
        <v/>
      </c>
      <c r="GU45" s="50" t="str">
        <f t="shared" si="33"/>
        <v/>
      </c>
      <c r="GV45" s="50" t="str">
        <f t="shared" si="33"/>
        <v/>
      </c>
      <c r="GW45" s="50" t="str">
        <f t="shared" si="33"/>
        <v/>
      </c>
      <c r="GX45" s="50" t="str">
        <f t="shared" si="22"/>
        <v/>
      </c>
      <c r="GY45" s="50" t="str">
        <f t="shared" si="22"/>
        <v/>
      </c>
      <c r="GZ45" s="50" t="str">
        <f t="shared" si="22"/>
        <v/>
      </c>
      <c r="HA45" s="50" t="str">
        <f t="shared" si="22"/>
        <v/>
      </c>
      <c r="HB45" s="50" t="str">
        <f t="shared" si="22"/>
        <v/>
      </c>
      <c r="HC45" s="50" t="str">
        <f t="shared" si="22"/>
        <v/>
      </c>
      <c r="HD45" s="50" t="str">
        <f t="shared" si="22"/>
        <v/>
      </c>
      <c r="HE45" s="50" t="str">
        <f t="shared" si="22"/>
        <v/>
      </c>
      <c r="HF45" s="50" t="str">
        <f t="shared" si="22"/>
        <v/>
      </c>
      <c r="HG45" s="50" t="str">
        <f t="shared" si="22"/>
        <v/>
      </c>
      <c r="HH45" s="50" t="str">
        <f t="shared" si="22"/>
        <v/>
      </c>
      <c r="HI45" s="50" t="str">
        <f t="shared" si="22"/>
        <v/>
      </c>
      <c r="HJ45" s="50" t="str">
        <f t="shared" si="22"/>
        <v/>
      </c>
      <c r="HK45" s="50" t="str">
        <f t="shared" si="22"/>
        <v/>
      </c>
      <c r="HL45" s="50" t="str">
        <f t="shared" si="22"/>
        <v/>
      </c>
      <c r="HM45" s="50" t="str">
        <f t="shared" si="22"/>
        <v/>
      </c>
      <c r="HN45" s="50" t="str">
        <f t="shared" si="23"/>
        <v/>
      </c>
      <c r="HO45" s="50" t="str">
        <f t="shared" si="23"/>
        <v/>
      </c>
      <c r="HP45" s="50" t="str">
        <f t="shared" si="23"/>
        <v/>
      </c>
      <c r="HQ45" s="50" t="str">
        <f t="shared" si="23"/>
        <v/>
      </c>
      <c r="HR45" s="116" t="str">
        <f t="shared" si="23"/>
        <v/>
      </c>
    </row>
    <row r="46" spans="1:226" ht="11.15" customHeight="1" x14ac:dyDescent="0.25">
      <c r="A46" s="26" t="s">
        <v>46</v>
      </c>
      <c r="B46" s="27">
        <v>2</v>
      </c>
      <c r="C46" s="28" t="str">
        <f>IF(A46=0,"",VLOOKUP(A46,[3]CO!$A$3:$F$5327,2,0))</f>
        <v>Repellado de hormigon, piso o concreto c/lechada</v>
      </c>
      <c r="D46" s="29"/>
      <c r="E46" s="29"/>
      <c r="F46" s="29"/>
      <c r="G46" s="30" t="str">
        <f>IF(A46=0,"",VLOOKUP(A46,[3]CO!$A$3:$F$5327,3,0))</f>
        <v>M2</v>
      </c>
      <c r="H46" s="29"/>
      <c r="I46" s="31">
        <v>1.55</v>
      </c>
      <c r="J46" s="31">
        <v>4.05</v>
      </c>
      <c r="K46" s="31"/>
      <c r="L46" s="31">
        <v>1</v>
      </c>
      <c r="M46" s="32">
        <f t="shared" si="4"/>
        <v>6.2774999999999999</v>
      </c>
      <c r="N46" s="32">
        <f>IF(B46=0,"",IF(H46="M",HLOOKUP(B46,$Y$12:$DT$13,2),IF(A46=0,"",VLOOKUP(A46,[3]CO!$A$3:$F$5327,4,0))))</f>
        <v>25.060320000000001</v>
      </c>
      <c r="O46" s="32">
        <f t="shared" si="11"/>
        <v>157.31615880000001</v>
      </c>
      <c r="P46" s="33"/>
      <c r="Q46" s="34" t="str">
        <f t="shared" si="5"/>
        <v/>
      </c>
      <c r="R46" s="35" t="str">
        <f t="shared" si="6"/>
        <v/>
      </c>
      <c r="S46" s="122"/>
      <c r="T46" s="53">
        <f>IF(A46=0,"",VLOOKUP(A46,[3]CO!$A$3:$F$5318,5,0))</f>
        <v>1</v>
      </c>
      <c r="U46" s="54">
        <f t="shared" si="12"/>
        <v>15.731615880000001</v>
      </c>
      <c r="V46" s="24"/>
      <c r="W46" s="25"/>
      <c r="X46" s="25"/>
      <c r="Y46" s="64" t="str">
        <f t="shared" si="43"/>
        <v/>
      </c>
      <c r="Z46" s="55">
        <f t="shared" si="43"/>
        <v>15.731615880000001</v>
      </c>
      <c r="AA46" s="55" t="str">
        <f t="shared" si="43"/>
        <v/>
      </c>
      <c r="AB46" s="55" t="str">
        <f t="shared" si="43"/>
        <v/>
      </c>
      <c r="AC46" s="55" t="str">
        <f t="shared" si="43"/>
        <v/>
      </c>
      <c r="AD46" s="55" t="str">
        <f t="shared" si="43"/>
        <v/>
      </c>
      <c r="AE46" s="55" t="str">
        <f t="shared" si="43"/>
        <v/>
      </c>
      <c r="AF46" s="55" t="str">
        <f t="shared" si="43"/>
        <v/>
      </c>
      <c r="AG46" s="55" t="str">
        <f t="shared" si="43"/>
        <v/>
      </c>
      <c r="AH46" s="55" t="str">
        <f t="shared" si="43"/>
        <v/>
      </c>
      <c r="AI46" s="55" t="str">
        <f t="shared" si="43"/>
        <v/>
      </c>
      <c r="AJ46" s="55" t="str">
        <f t="shared" si="43"/>
        <v/>
      </c>
      <c r="AK46" s="55" t="str">
        <f t="shared" si="43"/>
        <v/>
      </c>
      <c r="AL46" s="55" t="str">
        <f t="shared" si="43"/>
        <v/>
      </c>
      <c r="AM46" s="55" t="str">
        <f t="shared" si="43"/>
        <v/>
      </c>
      <c r="AN46" s="55" t="str">
        <f t="shared" si="43"/>
        <v/>
      </c>
      <c r="AO46" s="55" t="str">
        <f t="shared" si="43"/>
        <v/>
      </c>
      <c r="AP46" s="55" t="str">
        <f t="shared" si="43"/>
        <v/>
      </c>
      <c r="AQ46" s="55" t="str">
        <f t="shared" si="43"/>
        <v/>
      </c>
      <c r="AR46" s="55" t="str">
        <f t="shared" si="43"/>
        <v/>
      </c>
      <c r="AS46" s="55" t="str">
        <f t="shared" si="43"/>
        <v/>
      </c>
      <c r="AT46" s="55" t="str">
        <f t="shared" si="43"/>
        <v/>
      </c>
      <c r="AU46" s="55" t="str">
        <f t="shared" si="43"/>
        <v/>
      </c>
      <c r="AV46" s="55" t="str">
        <f t="shared" si="43"/>
        <v/>
      </c>
      <c r="AW46" s="55" t="str">
        <f t="shared" si="43"/>
        <v/>
      </c>
      <c r="AX46" s="55" t="str">
        <f t="shared" si="43"/>
        <v/>
      </c>
      <c r="AY46" s="55" t="str">
        <f t="shared" si="43"/>
        <v/>
      </c>
      <c r="AZ46" s="55" t="str">
        <f t="shared" si="43"/>
        <v/>
      </c>
      <c r="BA46" s="55" t="str">
        <f t="shared" si="43"/>
        <v/>
      </c>
      <c r="BB46" s="55" t="str">
        <f t="shared" si="43"/>
        <v/>
      </c>
      <c r="BC46" s="55" t="str">
        <f t="shared" si="43"/>
        <v/>
      </c>
      <c r="BD46" s="55" t="str">
        <f t="shared" si="43"/>
        <v/>
      </c>
      <c r="BE46" s="55" t="str">
        <f t="shared" si="47"/>
        <v/>
      </c>
      <c r="BF46" s="55" t="str">
        <f t="shared" si="47"/>
        <v/>
      </c>
      <c r="BG46" s="55" t="str">
        <f t="shared" si="47"/>
        <v/>
      </c>
      <c r="BH46" s="55" t="str">
        <f t="shared" si="47"/>
        <v/>
      </c>
      <c r="BI46" s="55" t="str">
        <f t="shared" si="47"/>
        <v/>
      </c>
      <c r="BJ46" s="55" t="str">
        <f t="shared" si="47"/>
        <v/>
      </c>
      <c r="BK46" s="55" t="str">
        <f t="shared" si="47"/>
        <v/>
      </c>
      <c r="BL46" s="55" t="str">
        <f t="shared" si="47"/>
        <v/>
      </c>
      <c r="BM46" s="55" t="str">
        <f t="shared" si="47"/>
        <v/>
      </c>
      <c r="BN46" s="55" t="str">
        <f t="shared" si="47"/>
        <v/>
      </c>
      <c r="BO46" s="55" t="str">
        <f t="shared" si="47"/>
        <v/>
      </c>
      <c r="BP46" s="55" t="str">
        <f t="shared" si="47"/>
        <v/>
      </c>
      <c r="BQ46" s="55" t="str">
        <f t="shared" si="47"/>
        <v/>
      </c>
      <c r="BR46" s="55" t="str">
        <f t="shared" si="47"/>
        <v/>
      </c>
      <c r="BS46" s="55" t="str">
        <f t="shared" si="47"/>
        <v/>
      </c>
      <c r="BT46" s="55" t="str">
        <f t="shared" si="47"/>
        <v/>
      </c>
      <c r="BU46" s="55" t="str">
        <f t="shared" si="47"/>
        <v/>
      </c>
      <c r="BV46" s="55" t="str">
        <f t="shared" si="47"/>
        <v/>
      </c>
      <c r="BW46" s="55" t="str">
        <f t="shared" si="47"/>
        <v/>
      </c>
      <c r="BX46" s="55" t="str">
        <f t="shared" si="47"/>
        <v/>
      </c>
      <c r="BY46" s="55" t="str">
        <f t="shared" si="47"/>
        <v/>
      </c>
      <c r="BZ46" s="55" t="str">
        <f t="shared" si="47"/>
        <v/>
      </c>
      <c r="CA46" s="55" t="str">
        <f t="shared" si="47"/>
        <v/>
      </c>
      <c r="CB46" s="55" t="str">
        <f t="shared" si="47"/>
        <v/>
      </c>
      <c r="CC46" s="55" t="str">
        <f t="shared" si="47"/>
        <v/>
      </c>
      <c r="CD46" s="55" t="str">
        <f t="shared" si="47"/>
        <v/>
      </c>
      <c r="CE46" s="55" t="str">
        <f t="shared" si="47"/>
        <v/>
      </c>
      <c r="CF46" s="55" t="str">
        <f t="shared" si="47"/>
        <v/>
      </c>
      <c r="CG46" s="55" t="str">
        <f t="shared" si="47"/>
        <v/>
      </c>
      <c r="CH46" s="55" t="str">
        <f t="shared" si="47"/>
        <v/>
      </c>
      <c r="CI46" s="55" t="str">
        <f t="shared" si="47"/>
        <v/>
      </c>
      <c r="CJ46" s="55" t="str">
        <f t="shared" si="31"/>
        <v/>
      </c>
      <c r="CK46" s="55" t="str">
        <f t="shared" si="31"/>
        <v/>
      </c>
      <c r="CL46" s="55" t="str">
        <f t="shared" si="31"/>
        <v/>
      </c>
      <c r="CM46" s="55" t="str">
        <f t="shared" si="31"/>
        <v/>
      </c>
      <c r="CN46" s="55" t="str">
        <f t="shared" si="31"/>
        <v/>
      </c>
      <c r="CO46" s="55" t="str">
        <f t="shared" si="31"/>
        <v/>
      </c>
      <c r="CP46" s="55" t="str">
        <f t="shared" si="31"/>
        <v/>
      </c>
      <c r="CQ46" s="55" t="str">
        <f t="shared" si="31"/>
        <v/>
      </c>
      <c r="CR46" s="55" t="str">
        <f t="shared" si="31"/>
        <v/>
      </c>
      <c r="CS46" s="55" t="str">
        <f t="shared" si="31"/>
        <v/>
      </c>
      <c r="CT46" s="55" t="str">
        <f t="shared" si="31"/>
        <v/>
      </c>
      <c r="CU46" s="55" t="str">
        <f t="shared" si="31"/>
        <v/>
      </c>
      <c r="CV46" s="55" t="str">
        <f t="shared" si="31"/>
        <v/>
      </c>
      <c r="CW46" s="55" t="str">
        <f t="shared" si="31"/>
        <v/>
      </c>
      <c r="CX46" s="55" t="str">
        <f t="shared" si="31"/>
        <v/>
      </c>
      <c r="CY46" s="55" t="str">
        <f t="shared" si="31"/>
        <v/>
      </c>
      <c r="CZ46" s="55" t="str">
        <f t="shared" si="28"/>
        <v/>
      </c>
      <c r="DA46" s="55" t="str">
        <f t="shared" si="28"/>
        <v/>
      </c>
      <c r="DB46" s="55" t="str">
        <f t="shared" si="28"/>
        <v/>
      </c>
      <c r="DC46" s="55" t="str">
        <f t="shared" si="28"/>
        <v/>
      </c>
      <c r="DD46" s="55" t="str">
        <f t="shared" si="28"/>
        <v/>
      </c>
      <c r="DE46" s="55" t="str">
        <f t="shared" si="28"/>
        <v/>
      </c>
      <c r="DF46" s="55" t="str">
        <f t="shared" si="28"/>
        <v/>
      </c>
      <c r="DG46" s="55" t="str">
        <f t="shared" si="28"/>
        <v/>
      </c>
      <c r="DH46" s="55" t="str">
        <f t="shared" si="28"/>
        <v/>
      </c>
      <c r="DI46" s="55" t="str">
        <f t="shared" si="28"/>
        <v/>
      </c>
      <c r="DJ46" s="55" t="str">
        <f t="shared" si="28"/>
        <v/>
      </c>
      <c r="DK46" s="55" t="str">
        <f t="shared" si="28"/>
        <v/>
      </c>
      <c r="DL46" s="55" t="str">
        <f t="shared" si="28"/>
        <v/>
      </c>
      <c r="DM46" s="55" t="str">
        <f t="shared" si="28"/>
        <v/>
      </c>
      <c r="DN46" s="55" t="str">
        <f t="shared" si="28"/>
        <v/>
      </c>
      <c r="DO46" s="55" t="str">
        <f t="shared" si="40"/>
        <v/>
      </c>
      <c r="DP46" s="55" t="str">
        <f t="shared" si="40"/>
        <v/>
      </c>
      <c r="DQ46" s="55" t="str">
        <f t="shared" si="40"/>
        <v/>
      </c>
      <c r="DR46" s="55" t="str">
        <f t="shared" si="40"/>
        <v/>
      </c>
      <c r="DS46" s="55" t="str">
        <f t="shared" si="40"/>
        <v/>
      </c>
      <c r="DT46" s="110" t="str">
        <f t="shared" si="40"/>
        <v/>
      </c>
      <c r="DU46" s="54"/>
      <c r="DV46" s="25"/>
      <c r="DW46" s="61" t="str">
        <f t="shared" si="44"/>
        <v/>
      </c>
      <c r="DX46" s="50">
        <f t="shared" si="44"/>
        <v>157.31615880000001</v>
      </c>
      <c r="DY46" s="50" t="str">
        <f t="shared" si="44"/>
        <v/>
      </c>
      <c r="DZ46" s="50" t="str">
        <f t="shared" si="44"/>
        <v/>
      </c>
      <c r="EA46" s="50" t="str">
        <f t="shared" si="44"/>
        <v/>
      </c>
      <c r="EB46" s="50" t="str">
        <f t="shared" si="44"/>
        <v/>
      </c>
      <c r="EC46" s="50" t="str">
        <f t="shared" si="44"/>
        <v/>
      </c>
      <c r="ED46" s="50" t="str">
        <f t="shared" si="44"/>
        <v/>
      </c>
      <c r="EE46" s="50" t="str">
        <f t="shared" si="44"/>
        <v/>
      </c>
      <c r="EF46" s="50" t="str">
        <f t="shared" si="44"/>
        <v/>
      </c>
      <c r="EG46" s="50" t="str">
        <f t="shared" si="44"/>
        <v/>
      </c>
      <c r="EH46" s="50" t="str">
        <f t="shared" si="44"/>
        <v/>
      </c>
      <c r="EI46" s="50" t="str">
        <f t="shared" si="44"/>
        <v/>
      </c>
      <c r="EJ46" s="50" t="str">
        <f t="shared" si="44"/>
        <v/>
      </c>
      <c r="EK46" s="50" t="str">
        <f t="shared" si="44"/>
        <v/>
      </c>
      <c r="EL46" s="50" t="str">
        <f t="shared" si="44"/>
        <v/>
      </c>
      <c r="EM46" s="50" t="str">
        <f t="shared" si="44"/>
        <v/>
      </c>
      <c r="EN46" s="50" t="str">
        <f t="shared" si="44"/>
        <v/>
      </c>
      <c r="EO46" s="50" t="str">
        <f t="shared" si="44"/>
        <v/>
      </c>
      <c r="EP46" s="50" t="str">
        <f t="shared" si="44"/>
        <v/>
      </c>
      <c r="EQ46" s="50" t="str">
        <f t="shared" si="44"/>
        <v/>
      </c>
      <c r="ER46" s="50" t="str">
        <f t="shared" si="44"/>
        <v/>
      </c>
      <c r="ES46" s="50" t="str">
        <f t="shared" si="44"/>
        <v/>
      </c>
      <c r="ET46" s="50" t="str">
        <f t="shared" si="44"/>
        <v/>
      </c>
      <c r="EU46" s="50" t="str">
        <f t="shared" si="44"/>
        <v/>
      </c>
      <c r="EV46" s="50" t="str">
        <f t="shared" si="44"/>
        <v/>
      </c>
      <c r="EW46" s="50" t="str">
        <f t="shared" si="44"/>
        <v/>
      </c>
      <c r="EX46" s="50" t="str">
        <f t="shared" si="44"/>
        <v/>
      </c>
      <c r="EY46" s="50" t="str">
        <f t="shared" si="44"/>
        <v/>
      </c>
      <c r="EZ46" s="50" t="str">
        <f t="shared" si="44"/>
        <v/>
      </c>
      <c r="FA46" s="50" t="str">
        <f t="shared" si="44"/>
        <v/>
      </c>
      <c r="FB46" s="50" t="str">
        <f t="shared" si="44"/>
        <v/>
      </c>
      <c r="FC46" s="50" t="str">
        <f t="shared" si="48"/>
        <v/>
      </c>
      <c r="FD46" s="50" t="str">
        <f t="shared" si="48"/>
        <v/>
      </c>
      <c r="FE46" s="50" t="str">
        <f t="shared" si="48"/>
        <v/>
      </c>
      <c r="FF46" s="50" t="str">
        <f t="shared" si="48"/>
        <v/>
      </c>
      <c r="FG46" s="50" t="str">
        <f t="shared" si="48"/>
        <v/>
      </c>
      <c r="FH46" s="50" t="str">
        <f t="shared" si="48"/>
        <v/>
      </c>
      <c r="FI46" s="50" t="str">
        <f t="shared" si="48"/>
        <v/>
      </c>
      <c r="FJ46" s="50" t="str">
        <f t="shared" si="48"/>
        <v/>
      </c>
      <c r="FK46" s="50" t="str">
        <f t="shared" si="48"/>
        <v/>
      </c>
      <c r="FL46" s="50" t="str">
        <f t="shared" si="48"/>
        <v/>
      </c>
      <c r="FM46" s="50" t="str">
        <f t="shared" si="48"/>
        <v/>
      </c>
      <c r="FN46" s="50" t="str">
        <f t="shared" si="48"/>
        <v/>
      </c>
      <c r="FO46" s="50" t="str">
        <f t="shared" si="48"/>
        <v/>
      </c>
      <c r="FP46" s="50" t="str">
        <f t="shared" si="48"/>
        <v/>
      </c>
      <c r="FQ46" s="50" t="str">
        <f t="shared" si="48"/>
        <v/>
      </c>
      <c r="FR46" s="50" t="str">
        <f t="shared" si="48"/>
        <v/>
      </c>
      <c r="FS46" s="50" t="str">
        <f t="shared" si="48"/>
        <v/>
      </c>
      <c r="FT46" s="50" t="str">
        <f t="shared" si="48"/>
        <v/>
      </c>
      <c r="FU46" s="50" t="str">
        <f t="shared" si="48"/>
        <v/>
      </c>
      <c r="FV46" s="50" t="str">
        <f t="shared" si="48"/>
        <v/>
      </c>
      <c r="FW46" s="50" t="str">
        <f t="shared" si="48"/>
        <v/>
      </c>
      <c r="FX46" s="50" t="str">
        <f t="shared" si="48"/>
        <v/>
      </c>
      <c r="FY46" s="50" t="str">
        <f t="shared" si="48"/>
        <v/>
      </c>
      <c r="FZ46" s="50" t="str">
        <f t="shared" si="48"/>
        <v/>
      </c>
      <c r="GA46" s="50" t="str">
        <f t="shared" si="48"/>
        <v/>
      </c>
      <c r="GB46" s="50" t="str">
        <f t="shared" si="48"/>
        <v/>
      </c>
      <c r="GC46" s="50" t="str">
        <f t="shared" si="48"/>
        <v/>
      </c>
      <c r="GD46" s="50" t="str">
        <f t="shared" si="48"/>
        <v/>
      </c>
      <c r="GE46" s="50" t="str">
        <f t="shared" si="48"/>
        <v/>
      </c>
      <c r="GF46" s="50" t="str">
        <f t="shared" si="48"/>
        <v/>
      </c>
      <c r="GG46" s="50" t="str">
        <f t="shared" si="48"/>
        <v/>
      </c>
      <c r="GH46" s="50" t="str">
        <f t="shared" si="33"/>
        <v/>
      </c>
      <c r="GI46" s="50" t="str">
        <f t="shared" si="33"/>
        <v/>
      </c>
      <c r="GJ46" s="50" t="str">
        <f t="shared" si="33"/>
        <v/>
      </c>
      <c r="GK46" s="50" t="str">
        <f t="shared" si="33"/>
        <v/>
      </c>
      <c r="GL46" s="50" t="str">
        <f t="shared" si="33"/>
        <v/>
      </c>
      <c r="GM46" s="50" t="str">
        <f t="shared" si="33"/>
        <v/>
      </c>
      <c r="GN46" s="50" t="str">
        <f t="shared" si="33"/>
        <v/>
      </c>
      <c r="GO46" s="50" t="str">
        <f t="shared" si="33"/>
        <v/>
      </c>
      <c r="GP46" s="50" t="str">
        <f t="shared" si="33"/>
        <v/>
      </c>
      <c r="GQ46" s="50" t="str">
        <f t="shared" si="33"/>
        <v/>
      </c>
      <c r="GR46" s="50" t="str">
        <f t="shared" si="33"/>
        <v/>
      </c>
      <c r="GS46" s="50" t="str">
        <f t="shared" si="33"/>
        <v/>
      </c>
      <c r="GT46" s="50" t="str">
        <f t="shared" si="33"/>
        <v/>
      </c>
      <c r="GU46" s="50" t="str">
        <f t="shared" si="33"/>
        <v/>
      </c>
      <c r="GV46" s="50" t="str">
        <f t="shared" si="33"/>
        <v/>
      </c>
      <c r="GW46" s="50" t="str">
        <f t="shared" si="33"/>
        <v/>
      </c>
      <c r="GX46" s="50" t="str">
        <f t="shared" si="22"/>
        <v/>
      </c>
      <c r="GY46" s="50" t="str">
        <f t="shared" si="22"/>
        <v/>
      </c>
      <c r="GZ46" s="50" t="str">
        <f t="shared" si="22"/>
        <v/>
      </c>
      <c r="HA46" s="50" t="str">
        <f t="shared" si="22"/>
        <v/>
      </c>
      <c r="HB46" s="50" t="str">
        <f t="shared" si="22"/>
        <v/>
      </c>
      <c r="HC46" s="50" t="str">
        <f t="shared" si="22"/>
        <v/>
      </c>
      <c r="HD46" s="50" t="str">
        <f t="shared" si="22"/>
        <v/>
      </c>
      <c r="HE46" s="50" t="str">
        <f t="shared" si="22"/>
        <v/>
      </c>
      <c r="HF46" s="50" t="str">
        <f t="shared" ref="HF46:HM47" si="49">IF($B46=HF$12,$O46,"")</f>
        <v/>
      </c>
      <c r="HG46" s="50" t="str">
        <f t="shared" si="49"/>
        <v/>
      </c>
      <c r="HH46" s="50" t="str">
        <f t="shared" si="49"/>
        <v/>
      </c>
      <c r="HI46" s="50" t="str">
        <f t="shared" si="49"/>
        <v/>
      </c>
      <c r="HJ46" s="50" t="str">
        <f t="shared" si="49"/>
        <v/>
      </c>
      <c r="HK46" s="50" t="str">
        <f t="shared" si="49"/>
        <v/>
      </c>
      <c r="HL46" s="50" t="str">
        <f t="shared" si="49"/>
        <v/>
      </c>
      <c r="HM46" s="50" t="str">
        <f t="shared" si="49"/>
        <v/>
      </c>
      <c r="HN46" s="50" t="str">
        <f t="shared" si="23"/>
        <v/>
      </c>
      <c r="HO46" s="50" t="str">
        <f t="shared" si="23"/>
        <v/>
      </c>
      <c r="HP46" s="50" t="str">
        <f t="shared" si="23"/>
        <v/>
      </c>
      <c r="HQ46" s="50" t="str">
        <f t="shared" si="23"/>
        <v/>
      </c>
      <c r="HR46" s="116" t="str">
        <f t="shared" si="23"/>
        <v/>
      </c>
    </row>
    <row r="47" spans="1:226" ht="11.15" customHeight="1" x14ac:dyDescent="0.25">
      <c r="A47" s="26" t="s">
        <v>46</v>
      </c>
      <c r="B47" s="27">
        <v>2</v>
      </c>
      <c r="C47" s="28" t="str">
        <f>IF(A47=0,"",VLOOKUP(A47,[3]CO!$A$3:$F$5327,2,0))</f>
        <v>Repellado de hormigon, piso o concreto c/lechada</v>
      </c>
      <c r="D47" s="29"/>
      <c r="E47" s="29"/>
      <c r="F47" s="29"/>
      <c r="G47" s="30" t="str">
        <f>IF(A47=0,"",VLOOKUP(A47,[3]CO!$A$3:$F$5327,3,0))</f>
        <v>M2</v>
      </c>
      <c r="H47" s="29"/>
      <c r="I47" s="31">
        <v>4.45</v>
      </c>
      <c r="J47" s="31">
        <v>5.9</v>
      </c>
      <c r="K47" s="31"/>
      <c r="L47" s="31">
        <v>1</v>
      </c>
      <c r="M47" s="32">
        <f t="shared" si="4"/>
        <v>26.255000000000003</v>
      </c>
      <c r="N47" s="32">
        <f>IF(B47=0,"",IF(H47="M",HLOOKUP(B47,$Y$12:$DT$13,2),IF(A47=0,"",VLOOKUP(A47,[3]CO!$A$3:$F$5327,4,0))))</f>
        <v>25.060320000000001</v>
      </c>
      <c r="O47" s="32">
        <f t="shared" si="11"/>
        <v>657.95870160000004</v>
      </c>
      <c r="P47" s="33"/>
      <c r="Q47" s="34" t="str">
        <f t="shared" si="5"/>
        <v/>
      </c>
      <c r="R47" s="35" t="str">
        <f t="shared" si="6"/>
        <v/>
      </c>
      <c r="S47" s="122"/>
      <c r="T47" s="53">
        <f>IF(A47=0,"",VLOOKUP(A47,[3]CO!$A$3:$F$5318,5,0))</f>
        <v>1</v>
      </c>
      <c r="U47" s="54">
        <f t="shared" si="12"/>
        <v>65.795870160000007</v>
      </c>
      <c r="V47" s="24"/>
      <c r="W47" s="25"/>
      <c r="X47" s="25"/>
      <c r="Y47" s="64" t="str">
        <f t="shared" si="43"/>
        <v/>
      </c>
      <c r="Z47" s="55">
        <f t="shared" si="43"/>
        <v>65.795870160000007</v>
      </c>
      <c r="AA47" s="55" t="str">
        <f t="shared" si="43"/>
        <v/>
      </c>
      <c r="AB47" s="55" t="str">
        <f t="shared" si="43"/>
        <v/>
      </c>
      <c r="AC47" s="55" t="str">
        <f t="shared" si="43"/>
        <v/>
      </c>
      <c r="AD47" s="55" t="str">
        <f t="shared" si="43"/>
        <v/>
      </c>
      <c r="AE47" s="55" t="str">
        <f t="shared" si="43"/>
        <v/>
      </c>
      <c r="AF47" s="55" t="str">
        <f t="shared" si="43"/>
        <v/>
      </c>
      <c r="AG47" s="55" t="str">
        <f t="shared" si="43"/>
        <v/>
      </c>
      <c r="AH47" s="55" t="str">
        <f t="shared" si="43"/>
        <v/>
      </c>
      <c r="AI47" s="55" t="str">
        <f t="shared" si="43"/>
        <v/>
      </c>
      <c r="AJ47" s="55" t="str">
        <f t="shared" si="43"/>
        <v/>
      </c>
      <c r="AK47" s="55" t="str">
        <f t="shared" si="43"/>
        <v/>
      </c>
      <c r="AL47" s="55" t="str">
        <f t="shared" si="43"/>
        <v/>
      </c>
      <c r="AM47" s="55" t="str">
        <f t="shared" si="43"/>
        <v/>
      </c>
      <c r="AN47" s="55" t="str">
        <f t="shared" si="43"/>
        <v/>
      </c>
      <c r="AO47" s="55" t="str">
        <f t="shared" si="43"/>
        <v/>
      </c>
      <c r="AP47" s="55" t="str">
        <f t="shared" si="43"/>
        <v/>
      </c>
      <c r="AQ47" s="55" t="str">
        <f t="shared" si="43"/>
        <v/>
      </c>
      <c r="AR47" s="55" t="str">
        <f t="shared" si="43"/>
        <v/>
      </c>
      <c r="AS47" s="55" t="str">
        <f t="shared" si="43"/>
        <v/>
      </c>
      <c r="AT47" s="55" t="str">
        <f t="shared" si="43"/>
        <v/>
      </c>
      <c r="AU47" s="55" t="str">
        <f t="shared" si="43"/>
        <v/>
      </c>
      <c r="AV47" s="55" t="str">
        <f t="shared" si="43"/>
        <v/>
      </c>
      <c r="AW47" s="55" t="str">
        <f t="shared" si="43"/>
        <v/>
      </c>
      <c r="AX47" s="55" t="str">
        <f t="shared" si="43"/>
        <v/>
      </c>
      <c r="AY47" s="55" t="str">
        <f t="shared" si="43"/>
        <v/>
      </c>
      <c r="AZ47" s="55" t="str">
        <f t="shared" si="43"/>
        <v/>
      </c>
      <c r="BA47" s="55" t="str">
        <f t="shared" si="43"/>
        <v/>
      </c>
      <c r="BB47" s="55" t="str">
        <f t="shared" si="43"/>
        <v/>
      </c>
      <c r="BC47" s="55" t="str">
        <f t="shared" si="43"/>
        <v/>
      </c>
      <c r="BD47" s="55" t="str">
        <f t="shared" si="43"/>
        <v/>
      </c>
      <c r="BE47" s="55" t="str">
        <f t="shared" si="47"/>
        <v/>
      </c>
      <c r="BF47" s="55" t="str">
        <f t="shared" si="47"/>
        <v/>
      </c>
      <c r="BG47" s="55" t="str">
        <f t="shared" si="47"/>
        <v/>
      </c>
      <c r="BH47" s="55" t="str">
        <f t="shared" si="47"/>
        <v/>
      </c>
      <c r="BI47" s="55" t="str">
        <f t="shared" si="47"/>
        <v/>
      </c>
      <c r="BJ47" s="55" t="str">
        <f t="shared" si="47"/>
        <v/>
      </c>
      <c r="BK47" s="55" t="str">
        <f t="shared" si="47"/>
        <v/>
      </c>
      <c r="BL47" s="55" t="str">
        <f t="shared" si="47"/>
        <v/>
      </c>
      <c r="BM47" s="55" t="str">
        <f t="shared" si="47"/>
        <v/>
      </c>
      <c r="BN47" s="55" t="str">
        <f t="shared" si="47"/>
        <v/>
      </c>
      <c r="BO47" s="55" t="str">
        <f t="shared" si="47"/>
        <v/>
      </c>
      <c r="BP47" s="55" t="str">
        <f t="shared" si="47"/>
        <v/>
      </c>
      <c r="BQ47" s="55" t="str">
        <f t="shared" si="47"/>
        <v/>
      </c>
      <c r="BR47" s="55" t="str">
        <f t="shared" si="47"/>
        <v/>
      </c>
      <c r="BS47" s="55" t="str">
        <f t="shared" si="47"/>
        <v/>
      </c>
      <c r="BT47" s="55" t="str">
        <f t="shared" si="47"/>
        <v/>
      </c>
      <c r="BU47" s="55" t="str">
        <f t="shared" si="47"/>
        <v/>
      </c>
      <c r="BV47" s="55" t="str">
        <f t="shared" si="47"/>
        <v/>
      </c>
      <c r="BW47" s="55" t="str">
        <f t="shared" si="47"/>
        <v/>
      </c>
      <c r="BX47" s="55" t="str">
        <f t="shared" si="47"/>
        <v/>
      </c>
      <c r="BY47" s="55" t="str">
        <f t="shared" si="47"/>
        <v/>
      </c>
      <c r="BZ47" s="55" t="str">
        <f t="shared" si="47"/>
        <v/>
      </c>
      <c r="CA47" s="55" t="str">
        <f t="shared" si="47"/>
        <v/>
      </c>
      <c r="CB47" s="55" t="str">
        <f t="shared" si="47"/>
        <v/>
      </c>
      <c r="CC47" s="55" t="str">
        <f t="shared" si="47"/>
        <v/>
      </c>
      <c r="CD47" s="55" t="str">
        <f t="shared" si="47"/>
        <v/>
      </c>
      <c r="CE47" s="55" t="str">
        <f t="shared" si="47"/>
        <v/>
      </c>
      <c r="CF47" s="55" t="str">
        <f t="shared" si="47"/>
        <v/>
      </c>
      <c r="CG47" s="55" t="str">
        <f t="shared" si="47"/>
        <v/>
      </c>
      <c r="CH47" s="55" t="str">
        <f t="shared" si="47"/>
        <v/>
      </c>
      <c r="CI47" s="55" t="str">
        <f t="shared" si="47"/>
        <v/>
      </c>
      <c r="CJ47" s="55" t="str">
        <f t="shared" si="31"/>
        <v/>
      </c>
      <c r="CK47" s="55" t="str">
        <f t="shared" si="31"/>
        <v/>
      </c>
      <c r="CL47" s="55" t="str">
        <f t="shared" si="31"/>
        <v/>
      </c>
      <c r="CM47" s="55" t="str">
        <f t="shared" si="31"/>
        <v/>
      </c>
      <c r="CN47" s="55" t="str">
        <f t="shared" si="31"/>
        <v/>
      </c>
      <c r="CO47" s="55" t="str">
        <f t="shared" si="31"/>
        <v/>
      </c>
      <c r="CP47" s="55" t="str">
        <f t="shared" si="31"/>
        <v/>
      </c>
      <c r="CQ47" s="55" t="str">
        <f t="shared" si="31"/>
        <v/>
      </c>
      <c r="CR47" s="55" t="str">
        <f t="shared" si="31"/>
        <v/>
      </c>
      <c r="CS47" s="55" t="str">
        <f t="shared" si="31"/>
        <v/>
      </c>
      <c r="CT47" s="55" t="str">
        <f t="shared" si="31"/>
        <v/>
      </c>
      <c r="CU47" s="55" t="str">
        <f t="shared" si="31"/>
        <v/>
      </c>
      <c r="CV47" s="55" t="str">
        <f t="shared" si="31"/>
        <v/>
      </c>
      <c r="CW47" s="55" t="str">
        <f t="shared" si="31"/>
        <v/>
      </c>
      <c r="CX47" s="55" t="str">
        <f t="shared" si="31"/>
        <v/>
      </c>
      <c r="CY47" s="55" t="str">
        <f t="shared" si="31"/>
        <v/>
      </c>
      <c r="CZ47" s="55" t="str">
        <f t="shared" si="28"/>
        <v/>
      </c>
      <c r="DA47" s="55" t="str">
        <f t="shared" si="28"/>
        <v/>
      </c>
      <c r="DB47" s="55" t="str">
        <f t="shared" si="28"/>
        <v/>
      </c>
      <c r="DC47" s="55" t="str">
        <f t="shared" si="28"/>
        <v/>
      </c>
      <c r="DD47" s="55" t="str">
        <f t="shared" si="28"/>
        <v/>
      </c>
      <c r="DE47" s="55" t="str">
        <f t="shared" si="28"/>
        <v/>
      </c>
      <c r="DF47" s="55" t="str">
        <f t="shared" si="28"/>
        <v/>
      </c>
      <c r="DG47" s="55" t="str">
        <f t="shared" si="28"/>
        <v/>
      </c>
      <c r="DH47" s="55" t="str">
        <f t="shared" si="28"/>
        <v/>
      </c>
      <c r="DI47" s="55" t="str">
        <f t="shared" si="28"/>
        <v/>
      </c>
      <c r="DJ47" s="55" t="str">
        <f t="shared" si="28"/>
        <v/>
      </c>
      <c r="DK47" s="55" t="str">
        <f t="shared" si="28"/>
        <v/>
      </c>
      <c r="DL47" s="55" t="str">
        <f t="shared" si="28"/>
        <v/>
      </c>
      <c r="DM47" s="55" t="str">
        <f t="shared" si="28"/>
        <v/>
      </c>
      <c r="DN47" s="55" t="str">
        <f t="shared" si="28"/>
        <v/>
      </c>
      <c r="DO47" s="55" t="str">
        <f t="shared" si="40"/>
        <v/>
      </c>
      <c r="DP47" s="55" t="str">
        <f t="shared" si="40"/>
        <v/>
      </c>
      <c r="DQ47" s="55" t="str">
        <f t="shared" si="40"/>
        <v/>
      </c>
      <c r="DR47" s="55" t="str">
        <f t="shared" si="40"/>
        <v/>
      </c>
      <c r="DS47" s="55" t="str">
        <f t="shared" si="40"/>
        <v/>
      </c>
      <c r="DT47" s="110" t="str">
        <f t="shared" si="40"/>
        <v/>
      </c>
      <c r="DU47" s="54"/>
      <c r="DV47" s="25"/>
      <c r="DW47" s="61" t="str">
        <f t="shared" si="44"/>
        <v/>
      </c>
      <c r="DX47" s="50">
        <f t="shared" si="44"/>
        <v>657.95870160000004</v>
      </c>
      <c r="DY47" s="50" t="str">
        <f t="shared" si="44"/>
        <v/>
      </c>
      <c r="DZ47" s="50" t="str">
        <f t="shared" si="44"/>
        <v/>
      </c>
      <c r="EA47" s="50" t="str">
        <f t="shared" si="44"/>
        <v/>
      </c>
      <c r="EB47" s="50" t="str">
        <f t="shared" si="44"/>
        <v/>
      </c>
      <c r="EC47" s="50" t="str">
        <f t="shared" si="44"/>
        <v/>
      </c>
      <c r="ED47" s="50" t="str">
        <f t="shared" si="44"/>
        <v/>
      </c>
      <c r="EE47" s="50" t="str">
        <f t="shared" si="44"/>
        <v/>
      </c>
      <c r="EF47" s="50" t="str">
        <f t="shared" si="44"/>
        <v/>
      </c>
      <c r="EG47" s="50" t="str">
        <f t="shared" si="44"/>
        <v/>
      </c>
      <c r="EH47" s="50" t="str">
        <f t="shared" si="44"/>
        <v/>
      </c>
      <c r="EI47" s="50" t="str">
        <f t="shared" si="44"/>
        <v/>
      </c>
      <c r="EJ47" s="50" t="str">
        <f t="shared" si="44"/>
        <v/>
      </c>
      <c r="EK47" s="50" t="str">
        <f t="shared" si="44"/>
        <v/>
      </c>
      <c r="EL47" s="50" t="str">
        <f t="shared" si="44"/>
        <v/>
      </c>
      <c r="EM47" s="50" t="str">
        <f t="shared" si="44"/>
        <v/>
      </c>
      <c r="EN47" s="50" t="str">
        <f t="shared" si="44"/>
        <v/>
      </c>
      <c r="EO47" s="50" t="str">
        <f t="shared" si="44"/>
        <v/>
      </c>
      <c r="EP47" s="50" t="str">
        <f t="shared" si="44"/>
        <v/>
      </c>
      <c r="EQ47" s="50" t="str">
        <f t="shared" si="44"/>
        <v/>
      </c>
      <c r="ER47" s="50" t="str">
        <f t="shared" si="44"/>
        <v/>
      </c>
      <c r="ES47" s="50" t="str">
        <f t="shared" si="44"/>
        <v/>
      </c>
      <c r="ET47" s="50" t="str">
        <f t="shared" si="44"/>
        <v/>
      </c>
      <c r="EU47" s="50" t="str">
        <f t="shared" si="44"/>
        <v/>
      </c>
      <c r="EV47" s="50" t="str">
        <f t="shared" si="44"/>
        <v/>
      </c>
      <c r="EW47" s="50" t="str">
        <f t="shared" si="44"/>
        <v/>
      </c>
      <c r="EX47" s="50" t="str">
        <f t="shared" si="44"/>
        <v/>
      </c>
      <c r="EY47" s="50" t="str">
        <f t="shared" si="44"/>
        <v/>
      </c>
      <c r="EZ47" s="50" t="str">
        <f t="shared" si="44"/>
        <v/>
      </c>
      <c r="FA47" s="50" t="str">
        <f t="shared" si="44"/>
        <v/>
      </c>
      <c r="FB47" s="50" t="str">
        <f t="shared" si="44"/>
        <v/>
      </c>
      <c r="FC47" s="50" t="str">
        <f t="shared" si="48"/>
        <v/>
      </c>
      <c r="FD47" s="50" t="str">
        <f t="shared" si="48"/>
        <v/>
      </c>
      <c r="FE47" s="50" t="str">
        <f t="shared" si="48"/>
        <v/>
      </c>
      <c r="FF47" s="50" t="str">
        <f t="shared" si="48"/>
        <v/>
      </c>
      <c r="FG47" s="50" t="str">
        <f t="shared" si="48"/>
        <v/>
      </c>
      <c r="FH47" s="50" t="str">
        <f t="shared" si="48"/>
        <v/>
      </c>
      <c r="FI47" s="50" t="str">
        <f t="shared" si="48"/>
        <v/>
      </c>
      <c r="FJ47" s="50" t="str">
        <f t="shared" si="48"/>
        <v/>
      </c>
      <c r="FK47" s="50" t="str">
        <f t="shared" si="48"/>
        <v/>
      </c>
      <c r="FL47" s="50" t="str">
        <f t="shared" si="48"/>
        <v/>
      </c>
      <c r="FM47" s="50" t="str">
        <f t="shared" si="48"/>
        <v/>
      </c>
      <c r="FN47" s="50" t="str">
        <f t="shared" si="48"/>
        <v/>
      </c>
      <c r="FO47" s="50" t="str">
        <f t="shared" si="48"/>
        <v/>
      </c>
      <c r="FP47" s="50" t="str">
        <f t="shared" si="48"/>
        <v/>
      </c>
      <c r="FQ47" s="50" t="str">
        <f t="shared" si="48"/>
        <v/>
      </c>
      <c r="FR47" s="50" t="str">
        <f t="shared" si="48"/>
        <v/>
      </c>
      <c r="FS47" s="50" t="str">
        <f t="shared" si="48"/>
        <v/>
      </c>
      <c r="FT47" s="50" t="str">
        <f t="shared" si="48"/>
        <v/>
      </c>
      <c r="FU47" s="50" t="str">
        <f t="shared" si="48"/>
        <v/>
      </c>
      <c r="FV47" s="50" t="str">
        <f t="shared" si="48"/>
        <v/>
      </c>
      <c r="FW47" s="50" t="str">
        <f t="shared" si="48"/>
        <v/>
      </c>
      <c r="FX47" s="50" t="str">
        <f t="shared" si="48"/>
        <v/>
      </c>
      <c r="FY47" s="50" t="str">
        <f t="shared" si="48"/>
        <v/>
      </c>
      <c r="FZ47" s="50" t="str">
        <f t="shared" si="48"/>
        <v/>
      </c>
      <c r="GA47" s="50" t="str">
        <f t="shared" si="48"/>
        <v/>
      </c>
      <c r="GB47" s="50" t="str">
        <f t="shared" si="48"/>
        <v/>
      </c>
      <c r="GC47" s="50" t="str">
        <f t="shared" si="48"/>
        <v/>
      </c>
      <c r="GD47" s="50" t="str">
        <f t="shared" si="48"/>
        <v/>
      </c>
      <c r="GE47" s="50" t="str">
        <f t="shared" si="48"/>
        <v/>
      </c>
      <c r="GF47" s="50" t="str">
        <f t="shared" si="48"/>
        <v/>
      </c>
      <c r="GG47" s="50" t="str">
        <f t="shared" si="48"/>
        <v/>
      </c>
      <c r="GH47" s="50" t="str">
        <f t="shared" si="33"/>
        <v/>
      </c>
      <c r="GI47" s="50" t="str">
        <f t="shared" si="33"/>
        <v/>
      </c>
      <c r="GJ47" s="50" t="str">
        <f t="shared" si="33"/>
        <v/>
      </c>
      <c r="GK47" s="50" t="str">
        <f t="shared" si="33"/>
        <v/>
      </c>
      <c r="GL47" s="50" t="str">
        <f t="shared" si="33"/>
        <v/>
      </c>
      <c r="GM47" s="50" t="str">
        <f t="shared" si="33"/>
        <v/>
      </c>
      <c r="GN47" s="50" t="str">
        <f t="shared" si="33"/>
        <v/>
      </c>
      <c r="GO47" s="50" t="str">
        <f t="shared" si="33"/>
        <v/>
      </c>
      <c r="GP47" s="50" t="str">
        <f t="shared" si="33"/>
        <v/>
      </c>
      <c r="GQ47" s="50" t="str">
        <f t="shared" si="33"/>
        <v/>
      </c>
      <c r="GR47" s="50" t="str">
        <f t="shared" si="33"/>
        <v/>
      </c>
      <c r="GS47" s="50" t="str">
        <f t="shared" si="33"/>
        <v/>
      </c>
      <c r="GT47" s="50" t="str">
        <f t="shared" si="33"/>
        <v/>
      </c>
      <c r="GU47" s="50" t="str">
        <f t="shared" si="33"/>
        <v/>
      </c>
      <c r="GV47" s="50" t="str">
        <f t="shared" si="33"/>
        <v/>
      </c>
      <c r="GW47" s="50" t="str">
        <f t="shared" si="33"/>
        <v/>
      </c>
      <c r="GX47" s="50" t="str">
        <f t="shared" ref="GX47:HM74" si="50">IF($B47=GX$12,$O47,"")</f>
        <v/>
      </c>
      <c r="GY47" s="50" t="str">
        <f t="shared" si="50"/>
        <v/>
      </c>
      <c r="GZ47" s="50" t="str">
        <f t="shared" si="50"/>
        <v/>
      </c>
      <c r="HA47" s="50" t="str">
        <f t="shared" si="50"/>
        <v/>
      </c>
      <c r="HB47" s="50" t="str">
        <f t="shared" si="50"/>
        <v/>
      </c>
      <c r="HC47" s="50" t="str">
        <f t="shared" si="50"/>
        <v/>
      </c>
      <c r="HD47" s="50" t="str">
        <f t="shared" si="50"/>
        <v/>
      </c>
      <c r="HE47" s="50" t="str">
        <f t="shared" si="50"/>
        <v/>
      </c>
      <c r="HF47" s="50" t="str">
        <f t="shared" si="50"/>
        <v/>
      </c>
      <c r="HG47" s="50" t="str">
        <f t="shared" si="50"/>
        <v/>
      </c>
      <c r="HH47" s="50" t="str">
        <f t="shared" si="50"/>
        <v/>
      </c>
      <c r="HI47" s="50" t="str">
        <f t="shared" si="50"/>
        <v/>
      </c>
      <c r="HJ47" s="50" t="str">
        <f t="shared" si="50"/>
        <v/>
      </c>
      <c r="HK47" s="50" t="str">
        <f t="shared" si="50"/>
        <v/>
      </c>
      <c r="HL47" s="50" t="str">
        <f t="shared" si="50"/>
        <v/>
      </c>
      <c r="HM47" s="50" t="str">
        <f t="shared" si="49"/>
        <v/>
      </c>
      <c r="HN47" s="50" t="str">
        <f t="shared" si="23"/>
        <v/>
      </c>
      <c r="HO47" s="50" t="str">
        <f t="shared" si="23"/>
        <v/>
      </c>
      <c r="HP47" s="50" t="str">
        <f t="shared" si="23"/>
        <v/>
      </c>
      <c r="HQ47" s="50" t="str">
        <f t="shared" si="23"/>
        <v/>
      </c>
      <c r="HR47" s="116" t="str">
        <f t="shared" si="23"/>
        <v/>
      </c>
    </row>
    <row r="48" spans="1:226" ht="11.15" customHeight="1" x14ac:dyDescent="0.25">
      <c r="A48" s="26" t="s">
        <v>47</v>
      </c>
      <c r="B48" s="27">
        <v>2</v>
      </c>
      <c r="C48" s="28" t="str">
        <f>IF(A48=0,"",VLOOKUP(A48,[3]CO!$A$3:$F$5327,2,0))</f>
        <v>barrenos, colocar varillin , cimbrar, colar y perfilar machuelo 10 x 10</v>
      </c>
      <c r="D48" s="29" t="s">
        <v>48</v>
      </c>
      <c r="E48" s="29"/>
      <c r="F48" s="29"/>
      <c r="G48" s="30" t="str">
        <f>IF(A48=0,"",VLOOKUP(A48,[3]CO!$A$3:$F$5327,3,0))</f>
        <v>ML</v>
      </c>
      <c r="H48" s="29"/>
      <c r="I48" s="31">
        <f>2.15+1.55</f>
        <v>3.7</v>
      </c>
      <c r="J48" s="31"/>
      <c r="K48" s="31"/>
      <c r="L48" s="31">
        <v>1</v>
      </c>
      <c r="M48" s="32">
        <f t="shared" si="4"/>
        <v>3.7</v>
      </c>
      <c r="N48" s="32">
        <f>IF(B48=0,"",IF(H48="M",HLOOKUP(B48,$Y$12:$DT$13,2),IF(A48=0,"",VLOOKUP(A48,[3]CO!$A$3:$F$5327,4,0))))</f>
        <v>125.30160000000001</v>
      </c>
      <c r="O48" s="32">
        <f t="shared" si="11"/>
        <v>463.61592000000007</v>
      </c>
      <c r="P48" s="33"/>
      <c r="Q48" s="34" t="str">
        <f t="shared" si="5"/>
        <v/>
      </c>
      <c r="R48" s="35" t="str">
        <f t="shared" si="6"/>
        <v/>
      </c>
      <c r="S48" s="122"/>
      <c r="T48" s="53">
        <f>IF(A48=0,"",VLOOKUP(A48,[3]CO!$A$3:$F$5318,5,0))</f>
        <v>0</v>
      </c>
      <c r="U48" s="54">
        <f t="shared" si="12"/>
        <v>0</v>
      </c>
      <c r="V48" s="24"/>
      <c r="W48" s="25"/>
      <c r="X48" s="25"/>
      <c r="Y48" s="64" t="str">
        <f t="shared" si="43"/>
        <v/>
      </c>
      <c r="Z48" s="55">
        <f t="shared" si="43"/>
        <v>0</v>
      </c>
      <c r="AA48" s="55" t="str">
        <f t="shared" si="43"/>
        <v/>
      </c>
      <c r="AB48" s="55" t="str">
        <f t="shared" si="43"/>
        <v/>
      </c>
      <c r="AC48" s="55" t="str">
        <f t="shared" si="43"/>
        <v/>
      </c>
      <c r="AD48" s="55" t="str">
        <f t="shared" si="43"/>
        <v/>
      </c>
      <c r="AE48" s="55" t="str">
        <f t="shared" si="43"/>
        <v/>
      </c>
      <c r="AF48" s="55" t="str">
        <f t="shared" si="43"/>
        <v/>
      </c>
      <c r="AG48" s="55" t="str">
        <f t="shared" si="43"/>
        <v/>
      </c>
      <c r="AH48" s="55" t="str">
        <f t="shared" si="43"/>
        <v/>
      </c>
      <c r="AI48" s="55" t="str">
        <f t="shared" si="43"/>
        <v/>
      </c>
      <c r="AJ48" s="55" t="str">
        <f t="shared" si="43"/>
        <v/>
      </c>
      <c r="AK48" s="55" t="str">
        <f t="shared" si="43"/>
        <v/>
      </c>
      <c r="AL48" s="55" t="str">
        <f t="shared" si="43"/>
        <v/>
      </c>
      <c r="AM48" s="55" t="str">
        <f t="shared" si="43"/>
        <v/>
      </c>
      <c r="AN48" s="55" t="str">
        <f t="shared" si="43"/>
        <v/>
      </c>
      <c r="AO48" s="55" t="str">
        <f t="shared" si="43"/>
        <v/>
      </c>
      <c r="AP48" s="55" t="str">
        <f t="shared" si="43"/>
        <v/>
      </c>
      <c r="AQ48" s="55" t="str">
        <f t="shared" si="43"/>
        <v/>
      </c>
      <c r="AR48" s="55" t="str">
        <f t="shared" si="43"/>
        <v/>
      </c>
      <c r="AS48" s="55" t="str">
        <f t="shared" si="43"/>
        <v/>
      </c>
      <c r="AT48" s="55" t="str">
        <f t="shared" si="43"/>
        <v/>
      </c>
      <c r="AU48" s="55" t="str">
        <f t="shared" si="43"/>
        <v/>
      </c>
      <c r="AV48" s="55" t="str">
        <f t="shared" si="43"/>
        <v/>
      </c>
      <c r="AW48" s="55" t="str">
        <f t="shared" si="43"/>
        <v/>
      </c>
      <c r="AX48" s="55" t="str">
        <f t="shared" si="43"/>
        <v/>
      </c>
      <c r="AY48" s="55" t="str">
        <f t="shared" si="43"/>
        <v/>
      </c>
      <c r="AZ48" s="55" t="str">
        <f t="shared" si="43"/>
        <v/>
      </c>
      <c r="BA48" s="55" t="str">
        <f t="shared" si="43"/>
        <v/>
      </c>
      <c r="BB48" s="55" t="str">
        <f t="shared" si="43"/>
        <v/>
      </c>
      <c r="BC48" s="55" t="str">
        <f t="shared" si="43"/>
        <v/>
      </c>
      <c r="BD48" s="55" t="str">
        <f t="shared" si="43"/>
        <v/>
      </c>
      <c r="BE48" s="55" t="str">
        <f t="shared" si="47"/>
        <v/>
      </c>
      <c r="BF48" s="55" t="str">
        <f t="shared" si="47"/>
        <v/>
      </c>
      <c r="BG48" s="55" t="str">
        <f t="shared" si="47"/>
        <v/>
      </c>
      <c r="BH48" s="55" t="str">
        <f t="shared" si="47"/>
        <v/>
      </c>
      <c r="BI48" s="55" t="str">
        <f t="shared" si="47"/>
        <v/>
      </c>
      <c r="BJ48" s="55" t="str">
        <f t="shared" si="47"/>
        <v/>
      </c>
      <c r="BK48" s="55" t="str">
        <f t="shared" si="47"/>
        <v/>
      </c>
      <c r="BL48" s="55" t="str">
        <f t="shared" si="47"/>
        <v/>
      </c>
      <c r="BM48" s="55" t="str">
        <f t="shared" si="47"/>
        <v/>
      </c>
      <c r="BN48" s="55" t="str">
        <f t="shared" si="47"/>
        <v/>
      </c>
      <c r="BO48" s="55" t="str">
        <f t="shared" si="47"/>
        <v/>
      </c>
      <c r="BP48" s="55" t="str">
        <f t="shared" si="47"/>
        <v/>
      </c>
      <c r="BQ48" s="55" t="str">
        <f t="shared" si="47"/>
        <v/>
      </c>
      <c r="BR48" s="55" t="str">
        <f t="shared" si="47"/>
        <v/>
      </c>
      <c r="BS48" s="55" t="str">
        <f t="shared" si="47"/>
        <v/>
      </c>
      <c r="BT48" s="55" t="str">
        <f t="shared" si="47"/>
        <v/>
      </c>
      <c r="BU48" s="55" t="str">
        <f t="shared" si="47"/>
        <v/>
      </c>
      <c r="BV48" s="55" t="str">
        <f t="shared" si="47"/>
        <v/>
      </c>
      <c r="BW48" s="55" t="str">
        <f t="shared" si="47"/>
        <v/>
      </c>
      <c r="BX48" s="55" t="str">
        <f t="shared" si="47"/>
        <v/>
      </c>
      <c r="BY48" s="55" t="str">
        <f t="shared" si="47"/>
        <v/>
      </c>
      <c r="BZ48" s="55" t="str">
        <f t="shared" si="47"/>
        <v/>
      </c>
      <c r="CA48" s="55" t="str">
        <f t="shared" si="47"/>
        <v/>
      </c>
      <c r="CB48" s="55" t="str">
        <f t="shared" si="47"/>
        <v/>
      </c>
      <c r="CC48" s="55" t="str">
        <f t="shared" si="47"/>
        <v/>
      </c>
      <c r="CD48" s="55" t="str">
        <f t="shared" si="47"/>
        <v/>
      </c>
      <c r="CE48" s="55" t="str">
        <f t="shared" si="47"/>
        <v/>
      </c>
      <c r="CF48" s="55" t="str">
        <f t="shared" si="47"/>
        <v/>
      </c>
      <c r="CG48" s="55" t="str">
        <f t="shared" si="47"/>
        <v/>
      </c>
      <c r="CH48" s="55" t="str">
        <f t="shared" si="47"/>
        <v/>
      </c>
      <c r="CI48" s="55" t="str">
        <f t="shared" si="47"/>
        <v/>
      </c>
      <c r="CJ48" s="55" t="str">
        <f t="shared" si="31"/>
        <v/>
      </c>
      <c r="CK48" s="55" t="str">
        <f t="shared" si="31"/>
        <v/>
      </c>
      <c r="CL48" s="55" t="str">
        <f t="shared" si="31"/>
        <v/>
      </c>
      <c r="CM48" s="55" t="str">
        <f t="shared" si="31"/>
        <v/>
      </c>
      <c r="CN48" s="55" t="str">
        <f t="shared" si="31"/>
        <v/>
      </c>
      <c r="CO48" s="55" t="str">
        <f t="shared" si="31"/>
        <v/>
      </c>
      <c r="CP48" s="55" t="str">
        <f t="shared" si="31"/>
        <v/>
      </c>
      <c r="CQ48" s="55" t="str">
        <f t="shared" si="31"/>
        <v/>
      </c>
      <c r="CR48" s="55" t="str">
        <f t="shared" si="31"/>
        <v/>
      </c>
      <c r="CS48" s="55" t="str">
        <f t="shared" si="31"/>
        <v/>
      </c>
      <c r="CT48" s="55" t="str">
        <f t="shared" si="31"/>
        <v/>
      </c>
      <c r="CU48" s="55" t="str">
        <f t="shared" si="31"/>
        <v/>
      </c>
      <c r="CV48" s="55" t="str">
        <f t="shared" si="31"/>
        <v/>
      </c>
      <c r="CW48" s="55" t="str">
        <f t="shared" si="31"/>
        <v/>
      </c>
      <c r="CX48" s="55" t="str">
        <f t="shared" si="31"/>
        <v/>
      </c>
      <c r="CY48" s="55" t="str">
        <f t="shared" si="31"/>
        <v/>
      </c>
      <c r="CZ48" s="55" t="str">
        <f t="shared" si="28"/>
        <v/>
      </c>
      <c r="DA48" s="55" t="str">
        <f t="shared" si="28"/>
        <v/>
      </c>
      <c r="DB48" s="55" t="str">
        <f t="shared" si="28"/>
        <v/>
      </c>
      <c r="DC48" s="55" t="str">
        <f t="shared" si="28"/>
        <v/>
      </c>
      <c r="DD48" s="55" t="str">
        <f t="shared" si="28"/>
        <v/>
      </c>
      <c r="DE48" s="55" t="str">
        <f t="shared" si="28"/>
        <v/>
      </c>
      <c r="DF48" s="55" t="str">
        <f t="shared" si="28"/>
        <v/>
      </c>
      <c r="DG48" s="55" t="str">
        <f t="shared" si="28"/>
        <v/>
      </c>
      <c r="DH48" s="55" t="str">
        <f t="shared" si="28"/>
        <v/>
      </c>
      <c r="DI48" s="55" t="str">
        <f t="shared" si="28"/>
        <v/>
      </c>
      <c r="DJ48" s="55" t="str">
        <f t="shared" si="28"/>
        <v/>
      </c>
      <c r="DK48" s="55" t="str">
        <f t="shared" si="28"/>
        <v/>
      </c>
      <c r="DL48" s="55" t="str">
        <f t="shared" si="28"/>
        <v/>
      </c>
      <c r="DM48" s="55" t="str">
        <f t="shared" si="28"/>
        <v/>
      </c>
      <c r="DN48" s="55" t="str">
        <f t="shared" si="28"/>
        <v/>
      </c>
      <c r="DO48" s="55" t="str">
        <f t="shared" si="40"/>
        <v/>
      </c>
      <c r="DP48" s="55" t="str">
        <f t="shared" si="40"/>
        <v/>
      </c>
      <c r="DQ48" s="55" t="str">
        <f t="shared" si="40"/>
        <v/>
      </c>
      <c r="DR48" s="55" t="str">
        <f t="shared" si="40"/>
        <v/>
      </c>
      <c r="DS48" s="55" t="str">
        <f t="shared" si="40"/>
        <v/>
      </c>
      <c r="DT48" s="110" t="str">
        <f t="shared" si="40"/>
        <v/>
      </c>
      <c r="DU48" s="54"/>
      <c r="DV48" s="25"/>
      <c r="DW48" s="61" t="str">
        <f t="shared" si="44"/>
        <v/>
      </c>
      <c r="DX48" s="50">
        <f t="shared" si="44"/>
        <v>463.61592000000007</v>
      </c>
      <c r="DY48" s="50" t="str">
        <f t="shared" si="44"/>
        <v/>
      </c>
      <c r="DZ48" s="50" t="str">
        <f t="shared" si="44"/>
        <v/>
      </c>
      <c r="EA48" s="50" t="str">
        <f t="shared" si="44"/>
        <v/>
      </c>
      <c r="EB48" s="50" t="str">
        <f t="shared" si="44"/>
        <v/>
      </c>
      <c r="EC48" s="50" t="str">
        <f t="shared" si="44"/>
        <v/>
      </c>
      <c r="ED48" s="50" t="str">
        <f t="shared" si="44"/>
        <v/>
      </c>
      <c r="EE48" s="50" t="str">
        <f t="shared" si="44"/>
        <v/>
      </c>
      <c r="EF48" s="50" t="str">
        <f t="shared" si="44"/>
        <v/>
      </c>
      <c r="EG48" s="50" t="str">
        <f t="shared" si="44"/>
        <v/>
      </c>
      <c r="EH48" s="50" t="str">
        <f t="shared" si="44"/>
        <v/>
      </c>
      <c r="EI48" s="50" t="str">
        <f t="shared" si="44"/>
        <v/>
      </c>
      <c r="EJ48" s="50" t="str">
        <f t="shared" si="44"/>
        <v/>
      </c>
      <c r="EK48" s="50" t="str">
        <f t="shared" si="44"/>
        <v/>
      </c>
      <c r="EL48" s="50" t="str">
        <f t="shared" si="44"/>
        <v/>
      </c>
      <c r="EM48" s="50" t="str">
        <f t="shared" si="44"/>
        <v/>
      </c>
      <c r="EN48" s="50" t="str">
        <f t="shared" si="44"/>
        <v/>
      </c>
      <c r="EO48" s="50" t="str">
        <f t="shared" si="44"/>
        <v/>
      </c>
      <c r="EP48" s="50" t="str">
        <f t="shared" si="44"/>
        <v/>
      </c>
      <c r="EQ48" s="50" t="str">
        <f t="shared" si="44"/>
        <v/>
      </c>
      <c r="ER48" s="50" t="str">
        <f t="shared" si="44"/>
        <v/>
      </c>
      <c r="ES48" s="50" t="str">
        <f t="shared" si="44"/>
        <v/>
      </c>
      <c r="ET48" s="50" t="str">
        <f t="shared" si="44"/>
        <v/>
      </c>
      <c r="EU48" s="50" t="str">
        <f t="shared" si="44"/>
        <v/>
      </c>
      <c r="EV48" s="50" t="str">
        <f t="shared" si="44"/>
        <v/>
      </c>
      <c r="EW48" s="50" t="str">
        <f t="shared" si="44"/>
        <v/>
      </c>
      <c r="EX48" s="50" t="str">
        <f t="shared" si="44"/>
        <v/>
      </c>
      <c r="EY48" s="50" t="str">
        <f t="shared" si="44"/>
        <v/>
      </c>
      <c r="EZ48" s="50" t="str">
        <f t="shared" si="44"/>
        <v/>
      </c>
      <c r="FA48" s="50" t="str">
        <f t="shared" si="44"/>
        <v/>
      </c>
      <c r="FB48" s="50" t="str">
        <f t="shared" si="44"/>
        <v/>
      </c>
      <c r="FC48" s="50" t="str">
        <f t="shared" si="48"/>
        <v/>
      </c>
      <c r="FD48" s="50" t="str">
        <f t="shared" si="48"/>
        <v/>
      </c>
      <c r="FE48" s="50" t="str">
        <f t="shared" si="48"/>
        <v/>
      </c>
      <c r="FF48" s="50" t="str">
        <f t="shared" si="48"/>
        <v/>
      </c>
      <c r="FG48" s="50" t="str">
        <f t="shared" si="48"/>
        <v/>
      </c>
      <c r="FH48" s="50" t="str">
        <f t="shared" si="48"/>
        <v/>
      </c>
      <c r="FI48" s="50" t="str">
        <f t="shared" si="48"/>
        <v/>
      </c>
      <c r="FJ48" s="50" t="str">
        <f t="shared" si="48"/>
        <v/>
      </c>
      <c r="FK48" s="50" t="str">
        <f t="shared" si="48"/>
        <v/>
      </c>
      <c r="FL48" s="50" t="str">
        <f t="shared" si="48"/>
        <v/>
      </c>
      <c r="FM48" s="50" t="str">
        <f t="shared" si="48"/>
        <v/>
      </c>
      <c r="FN48" s="50" t="str">
        <f t="shared" si="48"/>
        <v/>
      </c>
      <c r="FO48" s="50" t="str">
        <f t="shared" si="48"/>
        <v/>
      </c>
      <c r="FP48" s="50" t="str">
        <f t="shared" si="48"/>
        <v/>
      </c>
      <c r="FQ48" s="50" t="str">
        <f t="shared" si="48"/>
        <v/>
      </c>
      <c r="FR48" s="50" t="str">
        <f t="shared" si="48"/>
        <v/>
      </c>
      <c r="FS48" s="50" t="str">
        <f t="shared" si="48"/>
        <v/>
      </c>
      <c r="FT48" s="50" t="str">
        <f t="shared" si="48"/>
        <v/>
      </c>
      <c r="FU48" s="50" t="str">
        <f t="shared" si="48"/>
        <v/>
      </c>
      <c r="FV48" s="50" t="str">
        <f t="shared" si="48"/>
        <v/>
      </c>
      <c r="FW48" s="50" t="str">
        <f t="shared" si="48"/>
        <v/>
      </c>
      <c r="FX48" s="50" t="str">
        <f t="shared" si="48"/>
        <v/>
      </c>
      <c r="FY48" s="50" t="str">
        <f t="shared" si="48"/>
        <v/>
      </c>
      <c r="FZ48" s="50" t="str">
        <f t="shared" si="48"/>
        <v/>
      </c>
      <c r="GA48" s="50" t="str">
        <f t="shared" si="48"/>
        <v/>
      </c>
      <c r="GB48" s="50" t="str">
        <f t="shared" si="48"/>
        <v/>
      </c>
      <c r="GC48" s="50" t="str">
        <f t="shared" si="48"/>
        <v/>
      </c>
      <c r="GD48" s="50" t="str">
        <f t="shared" si="48"/>
        <v/>
      </c>
      <c r="GE48" s="50" t="str">
        <f t="shared" si="48"/>
        <v/>
      </c>
      <c r="GF48" s="50" t="str">
        <f t="shared" si="48"/>
        <v/>
      </c>
      <c r="GG48" s="50" t="str">
        <f t="shared" si="48"/>
        <v/>
      </c>
      <c r="GH48" s="50" t="str">
        <f t="shared" si="33"/>
        <v/>
      </c>
      <c r="GI48" s="50" t="str">
        <f t="shared" si="33"/>
        <v/>
      </c>
      <c r="GJ48" s="50" t="str">
        <f t="shared" si="33"/>
        <v/>
      </c>
      <c r="GK48" s="50" t="str">
        <f t="shared" si="33"/>
        <v/>
      </c>
      <c r="GL48" s="50" t="str">
        <f t="shared" si="33"/>
        <v/>
      </c>
      <c r="GM48" s="50" t="str">
        <f t="shared" si="33"/>
        <v/>
      </c>
      <c r="GN48" s="50" t="str">
        <f t="shared" si="33"/>
        <v/>
      </c>
      <c r="GO48" s="50" t="str">
        <f t="shared" si="33"/>
        <v/>
      </c>
      <c r="GP48" s="50" t="str">
        <f t="shared" si="33"/>
        <v/>
      </c>
      <c r="GQ48" s="50" t="str">
        <f t="shared" si="33"/>
        <v/>
      </c>
      <c r="GR48" s="50" t="str">
        <f t="shared" si="33"/>
        <v/>
      </c>
      <c r="GS48" s="50" t="str">
        <f t="shared" si="33"/>
        <v/>
      </c>
      <c r="GT48" s="50" t="str">
        <f t="shared" si="33"/>
        <v/>
      </c>
      <c r="GU48" s="50" t="str">
        <f t="shared" si="33"/>
        <v/>
      </c>
      <c r="GV48" s="50" t="str">
        <f t="shared" si="33"/>
        <v/>
      </c>
      <c r="GW48" s="50" t="str">
        <f t="shared" si="33"/>
        <v/>
      </c>
      <c r="GX48" s="50" t="str">
        <f t="shared" si="50"/>
        <v/>
      </c>
      <c r="GY48" s="50" t="str">
        <f t="shared" si="50"/>
        <v/>
      </c>
      <c r="GZ48" s="50" t="str">
        <f t="shared" si="50"/>
        <v/>
      </c>
      <c r="HA48" s="50" t="str">
        <f t="shared" si="50"/>
        <v/>
      </c>
      <c r="HB48" s="50" t="str">
        <f t="shared" si="50"/>
        <v/>
      </c>
      <c r="HC48" s="50" t="str">
        <f t="shared" si="50"/>
        <v/>
      </c>
      <c r="HD48" s="50" t="str">
        <f t="shared" si="50"/>
        <v/>
      </c>
      <c r="HE48" s="50" t="str">
        <f t="shared" si="50"/>
        <v/>
      </c>
      <c r="HF48" s="50" t="str">
        <f t="shared" si="50"/>
        <v/>
      </c>
      <c r="HG48" s="50" t="str">
        <f t="shared" si="50"/>
        <v/>
      </c>
      <c r="HH48" s="50" t="str">
        <f t="shared" si="50"/>
        <v/>
      </c>
      <c r="HI48" s="50" t="str">
        <f t="shared" si="50"/>
        <v/>
      </c>
      <c r="HJ48" s="50" t="str">
        <f t="shared" si="50"/>
        <v/>
      </c>
      <c r="HK48" s="50" t="str">
        <f t="shared" si="50"/>
        <v/>
      </c>
      <c r="HL48" s="50" t="str">
        <f t="shared" si="50"/>
        <v/>
      </c>
      <c r="HM48" s="50" t="str">
        <f t="shared" si="50"/>
        <v/>
      </c>
      <c r="HN48" s="50" t="str">
        <f t="shared" si="23"/>
        <v/>
      </c>
      <c r="HO48" s="50" t="str">
        <f t="shared" si="23"/>
        <v/>
      </c>
      <c r="HP48" s="50" t="str">
        <f t="shared" si="23"/>
        <v/>
      </c>
      <c r="HQ48" s="50" t="str">
        <f t="shared" si="23"/>
        <v/>
      </c>
      <c r="HR48" s="116" t="str">
        <f t="shared" si="23"/>
        <v/>
      </c>
    </row>
    <row r="49" spans="1:226" ht="11.15" customHeight="1" x14ac:dyDescent="0.25">
      <c r="A49" s="26" t="s">
        <v>31</v>
      </c>
      <c r="B49" s="27">
        <v>2</v>
      </c>
      <c r="C49" s="28" t="str">
        <f>IF(A49=0,"",VLOOKUP(A49,[3]CO!$A$3:$F$5327,2,0))</f>
        <v>compactación de ajuste tierra suelta</v>
      </c>
      <c r="D49" s="29" t="s">
        <v>49</v>
      </c>
      <c r="E49" s="29"/>
      <c r="F49" s="29"/>
      <c r="G49" s="30" t="str">
        <f>IF(A49=0,"",VLOOKUP(A49,[3]CO!$A$3:$F$5327,3,0))</f>
        <v>M2</v>
      </c>
      <c r="H49" s="29"/>
      <c r="I49" s="31">
        <v>11.7</v>
      </c>
      <c r="J49" s="31">
        <v>5.9</v>
      </c>
      <c r="K49" s="31"/>
      <c r="L49" s="31">
        <v>1</v>
      </c>
      <c r="M49" s="32">
        <f t="shared" si="4"/>
        <v>69.03</v>
      </c>
      <c r="N49" s="32">
        <f>IF(B49=0,"",IF(H49="M",HLOOKUP(B49,$Y$12:$DT$13,2),IF(A49=0,"",VLOOKUP(A49,[3]CO!$A$3:$F$5327,4,0))))</f>
        <v>6.2650800000000002</v>
      </c>
      <c r="O49" s="32">
        <f t="shared" si="11"/>
        <v>432.47847240000004</v>
      </c>
      <c r="P49" s="33"/>
      <c r="Q49" s="34" t="str">
        <f t="shared" si="5"/>
        <v/>
      </c>
      <c r="R49" s="35" t="str">
        <f t="shared" si="6"/>
        <v/>
      </c>
      <c r="S49" s="122"/>
      <c r="T49" s="53">
        <f>IF(A49=0,"",VLOOKUP(A49,[3]CO!$A$3:$F$5318,5,0))</f>
        <v>0</v>
      </c>
      <c r="U49" s="54">
        <f t="shared" si="12"/>
        <v>0</v>
      </c>
      <c r="V49" s="24"/>
      <c r="W49" s="25"/>
      <c r="X49" s="25"/>
      <c r="Y49" s="64" t="str">
        <f t="shared" si="43"/>
        <v/>
      </c>
      <c r="Z49" s="55">
        <f t="shared" si="43"/>
        <v>0</v>
      </c>
      <c r="AA49" s="55" t="str">
        <f t="shared" si="43"/>
        <v/>
      </c>
      <c r="AB49" s="55" t="str">
        <f t="shared" si="43"/>
        <v/>
      </c>
      <c r="AC49" s="55" t="str">
        <f t="shared" si="43"/>
        <v/>
      </c>
      <c r="AD49" s="55" t="str">
        <f t="shared" si="43"/>
        <v/>
      </c>
      <c r="AE49" s="55" t="str">
        <f t="shared" si="43"/>
        <v/>
      </c>
      <c r="AF49" s="55" t="str">
        <f t="shared" si="43"/>
        <v/>
      </c>
      <c r="AG49" s="55" t="str">
        <f t="shared" si="43"/>
        <v/>
      </c>
      <c r="AH49" s="55" t="str">
        <f t="shared" si="43"/>
        <v/>
      </c>
      <c r="AI49" s="55" t="str">
        <f t="shared" si="43"/>
        <v/>
      </c>
      <c r="AJ49" s="55" t="str">
        <f t="shared" si="43"/>
        <v/>
      </c>
      <c r="AK49" s="55" t="str">
        <f t="shared" si="43"/>
        <v/>
      </c>
      <c r="AL49" s="55" t="str">
        <f t="shared" si="43"/>
        <v/>
      </c>
      <c r="AM49" s="55" t="str">
        <f t="shared" si="43"/>
        <v/>
      </c>
      <c r="AN49" s="55" t="str">
        <f t="shared" si="43"/>
        <v/>
      </c>
      <c r="AO49" s="55" t="str">
        <f t="shared" si="43"/>
        <v/>
      </c>
      <c r="AP49" s="55" t="str">
        <f t="shared" si="43"/>
        <v/>
      </c>
      <c r="AQ49" s="55" t="str">
        <f t="shared" si="43"/>
        <v/>
      </c>
      <c r="AR49" s="55" t="str">
        <f t="shared" si="43"/>
        <v/>
      </c>
      <c r="AS49" s="55" t="str">
        <f t="shared" si="43"/>
        <v/>
      </c>
      <c r="AT49" s="55" t="str">
        <f t="shared" si="43"/>
        <v/>
      </c>
      <c r="AU49" s="55" t="str">
        <f t="shared" si="43"/>
        <v/>
      </c>
      <c r="AV49" s="55" t="str">
        <f t="shared" si="43"/>
        <v/>
      </c>
      <c r="AW49" s="55" t="str">
        <f t="shared" si="43"/>
        <v/>
      </c>
      <c r="AX49" s="55" t="str">
        <f t="shared" si="43"/>
        <v/>
      </c>
      <c r="AY49" s="55" t="str">
        <f t="shared" si="43"/>
        <v/>
      </c>
      <c r="AZ49" s="55" t="str">
        <f t="shared" si="43"/>
        <v/>
      </c>
      <c r="BA49" s="55" t="str">
        <f t="shared" si="43"/>
        <v/>
      </c>
      <c r="BB49" s="55" t="str">
        <f t="shared" si="43"/>
        <v/>
      </c>
      <c r="BC49" s="55" t="str">
        <f t="shared" si="43"/>
        <v/>
      </c>
      <c r="BD49" s="55" t="str">
        <f t="shared" ref="BD49" si="51">IF($B49=BD$12,$U49,"")</f>
        <v/>
      </c>
      <c r="BE49" s="55" t="str">
        <f t="shared" si="47"/>
        <v/>
      </c>
      <c r="BF49" s="55" t="str">
        <f t="shared" si="47"/>
        <v/>
      </c>
      <c r="BG49" s="55" t="str">
        <f t="shared" si="47"/>
        <v/>
      </c>
      <c r="BH49" s="55" t="str">
        <f t="shared" si="47"/>
        <v/>
      </c>
      <c r="BI49" s="55" t="str">
        <f t="shared" si="47"/>
        <v/>
      </c>
      <c r="BJ49" s="55" t="str">
        <f t="shared" si="47"/>
        <v/>
      </c>
      <c r="BK49" s="55" t="str">
        <f t="shared" si="47"/>
        <v/>
      </c>
      <c r="BL49" s="55" t="str">
        <f t="shared" si="47"/>
        <v/>
      </c>
      <c r="BM49" s="55" t="str">
        <f t="shared" si="47"/>
        <v/>
      </c>
      <c r="BN49" s="55" t="str">
        <f t="shared" si="47"/>
        <v/>
      </c>
      <c r="BO49" s="55" t="str">
        <f t="shared" si="47"/>
        <v/>
      </c>
      <c r="BP49" s="55" t="str">
        <f t="shared" si="47"/>
        <v/>
      </c>
      <c r="BQ49" s="55" t="str">
        <f t="shared" si="47"/>
        <v/>
      </c>
      <c r="BR49" s="55" t="str">
        <f t="shared" si="47"/>
        <v/>
      </c>
      <c r="BS49" s="55" t="str">
        <f t="shared" si="47"/>
        <v/>
      </c>
      <c r="BT49" s="55" t="str">
        <f t="shared" si="47"/>
        <v/>
      </c>
      <c r="BU49" s="55" t="str">
        <f t="shared" si="47"/>
        <v/>
      </c>
      <c r="BV49" s="55" t="str">
        <f t="shared" si="47"/>
        <v/>
      </c>
      <c r="BW49" s="55" t="str">
        <f t="shared" si="47"/>
        <v/>
      </c>
      <c r="BX49" s="55" t="str">
        <f t="shared" si="47"/>
        <v/>
      </c>
      <c r="BY49" s="55" t="str">
        <f t="shared" si="47"/>
        <v/>
      </c>
      <c r="BZ49" s="55" t="str">
        <f t="shared" si="47"/>
        <v/>
      </c>
      <c r="CA49" s="55" t="str">
        <f t="shared" si="47"/>
        <v/>
      </c>
      <c r="CB49" s="55" t="str">
        <f t="shared" si="47"/>
        <v/>
      </c>
      <c r="CC49" s="55" t="str">
        <f t="shared" si="47"/>
        <v/>
      </c>
      <c r="CD49" s="55" t="str">
        <f t="shared" si="47"/>
        <v/>
      </c>
      <c r="CE49" s="55" t="str">
        <f t="shared" si="47"/>
        <v/>
      </c>
      <c r="CF49" s="55" t="str">
        <f t="shared" si="47"/>
        <v/>
      </c>
      <c r="CG49" s="55" t="str">
        <f t="shared" si="47"/>
        <v/>
      </c>
      <c r="CH49" s="55" t="str">
        <f t="shared" si="47"/>
        <v/>
      </c>
      <c r="CI49" s="55" t="str">
        <f t="shared" si="47"/>
        <v/>
      </c>
      <c r="CJ49" s="55" t="str">
        <f t="shared" ref="CJ49:DT74" si="52">IF($B49=CJ$12,$U49,"")</f>
        <v/>
      </c>
      <c r="CK49" s="55" t="str">
        <f t="shared" si="52"/>
        <v/>
      </c>
      <c r="CL49" s="55" t="str">
        <f t="shared" si="52"/>
        <v/>
      </c>
      <c r="CM49" s="55" t="str">
        <f t="shared" si="52"/>
        <v/>
      </c>
      <c r="CN49" s="55" t="str">
        <f t="shared" si="52"/>
        <v/>
      </c>
      <c r="CO49" s="55" t="str">
        <f t="shared" si="52"/>
        <v/>
      </c>
      <c r="CP49" s="55" t="str">
        <f t="shared" si="52"/>
        <v/>
      </c>
      <c r="CQ49" s="55" t="str">
        <f t="shared" si="52"/>
        <v/>
      </c>
      <c r="CR49" s="55" t="str">
        <f t="shared" si="52"/>
        <v/>
      </c>
      <c r="CS49" s="55" t="str">
        <f t="shared" si="52"/>
        <v/>
      </c>
      <c r="CT49" s="55" t="str">
        <f t="shared" si="52"/>
        <v/>
      </c>
      <c r="CU49" s="55" t="str">
        <f t="shared" si="52"/>
        <v/>
      </c>
      <c r="CV49" s="55" t="str">
        <f t="shared" si="52"/>
        <v/>
      </c>
      <c r="CW49" s="55" t="str">
        <f t="shared" si="52"/>
        <v/>
      </c>
      <c r="CX49" s="55" t="str">
        <f t="shared" si="52"/>
        <v/>
      </c>
      <c r="CY49" s="55" t="str">
        <f t="shared" si="52"/>
        <v/>
      </c>
      <c r="CZ49" s="55" t="str">
        <f t="shared" si="52"/>
        <v/>
      </c>
      <c r="DA49" s="55" t="str">
        <f t="shared" si="52"/>
        <v/>
      </c>
      <c r="DB49" s="55" t="str">
        <f t="shared" si="52"/>
        <v/>
      </c>
      <c r="DC49" s="55" t="str">
        <f t="shared" si="52"/>
        <v/>
      </c>
      <c r="DD49" s="55" t="str">
        <f t="shared" si="52"/>
        <v/>
      </c>
      <c r="DE49" s="55" t="str">
        <f t="shared" si="52"/>
        <v/>
      </c>
      <c r="DF49" s="55" t="str">
        <f t="shared" si="52"/>
        <v/>
      </c>
      <c r="DG49" s="55" t="str">
        <f t="shared" si="52"/>
        <v/>
      </c>
      <c r="DH49" s="55" t="str">
        <f t="shared" si="52"/>
        <v/>
      </c>
      <c r="DI49" s="55" t="str">
        <f t="shared" si="52"/>
        <v/>
      </c>
      <c r="DJ49" s="55" t="str">
        <f t="shared" si="52"/>
        <v/>
      </c>
      <c r="DK49" s="55" t="str">
        <f t="shared" si="52"/>
        <v/>
      </c>
      <c r="DL49" s="55" t="str">
        <f t="shared" si="52"/>
        <v/>
      </c>
      <c r="DM49" s="55" t="str">
        <f t="shared" si="52"/>
        <v/>
      </c>
      <c r="DN49" s="55" t="str">
        <f t="shared" si="52"/>
        <v/>
      </c>
      <c r="DO49" s="55" t="str">
        <f t="shared" si="52"/>
        <v/>
      </c>
      <c r="DP49" s="55" t="str">
        <f t="shared" si="52"/>
        <v/>
      </c>
      <c r="DQ49" s="55" t="str">
        <f t="shared" si="52"/>
        <v/>
      </c>
      <c r="DR49" s="55" t="str">
        <f t="shared" si="52"/>
        <v/>
      </c>
      <c r="DS49" s="55" t="str">
        <f t="shared" si="52"/>
        <v/>
      </c>
      <c r="DT49" s="110" t="str">
        <f t="shared" si="52"/>
        <v/>
      </c>
      <c r="DU49" s="54"/>
      <c r="DV49" s="25"/>
      <c r="DW49" s="61" t="str">
        <f t="shared" si="44"/>
        <v/>
      </c>
      <c r="DX49" s="50">
        <f t="shared" si="44"/>
        <v>432.47847240000004</v>
      </c>
      <c r="DY49" s="50" t="str">
        <f t="shared" si="44"/>
        <v/>
      </c>
      <c r="DZ49" s="50" t="str">
        <f t="shared" si="44"/>
        <v/>
      </c>
      <c r="EA49" s="50" t="str">
        <f t="shared" si="44"/>
        <v/>
      </c>
      <c r="EB49" s="50" t="str">
        <f t="shared" si="44"/>
        <v/>
      </c>
      <c r="EC49" s="50" t="str">
        <f t="shared" si="44"/>
        <v/>
      </c>
      <c r="ED49" s="50" t="str">
        <f t="shared" si="44"/>
        <v/>
      </c>
      <c r="EE49" s="50" t="str">
        <f t="shared" si="44"/>
        <v/>
      </c>
      <c r="EF49" s="50" t="str">
        <f t="shared" si="44"/>
        <v/>
      </c>
      <c r="EG49" s="50" t="str">
        <f t="shared" si="44"/>
        <v/>
      </c>
      <c r="EH49" s="50" t="str">
        <f t="shared" si="44"/>
        <v/>
      </c>
      <c r="EI49" s="50" t="str">
        <f t="shared" si="44"/>
        <v/>
      </c>
      <c r="EJ49" s="50" t="str">
        <f t="shared" si="44"/>
        <v/>
      </c>
      <c r="EK49" s="50" t="str">
        <f t="shared" si="44"/>
        <v/>
      </c>
      <c r="EL49" s="50" t="str">
        <f t="shared" si="44"/>
        <v/>
      </c>
      <c r="EM49" s="50" t="str">
        <f t="shared" si="44"/>
        <v/>
      </c>
      <c r="EN49" s="50" t="str">
        <f t="shared" si="44"/>
        <v/>
      </c>
      <c r="EO49" s="50" t="str">
        <f t="shared" si="44"/>
        <v/>
      </c>
      <c r="EP49" s="50" t="str">
        <f t="shared" si="44"/>
        <v/>
      </c>
      <c r="EQ49" s="50" t="str">
        <f t="shared" si="44"/>
        <v/>
      </c>
      <c r="ER49" s="50" t="str">
        <f t="shared" si="44"/>
        <v/>
      </c>
      <c r="ES49" s="50" t="str">
        <f t="shared" si="44"/>
        <v/>
      </c>
      <c r="ET49" s="50" t="str">
        <f t="shared" si="44"/>
        <v/>
      </c>
      <c r="EU49" s="50" t="str">
        <f t="shared" si="44"/>
        <v/>
      </c>
      <c r="EV49" s="50" t="str">
        <f t="shared" si="44"/>
        <v/>
      </c>
      <c r="EW49" s="50" t="str">
        <f t="shared" si="44"/>
        <v/>
      </c>
      <c r="EX49" s="50" t="str">
        <f t="shared" si="44"/>
        <v/>
      </c>
      <c r="EY49" s="50" t="str">
        <f t="shared" si="44"/>
        <v/>
      </c>
      <c r="EZ49" s="50" t="str">
        <f t="shared" si="44"/>
        <v/>
      </c>
      <c r="FA49" s="50" t="str">
        <f t="shared" si="44"/>
        <v/>
      </c>
      <c r="FB49" s="50" t="str">
        <f t="shared" ref="FB49" si="53">IF($B49=FB$12,$O49,"")</f>
        <v/>
      </c>
      <c r="FC49" s="50" t="str">
        <f t="shared" si="48"/>
        <v/>
      </c>
      <c r="FD49" s="50" t="str">
        <f t="shared" si="48"/>
        <v/>
      </c>
      <c r="FE49" s="50" t="str">
        <f t="shared" si="48"/>
        <v/>
      </c>
      <c r="FF49" s="50" t="str">
        <f t="shared" si="48"/>
        <v/>
      </c>
      <c r="FG49" s="50" t="str">
        <f t="shared" si="48"/>
        <v/>
      </c>
      <c r="FH49" s="50" t="str">
        <f t="shared" si="48"/>
        <v/>
      </c>
      <c r="FI49" s="50" t="str">
        <f t="shared" si="48"/>
        <v/>
      </c>
      <c r="FJ49" s="50" t="str">
        <f t="shared" si="48"/>
        <v/>
      </c>
      <c r="FK49" s="50" t="str">
        <f t="shared" si="48"/>
        <v/>
      </c>
      <c r="FL49" s="50" t="str">
        <f t="shared" si="48"/>
        <v/>
      </c>
      <c r="FM49" s="50" t="str">
        <f t="shared" si="48"/>
        <v/>
      </c>
      <c r="FN49" s="50" t="str">
        <f t="shared" si="48"/>
        <v/>
      </c>
      <c r="FO49" s="50" t="str">
        <f t="shared" si="48"/>
        <v/>
      </c>
      <c r="FP49" s="50" t="str">
        <f t="shared" si="48"/>
        <v/>
      </c>
      <c r="FQ49" s="50" t="str">
        <f t="shared" si="48"/>
        <v/>
      </c>
      <c r="FR49" s="50" t="str">
        <f t="shared" si="48"/>
        <v/>
      </c>
      <c r="FS49" s="50" t="str">
        <f t="shared" si="48"/>
        <v/>
      </c>
      <c r="FT49" s="50" t="str">
        <f t="shared" si="48"/>
        <v/>
      </c>
      <c r="FU49" s="50" t="str">
        <f t="shared" si="48"/>
        <v/>
      </c>
      <c r="FV49" s="50" t="str">
        <f t="shared" si="48"/>
        <v/>
      </c>
      <c r="FW49" s="50" t="str">
        <f t="shared" si="48"/>
        <v/>
      </c>
      <c r="FX49" s="50" t="str">
        <f t="shared" si="48"/>
        <v/>
      </c>
      <c r="FY49" s="50" t="str">
        <f t="shared" si="48"/>
        <v/>
      </c>
      <c r="FZ49" s="50" t="str">
        <f t="shared" si="48"/>
        <v/>
      </c>
      <c r="GA49" s="50" t="str">
        <f t="shared" si="48"/>
        <v/>
      </c>
      <c r="GB49" s="50" t="str">
        <f t="shared" si="48"/>
        <v/>
      </c>
      <c r="GC49" s="50" t="str">
        <f t="shared" si="48"/>
        <v/>
      </c>
      <c r="GD49" s="50" t="str">
        <f t="shared" si="48"/>
        <v/>
      </c>
      <c r="GE49" s="50" t="str">
        <f t="shared" si="48"/>
        <v/>
      </c>
      <c r="GF49" s="50" t="str">
        <f t="shared" si="48"/>
        <v/>
      </c>
      <c r="GG49" s="50" t="str">
        <f t="shared" si="48"/>
        <v/>
      </c>
      <c r="GH49" s="50" t="str">
        <f t="shared" ref="GH49:GW74" si="54">IF($B49=GH$12,$O49,"")</f>
        <v/>
      </c>
      <c r="GI49" s="50" t="str">
        <f t="shared" si="54"/>
        <v/>
      </c>
      <c r="GJ49" s="50" t="str">
        <f t="shared" si="54"/>
        <v/>
      </c>
      <c r="GK49" s="50" t="str">
        <f t="shared" si="54"/>
        <v/>
      </c>
      <c r="GL49" s="50" t="str">
        <f t="shared" si="54"/>
        <v/>
      </c>
      <c r="GM49" s="50" t="str">
        <f t="shared" si="54"/>
        <v/>
      </c>
      <c r="GN49" s="50" t="str">
        <f t="shared" si="54"/>
        <v/>
      </c>
      <c r="GO49" s="50" t="str">
        <f t="shared" si="54"/>
        <v/>
      </c>
      <c r="GP49" s="50" t="str">
        <f t="shared" si="54"/>
        <v/>
      </c>
      <c r="GQ49" s="50" t="str">
        <f t="shared" si="54"/>
        <v/>
      </c>
      <c r="GR49" s="50" t="str">
        <f t="shared" si="54"/>
        <v/>
      </c>
      <c r="GS49" s="50" t="str">
        <f t="shared" si="54"/>
        <v/>
      </c>
      <c r="GT49" s="50" t="str">
        <f t="shared" si="54"/>
        <v/>
      </c>
      <c r="GU49" s="50" t="str">
        <f t="shared" si="54"/>
        <v/>
      </c>
      <c r="GV49" s="50" t="str">
        <f t="shared" si="54"/>
        <v/>
      </c>
      <c r="GW49" s="50" t="str">
        <f t="shared" si="54"/>
        <v/>
      </c>
      <c r="GX49" s="50" t="str">
        <f t="shared" si="50"/>
        <v/>
      </c>
      <c r="GY49" s="50" t="str">
        <f t="shared" si="50"/>
        <v/>
      </c>
      <c r="GZ49" s="50" t="str">
        <f t="shared" si="50"/>
        <v/>
      </c>
      <c r="HA49" s="50" t="str">
        <f t="shared" si="50"/>
        <v/>
      </c>
      <c r="HB49" s="50" t="str">
        <f t="shared" si="50"/>
        <v/>
      </c>
      <c r="HC49" s="50" t="str">
        <f t="shared" si="50"/>
        <v/>
      </c>
      <c r="HD49" s="50" t="str">
        <f t="shared" si="50"/>
        <v/>
      </c>
      <c r="HE49" s="50" t="str">
        <f t="shared" si="50"/>
        <v/>
      </c>
      <c r="HF49" s="50" t="str">
        <f t="shared" si="50"/>
        <v/>
      </c>
      <c r="HG49" s="50" t="str">
        <f t="shared" si="50"/>
        <v/>
      </c>
      <c r="HH49" s="50" t="str">
        <f t="shared" si="50"/>
        <v/>
      </c>
      <c r="HI49" s="50" t="str">
        <f t="shared" si="50"/>
        <v/>
      </c>
      <c r="HJ49" s="50" t="str">
        <f t="shared" si="50"/>
        <v/>
      </c>
      <c r="HK49" s="50" t="str">
        <f t="shared" si="50"/>
        <v/>
      </c>
      <c r="HL49" s="50" t="str">
        <f t="shared" si="50"/>
        <v/>
      </c>
      <c r="HM49" s="50" t="str">
        <f t="shared" si="50"/>
        <v/>
      </c>
      <c r="HN49" s="50" t="str">
        <f t="shared" si="23"/>
        <v/>
      </c>
      <c r="HO49" s="50" t="str">
        <f t="shared" si="23"/>
        <v/>
      </c>
      <c r="HP49" s="50" t="str">
        <f t="shared" si="23"/>
        <v/>
      </c>
      <c r="HQ49" s="50" t="str">
        <f t="shared" si="23"/>
        <v/>
      </c>
      <c r="HR49" s="116" t="str">
        <f t="shared" si="23"/>
        <v/>
      </c>
    </row>
    <row r="50" spans="1:226" ht="11.15" customHeight="1" x14ac:dyDescent="0.25">
      <c r="A50" s="26" t="s">
        <v>43</v>
      </c>
      <c r="B50" s="27">
        <v>2</v>
      </c>
      <c r="C50" s="28" t="str">
        <f>IF(A50=0,"",VLOOKUP(A50,[3]CO!$A$3:$F$5327,2,0))</f>
        <v>Cimbra perimetral en losa de concreto o piso</v>
      </c>
      <c r="D50" s="29"/>
      <c r="E50" s="29"/>
      <c r="F50" s="29"/>
      <c r="G50" s="30" t="str">
        <f>IF(A50=0,"",VLOOKUP(A50,[3]CO!$A$3:$F$5327,3,0))</f>
        <v>ML</v>
      </c>
      <c r="H50" s="29"/>
      <c r="I50" s="31">
        <v>5.5</v>
      </c>
      <c r="J50" s="31"/>
      <c r="K50" s="31"/>
      <c r="L50" s="31">
        <v>1</v>
      </c>
      <c r="M50" s="32">
        <f t="shared" si="4"/>
        <v>5.5</v>
      </c>
      <c r="N50" s="32">
        <f>IF(B50=0,"",IF(H50="M",HLOOKUP(B50,$Y$12:$DT$13,2),IF(A50=0,"",VLOOKUP(A50,[3]CO!$A$3:$F$5327,4,0))))</f>
        <v>7.5180960000000008</v>
      </c>
      <c r="O50" s="32">
        <f t="shared" si="11"/>
        <v>41.349528000000007</v>
      </c>
      <c r="P50" s="33"/>
      <c r="Q50" s="34" t="str">
        <f t="shared" si="5"/>
        <v/>
      </c>
      <c r="R50" s="35" t="str">
        <f t="shared" si="6"/>
        <v/>
      </c>
      <c r="S50" s="122"/>
      <c r="T50" s="53">
        <f>IF(A50=0,"",VLOOKUP(A50,[3]CO!$A$3:$F$5318,5,0))</f>
        <v>0</v>
      </c>
      <c r="U50" s="54">
        <f t="shared" si="12"/>
        <v>0</v>
      </c>
      <c r="V50" s="24"/>
      <c r="W50" s="25"/>
      <c r="X50" s="25"/>
      <c r="Y50" s="64" t="str">
        <f t="shared" ref="Y50:BD74" si="55">IF($B50=Y$12,$U50,"")</f>
        <v/>
      </c>
      <c r="Z50" s="55">
        <f t="shared" si="55"/>
        <v>0</v>
      </c>
      <c r="AA50" s="55" t="str">
        <f t="shared" si="55"/>
        <v/>
      </c>
      <c r="AB50" s="55" t="str">
        <f t="shared" si="55"/>
        <v/>
      </c>
      <c r="AC50" s="55" t="str">
        <f t="shared" si="55"/>
        <v/>
      </c>
      <c r="AD50" s="55" t="str">
        <f t="shared" si="55"/>
        <v/>
      </c>
      <c r="AE50" s="55" t="str">
        <f t="shared" si="55"/>
        <v/>
      </c>
      <c r="AF50" s="55" t="str">
        <f t="shared" si="55"/>
        <v/>
      </c>
      <c r="AG50" s="55" t="str">
        <f t="shared" si="55"/>
        <v/>
      </c>
      <c r="AH50" s="55" t="str">
        <f t="shared" si="55"/>
        <v/>
      </c>
      <c r="AI50" s="55" t="str">
        <f t="shared" si="55"/>
        <v/>
      </c>
      <c r="AJ50" s="55" t="str">
        <f t="shared" si="55"/>
        <v/>
      </c>
      <c r="AK50" s="55" t="str">
        <f t="shared" si="55"/>
        <v/>
      </c>
      <c r="AL50" s="55" t="str">
        <f t="shared" si="55"/>
        <v/>
      </c>
      <c r="AM50" s="55" t="str">
        <f t="shared" si="55"/>
        <v/>
      </c>
      <c r="AN50" s="55" t="str">
        <f t="shared" si="55"/>
        <v/>
      </c>
      <c r="AO50" s="55" t="str">
        <f t="shared" si="55"/>
        <v/>
      </c>
      <c r="AP50" s="55" t="str">
        <f t="shared" si="55"/>
        <v/>
      </c>
      <c r="AQ50" s="55" t="str">
        <f t="shared" si="55"/>
        <v/>
      </c>
      <c r="AR50" s="55" t="str">
        <f t="shared" si="55"/>
        <v/>
      </c>
      <c r="AS50" s="55" t="str">
        <f t="shared" si="55"/>
        <v/>
      </c>
      <c r="AT50" s="55" t="str">
        <f t="shared" si="55"/>
        <v/>
      </c>
      <c r="AU50" s="55" t="str">
        <f t="shared" si="55"/>
        <v/>
      </c>
      <c r="AV50" s="55" t="str">
        <f t="shared" si="55"/>
        <v/>
      </c>
      <c r="AW50" s="55" t="str">
        <f t="shared" si="55"/>
        <v/>
      </c>
      <c r="AX50" s="55" t="str">
        <f t="shared" si="55"/>
        <v/>
      </c>
      <c r="AY50" s="55" t="str">
        <f t="shared" si="55"/>
        <v/>
      </c>
      <c r="AZ50" s="55" t="str">
        <f t="shared" si="55"/>
        <v/>
      </c>
      <c r="BA50" s="55" t="str">
        <f t="shared" si="55"/>
        <v/>
      </c>
      <c r="BB50" s="55" t="str">
        <f t="shared" si="55"/>
        <v/>
      </c>
      <c r="BC50" s="55" t="str">
        <f t="shared" si="55"/>
        <v/>
      </c>
      <c r="BD50" s="55" t="str">
        <f t="shared" si="55"/>
        <v/>
      </c>
      <c r="BE50" s="55" t="str">
        <f t="shared" si="47"/>
        <v/>
      </c>
      <c r="BF50" s="55" t="str">
        <f t="shared" si="47"/>
        <v/>
      </c>
      <c r="BG50" s="55" t="str">
        <f t="shared" si="47"/>
        <v/>
      </c>
      <c r="BH50" s="55" t="str">
        <f t="shared" si="47"/>
        <v/>
      </c>
      <c r="BI50" s="55" t="str">
        <f t="shared" si="47"/>
        <v/>
      </c>
      <c r="BJ50" s="55" t="str">
        <f t="shared" si="47"/>
        <v/>
      </c>
      <c r="BK50" s="55" t="str">
        <f t="shared" si="47"/>
        <v/>
      </c>
      <c r="BL50" s="55" t="str">
        <f t="shared" si="47"/>
        <v/>
      </c>
      <c r="BM50" s="55" t="str">
        <f t="shared" si="47"/>
        <v/>
      </c>
      <c r="BN50" s="55" t="str">
        <f t="shared" si="47"/>
        <v/>
      </c>
      <c r="BO50" s="55" t="str">
        <f t="shared" si="47"/>
        <v/>
      </c>
      <c r="BP50" s="55" t="str">
        <f t="shared" si="47"/>
        <v/>
      </c>
      <c r="BQ50" s="55" t="str">
        <f t="shared" si="47"/>
        <v/>
      </c>
      <c r="BR50" s="55" t="str">
        <f t="shared" si="47"/>
        <v/>
      </c>
      <c r="BS50" s="55" t="str">
        <f t="shared" si="47"/>
        <v/>
      </c>
      <c r="BT50" s="55" t="str">
        <f t="shared" si="47"/>
        <v/>
      </c>
      <c r="BU50" s="55" t="str">
        <f t="shared" si="47"/>
        <v/>
      </c>
      <c r="BV50" s="55" t="str">
        <f t="shared" si="47"/>
        <v/>
      </c>
      <c r="BW50" s="55" t="str">
        <f t="shared" si="47"/>
        <v/>
      </c>
      <c r="BX50" s="55" t="str">
        <f t="shared" si="47"/>
        <v/>
      </c>
      <c r="BY50" s="55" t="str">
        <f t="shared" si="47"/>
        <v/>
      </c>
      <c r="BZ50" s="55" t="str">
        <f t="shared" si="47"/>
        <v/>
      </c>
      <c r="CA50" s="55" t="str">
        <f t="shared" si="47"/>
        <v/>
      </c>
      <c r="CB50" s="55" t="str">
        <f t="shared" si="47"/>
        <v/>
      </c>
      <c r="CC50" s="55" t="str">
        <f t="shared" si="47"/>
        <v/>
      </c>
      <c r="CD50" s="55" t="str">
        <f t="shared" si="47"/>
        <v/>
      </c>
      <c r="CE50" s="55" t="str">
        <f t="shared" si="47"/>
        <v/>
      </c>
      <c r="CF50" s="55" t="str">
        <f t="shared" si="47"/>
        <v/>
      </c>
      <c r="CG50" s="55" t="str">
        <f t="shared" si="47"/>
        <v/>
      </c>
      <c r="CH50" s="55" t="str">
        <f t="shared" si="47"/>
        <v/>
      </c>
      <c r="CI50" s="55" t="str">
        <f t="shared" si="47"/>
        <v/>
      </c>
      <c r="CJ50" s="55" t="str">
        <f t="shared" si="52"/>
        <v/>
      </c>
      <c r="CK50" s="55" t="str">
        <f t="shared" si="52"/>
        <v/>
      </c>
      <c r="CL50" s="55" t="str">
        <f t="shared" si="52"/>
        <v/>
      </c>
      <c r="CM50" s="55" t="str">
        <f t="shared" si="52"/>
        <v/>
      </c>
      <c r="CN50" s="55" t="str">
        <f t="shared" si="52"/>
        <v/>
      </c>
      <c r="CO50" s="55" t="str">
        <f t="shared" si="52"/>
        <v/>
      </c>
      <c r="CP50" s="55" t="str">
        <f t="shared" si="52"/>
        <v/>
      </c>
      <c r="CQ50" s="55" t="str">
        <f t="shared" si="52"/>
        <v/>
      </c>
      <c r="CR50" s="55" t="str">
        <f t="shared" si="52"/>
        <v/>
      </c>
      <c r="CS50" s="55" t="str">
        <f t="shared" si="52"/>
        <v/>
      </c>
      <c r="CT50" s="55" t="str">
        <f t="shared" si="52"/>
        <v/>
      </c>
      <c r="CU50" s="55" t="str">
        <f t="shared" si="52"/>
        <v/>
      </c>
      <c r="CV50" s="55" t="str">
        <f t="shared" si="52"/>
        <v/>
      </c>
      <c r="CW50" s="55" t="str">
        <f t="shared" si="52"/>
        <v/>
      </c>
      <c r="CX50" s="55" t="str">
        <f t="shared" si="52"/>
        <v/>
      </c>
      <c r="CY50" s="55" t="str">
        <f t="shared" si="28"/>
        <v/>
      </c>
      <c r="CZ50" s="55" t="str">
        <f t="shared" si="52"/>
        <v/>
      </c>
      <c r="DA50" s="55" t="str">
        <f t="shared" si="52"/>
        <v/>
      </c>
      <c r="DB50" s="55" t="str">
        <f t="shared" si="52"/>
        <v/>
      </c>
      <c r="DC50" s="55" t="str">
        <f t="shared" si="52"/>
        <v/>
      </c>
      <c r="DD50" s="55" t="str">
        <f t="shared" si="52"/>
        <v/>
      </c>
      <c r="DE50" s="55" t="str">
        <f t="shared" si="52"/>
        <v/>
      </c>
      <c r="DF50" s="55" t="str">
        <f t="shared" si="52"/>
        <v/>
      </c>
      <c r="DG50" s="55" t="str">
        <f t="shared" si="52"/>
        <v/>
      </c>
      <c r="DH50" s="55" t="str">
        <f t="shared" si="52"/>
        <v/>
      </c>
      <c r="DI50" s="55" t="str">
        <f t="shared" si="52"/>
        <v/>
      </c>
      <c r="DJ50" s="55" t="str">
        <f t="shared" si="52"/>
        <v/>
      </c>
      <c r="DK50" s="55" t="str">
        <f t="shared" si="52"/>
        <v/>
      </c>
      <c r="DL50" s="55" t="str">
        <f t="shared" si="52"/>
        <v/>
      </c>
      <c r="DM50" s="55" t="str">
        <f t="shared" si="52"/>
        <v/>
      </c>
      <c r="DN50" s="55" t="str">
        <f t="shared" si="52"/>
        <v/>
      </c>
      <c r="DO50" s="55" t="str">
        <f t="shared" si="52"/>
        <v/>
      </c>
      <c r="DP50" s="55" t="str">
        <f t="shared" si="52"/>
        <v/>
      </c>
      <c r="DQ50" s="55" t="str">
        <f t="shared" si="52"/>
        <v/>
      </c>
      <c r="DR50" s="55" t="str">
        <f t="shared" si="52"/>
        <v/>
      </c>
      <c r="DS50" s="55" t="str">
        <f t="shared" si="52"/>
        <v/>
      </c>
      <c r="DT50" s="110" t="str">
        <f t="shared" si="52"/>
        <v/>
      </c>
      <c r="DU50" s="54"/>
      <c r="DV50" s="25"/>
      <c r="DW50" s="61" t="str">
        <f t="shared" ref="DW50:FB74" si="56">IF($B50=DW$12,$O50,"")</f>
        <v/>
      </c>
      <c r="DX50" s="50">
        <f t="shared" si="56"/>
        <v>41.349528000000007</v>
      </c>
      <c r="DY50" s="50" t="str">
        <f t="shared" si="56"/>
        <v/>
      </c>
      <c r="DZ50" s="50" t="str">
        <f t="shared" si="56"/>
        <v/>
      </c>
      <c r="EA50" s="50" t="str">
        <f t="shared" si="56"/>
        <v/>
      </c>
      <c r="EB50" s="50" t="str">
        <f t="shared" si="56"/>
        <v/>
      </c>
      <c r="EC50" s="50" t="str">
        <f t="shared" si="56"/>
        <v/>
      </c>
      <c r="ED50" s="50" t="str">
        <f t="shared" si="56"/>
        <v/>
      </c>
      <c r="EE50" s="50" t="str">
        <f t="shared" si="56"/>
        <v/>
      </c>
      <c r="EF50" s="50" t="str">
        <f t="shared" si="56"/>
        <v/>
      </c>
      <c r="EG50" s="50" t="str">
        <f t="shared" si="56"/>
        <v/>
      </c>
      <c r="EH50" s="50" t="str">
        <f t="shared" si="56"/>
        <v/>
      </c>
      <c r="EI50" s="50" t="str">
        <f t="shared" si="56"/>
        <v/>
      </c>
      <c r="EJ50" s="50" t="str">
        <f t="shared" si="56"/>
        <v/>
      </c>
      <c r="EK50" s="50" t="str">
        <f t="shared" si="56"/>
        <v/>
      </c>
      <c r="EL50" s="50" t="str">
        <f t="shared" si="56"/>
        <v/>
      </c>
      <c r="EM50" s="50" t="str">
        <f t="shared" si="56"/>
        <v/>
      </c>
      <c r="EN50" s="50" t="str">
        <f t="shared" si="56"/>
        <v/>
      </c>
      <c r="EO50" s="50" t="str">
        <f t="shared" si="56"/>
        <v/>
      </c>
      <c r="EP50" s="50" t="str">
        <f t="shared" si="56"/>
        <v/>
      </c>
      <c r="EQ50" s="50" t="str">
        <f t="shared" si="56"/>
        <v/>
      </c>
      <c r="ER50" s="50" t="str">
        <f t="shared" si="56"/>
        <v/>
      </c>
      <c r="ES50" s="50" t="str">
        <f t="shared" si="56"/>
        <v/>
      </c>
      <c r="ET50" s="50" t="str">
        <f t="shared" si="56"/>
        <v/>
      </c>
      <c r="EU50" s="50" t="str">
        <f t="shared" si="56"/>
        <v/>
      </c>
      <c r="EV50" s="50" t="str">
        <f t="shared" si="56"/>
        <v/>
      </c>
      <c r="EW50" s="50" t="str">
        <f t="shared" si="56"/>
        <v/>
      </c>
      <c r="EX50" s="50" t="str">
        <f t="shared" si="56"/>
        <v/>
      </c>
      <c r="EY50" s="50" t="str">
        <f t="shared" si="56"/>
        <v/>
      </c>
      <c r="EZ50" s="50" t="str">
        <f t="shared" si="56"/>
        <v/>
      </c>
      <c r="FA50" s="50" t="str">
        <f t="shared" si="56"/>
        <v/>
      </c>
      <c r="FB50" s="50" t="str">
        <f t="shared" si="56"/>
        <v/>
      </c>
      <c r="FC50" s="50" t="str">
        <f t="shared" si="48"/>
        <v/>
      </c>
      <c r="FD50" s="50" t="str">
        <f t="shared" si="48"/>
        <v/>
      </c>
      <c r="FE50" s="50" t="str">
        <f t="shared" si="48"/>
        <v/>
      </c>
      <c r="FF50" s="50" t="str">
        <f t="shared" si="48"/>
        <v/>
      </c>
      <c r="FG50" s="50" t="str">
        <f t="shared" si="48"/>
        <v/>
      </c>
      <c r="FH50" s="50" t="str">
        <f t="shared" si="48"/>
        <v/>
      </c>
      <c r="FI50" s="50" t="str">
        <f t="shared" si="48"/>
        <v/>
      </c>
      <c r="FJ50" s="50" t="str">
        <f t="shared" si="48"/>
        <v/>
      </c>
      <c r="FK50" s="50" t="str">
        <f t="shared" si="48"/>
        <v/>
      </c>
      <c r="FL50" s="50" t="str">
        <f t="shared" si="48"/>
        <v/>
      </c>
      <c r="FM50" s="50" t="str">
        <f t="shared" si="48"/>
        <v/>
      </c>
      <c r="FN50" s="50" t="str">
        <f t="shared" si="48"/>
        <v/>
      </c>
      <c r="FO50" s="50" t="str">
        <f t="shared" si="48"/>
        <v/>
      </c>
      <c r="FP50" s="50" t="str">
        <f t="shared" si="48"/>
        <v/>
      </c>
      <c r="FQ50" s="50" t="str">
        <f t="shared" si="48"/>
        <v/>
      </c>
      <c r="FR50" s="50" t="str">
        <f t="shared" si="48"/>
        <v/>
      </c>
      <c r="FS50" s="50" t="str">
        <f t="shared" si="48"/>
        <v/>
      </c>
      <c r="FT50" s="50" t="str">
        <f t="shared" si="48"/>
        <v/>
      </c>
      <c r="FU50" s="50" t="str">
        <f t="shared" si="48"/>
        <v/>
      </c>
      <c r="FV50" s="50" t="str">
        <f t="shared" si="48"/>
        <v/>
      </c>
      <c r="FW50" s="50" t="str">
        <f t="shared" si="48"/>
        <v/>
      </c>
      <c r="FX50" s="50" t="str">
        <f t="shared" si="48"/>
        <v/>
      </c>
      <c r="FY50" s="50" t="str">
        <f t="shared" si="48"/>
        <v/>
      </c>
      <c r="FZ50" s="50" t="str">
        <f t="shared" si="48"/>
        <v/>
      </c>
      <c r="GA50" s="50" t="str">
        <f t="shared" si="48"/>
        <v/>
      </c>
      <c r="GB50" s="50" t="str">
        <f t="shared" si="48"/>
        <v/>
      </c>
      <c r="GC50" s="50" t="str">
        <f t="shared" si="48"/>
        <v/>
      </c>
      <c r="GD50" s="50" t="str">
        <f t="shared" si="48"/>
        <v/>
      </c>
      <c r="GE50" s="50" t="str">
        <f t="shared" si="48"/>
        <v/>
      </c>
      <c r="GF50" s="50" t="str">
        <f t="shared" si="48"/>
        <v/>
      </c>
      <c r="GG50" s="50" t="str">
        <f t="shared" si="48"/>
        <v/>
      </c>
      <c r="GH50" s="50" t="str">
        <f t="shared" si="54"/>
        <v/>
      </c>
      <c r="GI50" s="50" t="str">
        <f t="shared" si="54"/>
        <v/>
      </c>
      <c r="GJ50" s="50" t="str">
        <f t="shared" si="54"/>
        <v/>
      </c>
      <c r="GK50" s="50" t="str">
        <f t="shared" si="54"/>
        <v/>
      </c>
      <c r="GL50" s="50" t="str">
        <f t="shared" si="54"/>
        <v/>
      </c>
      <c r="GM50" s="50" t="str">
        <f t="shared" si="54"/>
        <v/>
      </c>
      <c r="GN50" s="50" t="str">
        <f t="shared" si="54"/>
        <v/>
      </c>
      <c r="GO50" s="50" t="str">
        <f t="shared" si="54"/>
        <v/>
      </c>
      <c r="GP50" s="50" t="str">
        <f t="shared" si="54"/>
        <v/>
      </c>
      <c r="GQ50" s="50" t="str">
        <f t="shared" si="54"/>
        <v/>
      </c>
      <c r="GR50" s="50" t="str">
        <f t="shared" si="54"/>
        <v/>
      </c>
      <c r="GS50" s="50" t="str">
        <f t="shared" si="54"/>
        <v/>
      </c>
      <c r="GT50" s="50" t="str">
        <f t="shared" si="54"/>
        <v/>
      </c>
      <c r="GU50" s="50" t="str">
        <f t="shared" si="54"/>
        <v/>
      </c>
      <c r="GV50" s="50" t="str">
        <f t="shared" si="54"/>
        <v/>
      </c>
      <c r="GW50" s="50" t="str">
        <f t="shared" si="29"/>
        <v/>
      </c>
      <c r="GX50" s="50" t="str">
        <f t="shared" si="50"/>
        <v/>
      </c>
      <c r="GY50" s="50" t="str">
        <f t="shared" si="50"/>
        <v/>
      </c>
      <c r="GZ50" s="50" t="str">
        <f t="shared" si="50"/>
        <v/>
      </c>
      <c r="HA50" s="50" t="str">
        <f t="shared" si="50"/>
        <v/>
      </c>
      <c r="HB50" s="50" t="str">
        <f t="shared" si="50"/>
        <v/>
      </c>
      <c r="HC50" s="50" t="str">
        <f t="shared" si="50"/>
        <v/>
      </c>
      <c r="HD50" s="50" t="str">
        <f t="shared" si="50"/>
        <v/>
      </c>
      <c r="HE50" s="50" t="str">
        <f t="shared" si="50"/>
        <v/>
      </c>
      <c r="HF50" s="50" t="str">
        <f t="shared" si="50"/>
        <v/>
      </c>
      <c r="HG50" s="50" t="str">
        <f t="shared" si="50"/>
        <v/>
      </c>
      <c r="HH50" s="50" t="str">
        <f t="shared" si="50"/>
        <v/>
      </c>
      <c r="HI50" s="50" t="str">
        <f t="shared" si="50"/>
        <v/>
      </c>
      <c r="HJ50" s="50" t="str">
        <f t="shared" si="50"/>
        <v/>
      </c>
      <c r="HK50" s="50" t="str">
        <f t="shared" si="50"/>
        <v/>
      </c>
      <c r="HL50" s="50" t="str">
        <f t="shared" si="50"/>
        <v/>
      </c>
      <c r="HM50" s="50" t="str">
        <f t="shared" si="50"/>
        <v/>
      </c>
      <c r="HN50" s="50" t="str">
        <f t="shared" si="23"/>
        <v/>
      </c>
      <c r="HO50" s="50" t="str">
        <f t="shared" si="23"/>
        <v/>
      </c>
      <c r="HP50" s="50" t="str">
        <f t="shared" si="23"/>
        <v/>
      </c>
      <c r="HQ50" s="50" t="str">
        <f t="shared" si="23"/>
        <v/>
      </c>
      <c r="HR50" s="116" t="str">
        <f t="shared" si="23"/>
        <v/>
      </c>
    </row>
    <row r="51" spans="1:226" ht="11.15" customHeight="1" x14ac:dyDescent="0.25">
      <c r="A51" s="26" t="s">
        <v>50</v>
      </c>
      <c r="B51" s="27">
        <v>2</v>
      </c>
      <c r="C51" s="28" t="str">
        <f>IF(A51=0,"",VLOOKUP(A51,[3]CO!$A$3:$F$5327,2,0))</f>
        <v>Hechura de mezcla y revoltura</v>
      </c>
      <c r="D51" s="29"/>
      <c r="E51" s="29"/>
      <c r="F51" s="29"/>
      <c r="G51" s="30" t="str">
        <f>IF(A51=0,"",VLOOKUP(A51,[3]CO!$A$3:$F$5327,3,0))</f>
        <v>%</v>
      </c>
      <c r="H51" s="29" t="s">
        <v>51</v>
      </c>
      <c r="I51" s="31"/>
      <c r="J51" s="31"/>
      <c r="K51" s="31"/>
      <c r="L51" s="31">
        <v>1</v>
      </c>
      <c r="M51" s="32">
        <f t="shared" ref="M51:M72" si="57">IF(L51=0,"",PRODUCT(I51:L51))</f>
        <v>1</v>
      </c>
      <c r="N51" s="32">
        <f>IF(B51=0,"",IF(H51="M",HLOOKUP(B51,$Y$12:$DT$13,2),IF(A51=0,"",VLOOKUP(A51,[3]CO!$A$3:$F$5327,4,0))))</f>
        <v>404.58007116000005</v>
      </c>
      <c r="O51" s="32">
        <f t="shared" ref="O51:O72" si="58">IF(L51=0,"",PRODUCT(M51:N51))</f>
        <v>404.58007116000005</v>
      </c>
      <c r="P51" s="33">
        <v>2</v>
      </c>
      <c r="Q51" s="34">
        <f t="shared" ref="Q51:Q72" si="59">IF(P51=0,"",(HLOOKUP(P51,$DW$12:$HR$13,2)))</f>
        <v>27668.987823653439</v>
      </c>
      <c r="R51" s="35" t="str">
        <f t="shared" ref="R51:R72" si="60">IF(S51=0,"",IF(OR(G51="PEON",G51="OF",G51="JARD",G51="CARP",G51="MAESTRO",G51="SOLD",G51="BGRO",G51="CHOFER",G51="AYTE",G51="S.INTTE.",G51="ASEO",G51="P.PISOS",G51="VELADOR",G51="RESID",G51="PINTOR",G51="ELECT",G51="AZULE",G51="AUX CONT.",G51="SECRETARIA",G51="AUXILIAR ADMTVO.",G51="ARQUITECTO",G51="DIBUJANTE",G51="AUX. DE RESIDENTE"),VLOOKUP(B51,P$14:Q$121,2),"")*S51)</f>
        <v/>
      </c>
      <c r="S51" s="122"/>
      <c r="T51" s="53">
        <f>IF(A51=0,"",VLOOKUP(A51,[3]CO!$A$3:$F$5318,5,0))</f>
        <v>0</v>
      </c>
      <c r="U51" s="54">
        <f t="shared" ref="U51:U72" si="61">IF(T51=1,O51*0.1,)</f>
        <v>0</v>
      </c>
      <c r="V51" s="24"/>
      <c r="W51" s="25"/>
      <c r="X51" s="25"/>
      <c r="Y51" s="64" t="str">
        <f t="shared" si="55"/>
        <v/>
      </c>
      <c r="Z51" s="55">
        <f t="shared" si="55"/>
        <v>0</v>
      </c>
      <c r="AA51" s="55" t="str">
        <f t="shared" si="55"/>
        <v/>
      </c>
      <c r="AB51" s="55" t="str">
        <f t="shared" si="55"/>
        <v/>
      </c>
      <c r="AC51" s="55" t="str">
        <f t="shared" si="55"/>
        <v/>
      </c>
      <c r="AD51" s="55" t="str">
        <f t="shared" si="55"/>
        <v/>
      </c>
      <c r="AE51" s="55" t="str">
        <f t="shared" si="55"/>
        <v/>
      </c>
      <c r="AF51" s="55" t="str">
        <f t="shared" si="55"/>
        <v/>
      </c>
      <c r="AG51" s="55" t="str">
        <f t="shared" si="55"/>
        <v/>
      </c>
      <c r="AH51" s="55" t="str">
        <f t="shared" si="55"/>
        <v/>
      </c>
      <c r="AI51" s="55" t="str">
        <f t="shared" si="55"/>
        <v/>
      </c>
      <c r="AJ51" s="55" t="str">
        <f t="shared" si="55"/>
        <v/>
      </c>
      <c r="AK51" s="55" t="str">
        <f t="shared" si="55"/>
        <v/>
      </c>
      <c r="AL51" s="55" t="str">
        <f t="shared" si="55"/>
        <v/>
      </c>
      <c r="AM51" s="55" t="str">
        <f t="shared" si="55"/>
        <v/>
      </c>
      <c r="AN51" s="55" t="str">
        <f t="shared" si="55"/>
        <v/>
      </c>
      <c r="AO51" s="55" t="str">
        <f t="shared" si="55"/>
        <v/>
      </c>
      <c r="AP51" s="55" t="str">
        <f t="shared" si="55"/>
        <v/>
      </c>
      <c r="AQ51" s="55" t="str">
        <f t="shared" si="55"/>
        <v/>
      </c>
      <c r="AR51" s="55" t="str">
        <f t="shared" si="55"/>
        <v/>
      </c>
      <c r="AS51" s="55" t="str">
        <f t="shared" si="55"/>
        <v/>
      </c>
      <c r="AT51" s="55" t="str">
        <f t="shared" si="55"/>
        <v/>
      </c>
      <c r="AU51" s="55" t="str">
        <f t="shared" si="55"/>
        <v/>
      </c>
      <c r="AV51" s="55" t="str">
        <f t="shared" si="55"/>
        <v/>
      </c>
      <c r="AW51" s="55" t="str">
        <f t="shared" si="55"/>
        <v/>
      </c>
      <c r="AX51" s="55" t="str">
        <f t="shared" si="55"/>
        <v/>
      </c>
      <c r="AY51" s="55" t="str">
        <f t="shared" si="55"/>
        <v/>
      </c>
      <c r="AZ51" s="55" t="str">
        <f t="shared" si="55"/>
        <v/>
      </c>
      <c r="BA51" s="55" t="str">
        <f t="shared" si="55"/>
        <v/>
      </c>
      <c r="BB51" s="55" t="str">
        <f t="shared" si="55"/>
        <v/>
      </c>
      <c r="BC51" s="55" t="str">
        <f t="shared" si="55"/>
        <v/>
      </c>
      <c r="BD51" s="55" t="str">
        <f t="shared" si="55"/>
        <v/>
      </c>
      <c r="BE51" s="55" t="str">
        <f t="shared" si="47"/>
        <v/>
      </c>
      <c r="BF51" s="55" t="str">
        <f t="shared" si="47"/>
        <v/>
      </c>
      <c r="BG51" s="55" t="str">
        <f t="shared" si="47"/>
        <v/>
      </c>
      <c r="BH51" s="55" t="str">
        <f t="shared" si="47"/>
        <v/>
      </c>
      <c r="BI51" s="55" t="str">
        <f t="shared" si="47"/>
        <v/>
      </c>
      <c r="BJ51" s="55" t="str">
        <f t="shared" si="47"/>
        <v/>
      </c>
      <c r="BK51" s="55" t="str">
        <f t="shared" si="47"/>
        <v/>
      </c>
      <c r="BL51" s="55" t="str">
        <f t="shared" ref="BL51:CI51" si="62">IF($B51=BL$12,$U51,"")</f>
        <v/>
      </c>
      <c r="BM51" s="55" t="str">
        <f t="shared" si="62"/>
        <v/>
      </c>
      <c r="BN51" s="55" t="str">
        <f t="shared" si="62"/>
        <v/>
      </c>
      <c r="BO51" s="55" t="str">
        <f t="shared" si="62"/>
        <v/>
      </c>
      <c r="BP51" s="55" t="str">
        <f t="shared" si="62"/>
        <v/>
      </c>
      <c r="BQ51" s="55" t="str">
        <f t="shared" si="62"/>
        <v/>
      </c>
      <c r="BR51" s="55" t="str">
        <f t="shared" si="62"/>
        <v/>
      </c>
      <c r="BS51" s="55" t="str">
        <f t="shared" si="62"/>
        <v/>
      </c>
      <c r="BT51" s="55" t="str">
        <f t="shared" si="62"/>
        <v/>
      </c>
      <c r="BU51" s="55" t="str">
        <f t="shared" si="62"/>
        <v/>
      </c>
      <c r="BV51" s="55" t="str">
        <f t="shared" si="62"/>
        <v/>
      </c>
      <c r="BW51" s="55" t="str">
        <f t="shared" si="62"/>
        <v/>
      </c>
      <c r="BX51" s="55" t="str">
        <f t="shared" si="62"/>
        <v/>
      </c>
      <c r="BY51" s="55" t="str">
        <f t="shared" si="62"/>
        <v/>
      </c>
      <c r="BZ51" s="55" t="str">
        <f t="shared" si="62"/>
        <v/>
      </c>
      <c r="CA51" s="55" t="str">
        <f t="shared" si="62"/>
        <v/>
      </c>
      <c r="CB51" s="55" t="str">
        <f t="shared" si="62"/>
        <v/>
      </c>
      <c r="CC51" s="55" t="str">
        <f t="shared" si="62"/>
        <v/>
      </c>
      <c r="CD51" s="55" t="str">
        <f t="shared" si="62"/>
        <v/>
      </c>
      <c r="CE51" s="55" t="str">
        <f t="shared" si="62"/>
        <v/>
      </c>
      <c r="CF51" s="55" t="str">
        <f t="shared" si="62"/>
        <v/>
      </c>
      <c r="CG51" s="55" t="str">
        <f t="shared" si="62"/>
        <v/>
      </c>
      <c r="CH51" s="55" t="str">
        <f t="shared" si="62"/>
        <v/>
      </c>
      <c r="CI51" s="55" t="str">
        <f t="shared" si="62"/>
        <v/>
      </c>
      <c r="CJ51" s="55" t="str">
        <f t="shared" si="52"/>
        <v/>
      </c>
      <c r="CK51" s="55" t="str">
        <f t="shared" si="52"/>
        <v/>
      </c>
      <c r="CL51" s="55" t="str">
        <f t="shared" si="52"/>
        <v/>
      </c>
      <c r="CM51" s="55" t="str">
        <f t="shared" si="52"/>
        <v/>
      </c>
      <c r="CN51" s="55" t="str">
        <f t="shared" si="52"/>
        <v/>
      </c>
      <c r="CO51" s="55" t="str">
        <f t="shared" si="52"/>
        <v/>
      </c>
      <c r="CP51" s="55" t="str">
        <f t="shared" si="52"/>
        <v/>
      </c>
      <c r="CQ51" s="55" t="str">
        <f t="shared" si="52"/>
        <v/>
      </c>
      <c r="CR51" s="55" t="str">
        <f t="shared" si="52"/>
        <v/>
      </c>
      <c r="CS51" s="55" t="str">
        <f t="shared" si="52"/>
        <v/>
      </c>
      <c r="CT51" s="55" t="str">
        <f t="shared" si="52"/>
        <v/>
      </c>
      <c r="CU51" s="55" t="str">
        <f t="shared" si="52"/>
        <v/>
      </c>
      <c r="CV51" s="55" t="str">
        <f t="shared" si="52"/>
        <v/>
      </c>
      <c r="CW51" s="55" t="str">
        <f t="shared" si="52"/>
        <v/>
      </c>
      <c r="CX51" s="55" t="str">
        <f t="shared" si="52"/>
        <v/>
      </c>
      <c r="CY51" s="55" t="str">
        <f t="shared" si="28"/>
        <v/>
      </c>
      <c r="CZ51" s="55" t="str">
        <f t="shared" si="52"/>
        <v/>
      </c>
      <c r="DA51" s="55" t="str">
        <f t="shared" si="52"/>
        <v/>
      </c>
      <c r="DB51" s="55" t="str">
        <f t="shared" si="52"/>
        <v/>
      </c>
      <c r="DC51" s="55" t="str">
        <f t="shared" si="52"/>
        <v/>
      </c>
      <c r="DD51" s="55" t="str">
        <f t="shared" si="52"/>
        <v/>
      </c>
      <c r="DE51" s="55" t="str">
        <f t="shared" si="52"/>
        <v/>
      </c>
      <c r="DF51" s="55" t="str">
        <f t="shared" si="52"/>
        <v/>
      </c>
      <c r="DG51" s="55" t="str">
        <f t="shared" si="52"/>
        <v/>
      </c>
      <c r="DH51" s="55" t="str">
        <f t="shared" si="52"/>
        <v/>
      </c>
      <c r="DI51" s="55" t="str">
        <f t="shared" si="52"/>
        <v/>
      </c>
      <c r="DJ51" s="55" t="str">
        <f t="shared" si="52"/>
        <v/>
      </c>
      <c r="DK51" s="55" t="str">
        <f t="shared" si="52"/>
        <v/>
      </c>
      <c r="DL51" s="55" t="str">
        <f t="shared" si="52"/>
        <v/>
      </c>
      <c r="DM51" s="55" t="str">
        <f t="shared" si="52"/>
        <v/>
      </c>
      <c r="DN51" s="55" t="str">
        <f t="shared" si="52"/>
        <v/>
      </c>
      <c r="DO51" s="55" t="str">
        <f t="shared" si="52"/>
        <v/>
      </c>
      <c r="DP51" s="55" t="str">
        <f t="shared" si="52"/>
        <v/>
      </c>
      <c r="DQ51" s="55" t="str">
        <f t="shared" si="52"/>
        <v/>
      </c>
      <c r="DR51" s="55" t="str">
        <f t="shared" si="52"/>
        <v/>
      </c>
      <c r="DS51" s="55" t="str">
        <f t="shared" si="52"/>
        <v/>
      </c>
      <c r="DT51" s="110" t="str">
        <f t="shared" si="52"/>
        <v/>
      </c>
      <c r="DU51" s="54"/>
      <c r="DV51" s="25"/>
      <c r="DW51" s="61" t="str">
        <f t="shared" si="56"/>
        <v/>
      </c>
      <c r="DX51" s="50">
        <f t="shared" si="56"/>
        <v>404.58007116000005</v>
      </c>
      <c r="DY51" s="50" t="str">
        <f t="shared" si="56"/>
        <v/>
      </c>
      <c r="DZ51" s="50" t="str">
        <f t="shared" si="56"/>
        <v/>
      </c>
      <c r="EA51" s="50" t="str">
        <f t="shared" si="56"/>
        <v/>
      </c>
      <c r="EB51" s="50" t="str">
        <f t="shared" si="56"/>
        <v/>
      </c>
      <c r="EC51" s="50" t="str">
        <f t="shared" si="56"/>
        <v/>
      </c>
      <c r="ED51" s="50" t="str">
        <f t="shared" si="56"/>
        <v/>
      </c>
      <c r="EE51" s="50" t="str">
        <f t="shared" si="56"/>
        <v/>
      </c>
      <c r="EF51" s="50" t="str">
        <f t="shared" si="56"/>
        <v/>
      </c>
      <c r="EG51" s="50" t="str">
        <f t="shared" si="56"/>
        <v/>
      </c>
      <c r="EH51" s="50" t="str">
        <f t="shared" si="56"/>
        <v/>
      </c>
      <c r="EI51" s="50" t="str">
        <f t="shared" si="56"/>
        <v/>
      </c>
      <c r="EJ51" s="50" t="str">
        <f t="shared" si="56"/>
        <v/>
      </c>
      <c r="EK51" s="50" t="str">
        <f t="shared" si="56"/>
        <v/>
      </c>
      <c r="EL51" s="50" t="str">
        <f t="shared" si="56"/>
        <v/>
      </c>
      <c r="EM51" s="50" t="str">
        <f t="shared" si="56"/>
        <v/>
      </c>
      <c r="EN51" s="50" t="str">
        <f t="shared" si="56"/>
        <v/>
      </c>
      <c r="EO51" s="50" t="str">
        <f t="shared" si="56"/>
        <v/>
      </c>
      <c r="EP51" s="50" t="str">
        <f t="shared" si="56"/>
        <v/>
      </c>
      <c r="EQ51" s="50" t="str">
        <f t="shared" si="56"/>
        <v/>
      </c>
      <c r="ER51" s="50" t="str">
        <f t="shared" si="56"/>
        <v/>
      </c>
      <c r="ES51" s="50" t="str">
        <f t="shared" si="56"/>
        <v/>
      </c>
      <c r="ET51" s="50" t="str">
        <f t="shared" si="56"/>
        <v/>
      </c>
      <c r="EU51" s="50" t="str">
        <f t="shared" si="56"/>
        <v/>
      </c>
      <c r="EV51" s="50" t="str">
        <f t="shared" si="56"/>
        <v/>
      </c>
      <c r="EW51" s="50" t="str">
        <f t="shared" si="56"/>
        <v/>
      </c>
      <c r="EX51" s="50" t="str">
        <f t="shared" si="56"/>
        <v/>
      </c>
      <c r="EY51" s="50" t="str">
        <f t="shared" si="56"/>
        <v/>
      </c>
      <c r="EZ51" s="50" t="str">
        <f t="shared" si="56"/>
        <v/>
      </c>
      <c r="FA51" s="50" t="str">
        <f t="shared" si="56"/>
        <v/>
      </c>
      <c r="FB51" s="50" t="str">
        <f t="shared" si="56"/>
        <v/>
      </c>
      <c r="FC51" s="50" t="str">
        <f t="shared" si="48"/>
        <v/>
      </c>
      <c r="FD51" s="50" t="str">
        <f t="shared" si="48"/>
        <v/>
      </c>
      <c r="FE51" s="50" t="str">
        <f t="shared" si="48"/>
        <v/>
      </c>
      <c r="FF51" s="50" t="str">
        <f t="shared" si="48"/>
        <v/>
      </c>
      <c r="FG51" s="50" t="str">
        <f t="shared" si="48"/>
        <v/>
      </c>
      <c r="FH51" s="50" t="str">
        <f t="shared" si="48"/>
        <v/>
      </c>
      <c r="FI51" s="50" t="str">
        <f t="shared" si="48"/>
        <v/>
      </c>
      <c r="FJ51" s="50" t="str">
        <f t="shared" ref="FJ51:GG51" si="63">IF($B51=FJ$12,$O51,"")</f>
        <v/>
      </c>
      <c r="FK51" s="50" t="str">
        <f t="shared" si="63"/>
        <v/>
      </c>
      <c r="FL51" s="50" t="str">
        <f t="shared" si="63"/>
        <v/>
      </c>
      <c r="FM51" s="50" t="str">
        <f t="shared" si="63"/>
        <v/>
      </c>
      <c r="FN51" s="50" t="str">
        <f t="shared" si="63"/>
        <v/>
      </c>
      <c r="FO51" s="50" t="str">
        <f t="shared" si="63"/>
        <v/>
      </c>
      <c r="FP51" s="50" t="str">
        <f t="shared" si="63"/>
        <v/>
      </c>
      <c r="FQ51" s="50" t="str">
        <f t="shared" si="63"/>
        <v/>
      </c>
      <c r="FR51" s="50" t="str">
        <f t="shared" si="63"/>
        <v/>
      </c>
      <c r="FS51" s="50" t="str">
        <f t="shared" si="63"/>
        <v/>
      </c>
      <c r="FT51" s="50" t="str">
        <f t="shared" si="63"/>
        <v/>
      </c>
      <c r="FU51" s="50" t="str">
        <f t="shared" si="63"/>
        <v/>
      </c>
      <c r="FV51" s="50" t="str">
        <f t="shared" si="63"/>
        <v/>
      </c>
      <c r="FW51" s="50" t="str">
        <f t="shared" si="63"/>
        <v/>
      </c>
      <c r="FX51" s="50" t="str">
        <f t="shared" si="63"/>
        <v/>
      </c>
      <c r="FY51" s="50" t="str">
        <f t="shared" si="63"/>
        <v/>
      </c>
      <c r="FZ51" s="50" t="str">
        <f t="shared" si="63"/>
        <v/>
      </c>
      <c r="GA51" s="50" t="str">
        <f t="shared" si="63"/>
        <v/>
      </c>
      <c r="GB51" s="50" t="str">
        <f t="shared" si="63"/>
        <v/>
      </c>
      <c r="GC51" s="50" t="str">
        <f t="shared" si="63"/>
        <v/>
      </c>
      <c r="GD51" s="50" t="str">
        <f t="shared" si="63"/>
        <v/>
      </c>
      <c r="GE51" s="50" t="str">
        <f t="shared" si="63"/>
        <v/>
      </c>
      <c r="GF51" s="50" t="str">
        <f t="shared" si="63"/>
        <v/>
      </c>
      <c r="GG51" s="50" t="str">
        <f t="shared" si="63"/>
        <v/>
      </c>
      <c r="GH51" s="50" t="str">
        <f t="shared" si="54"/>
        <v/>
      </c>
      <c r="GI51" s="50" t="str">
        <f t="shared" si="54"/>
        <v/>
      </c>
      <c r="GJ51" s="50" t="str">
        <f t="shared" si="54"/>
        <v/>
      </c>
      <c r="GK51" s="50" t="str">
        <f t="shared" si="54"/>
        <v/>
      </c>
      <c r="GL51" s="50" t="str">
        <f t="shared" si="54"/>
        <v/>
      </c>
      <c r="GM51" s="50" t="str">
        <f t="shared" si="54"/>
        <v/>
      </c>
      <c r="GN51" s="50" t="str">
        <f t="shared" si="54"/>
        <v/>
      </c>
      <c r="GO51" s="50" t="str">
        <f t="shared" si="54"/>
        <v/>
      </c>
      <c r="GP51" s="50" t="str">
        <f t="shared" si="54"/>
        <v/>
      </c>
      <c r="GQ51" s="50" t="str">
        <f t="shared" si="54"/>
        <v/>
      </c>
      <c r="GR51" s="50" t="str">
        <f t="shared" si="54"/>
        <v/>
      </c>
      <c r="GS51" s="50" t="str">
        <f t="shared" si="54"/>
        <v/>
      </c>
      <c r="GT51" s="50" t="str">
        <f t="shared" si="54"/>
        <v/>
      </c>
      <c r="GU51" s="50" t="str">
        <f t="shared" si="54"/>
        <v/>
      </c>
      <c r="GV51" s="50" t="str">
        <f t="shared" si="54"/>
        <v/>
      </c>
      <c r="GW51" s="50" t="str">
        <f t="shared" si="29"/>
        <v/>
      </c>
      <c r="GX51" s="50" t="str">
        <f t="shared" si="50"/>
        <v/>
      </c>
      <c r="GY51" s="50" t="str">
        <f t="shared" si="50"/>
        <v/>
      </c>
      <c r="GZ51" s="50" t="str">
        <f t="shared" si="50"/>
        <v/>
      </c>
      <c r="HA51" s="50" t="str">
        <f t="shared" si="50"/>
        <v/>
      </c>
      <c r="HB51" s="50" t="str">
        <f t="shared" si="50"/>
        <v/>
      </c>
      <c r="HC51" s="50" t="str">
        <f t="shared" si="50"/>
        <v/>
      </c>
      <c r="HD51" s="50" t="str">
        <f t="shared" si="50"/>
        <v/>
      </c>
      <c r="HE51" s="50" t="str">
        <f t="shared" si="50"/>
        <v/>
      </c>
      <c r="HF51" s="50" t="str">
        <f t="shared" si="50"/>
        <v/>
      </c>
      <c r="HG51" s="50" t="str">
        <f t="shared" si="50"/>
        <v/>
      </c>
      <c r="HH51" s="50" t="str">
        <f t="shared" si="50"/>
        <v/>
      </c>
      <c r="HI51" s="50" t="str">
        <f t="shared" si="50"/>
        <v/>
      </c>
      <c r="HJ51" s="50" t="str">
        <f t="shared" si="50"/>
        <v/>
      </c>
      <c r="HK51" s="50" t="str">
        <f t="shared" si="50"/>
        <v/>
      </c>
      <c r="HL51" s="50" t="str">
        <f t="shared" si="50"/>
        <v/>
      </c>
      <c r="HM51" s="50" t="str">
        <f t="shared" si="50"/>
        <v/>
      </c>
      <c r="HN51" s="50" t="str">
        <f t="shared" si="23"/>
        <v/>
      </c>
      <c r="HO51" s="50" t="str">
        <f t="shared" si="23"/>
        <v/>
      </c>
      <c r="HP51" s="50" t="str">
        <f t="shared" si="23"/>
        <v/>
      </c>
      <c r="HQ51" s="50" t="str">
        <f t="shared" si="23"/>
        <v/>
      </c>
      <c r="HR51" s="116" t="str">
        <f t="shared" si="23"/>
        <v/>
      </c>
    </row>
    <row r="52" spans="1:226" ht="11.15" customHeight="1" x14ac:dyDescent="0.25">
      <c r="A52" s="26"/>
      <c r="B52" s="27"/>
      <c r="C52" s="28" t="str">
        <f>IF(A52=0,"",VLOOKUP(A52,[3]CO!$A$3:$F$5327,2,0))</f>
        <v/>
      </c>
      <c r="D52" s="29"/>
      <c r="E52" s="29"/>
      <c r="F52" s="29"/>
      <c r="G52" s="30" t="str">
        <f>IF(A52=0,"",VLOOKUP(A52,[3]CO!$A$3:$F$5327,3,0))</f>
        <v/>
      </c>
      <c r="H52" s="29"/>
      <c r="I52" s="31"/>
      <c r="J52" s="31"/>
      <c r="K52" s="31"/>
      <c r="L52" s="31"/>
      <c r="M52" s="32" t="str">
        <f t="shared" si="57"/>
        <v/>
      </c>
      <c r="N52" s="32" t="str">
        <f>IF(B52=0,"",IF(H52="M",HLOOKUP(B52,$Y$12:$DT$13,2),IF(A52=0,"",VLOOKUP(A52,[3]CO!$A$3:$F$5327,4,0))))</f>
        <v/>
      </c>
      <c r="O52" s="32" t="str">
        <f t="shared" si="58"/>
        <v/>
      </c>
      <c r="P52" s="33"/>
      <c r="Q52" s="34" t="str">
        <f t="shared" si="59"/>
        <v/>
      </c>
      <c r="R52" s="35" t="str">
        <f t="shared" si="60"/>
        <v/>
      </c>
      <c r="S52" s="122"/>
      <c r="T52" s="53" t="str">
        <f>IF(A52=0,"",VLOOKUP(A52,[3]CO!$A$3:$F$5318,5,0))</f>
        <v/>
      </c>
      <c r="U52" s="54">
        <f t="shared" si="61"/>
        <v>0</v>
      </c>
      <c r="V52" s="24"/>
      <c r="W52" s="25"/>
      <c r="X52" s="25"/>
      <c r="Y52" s="64" t="str">
        <f t="shared" si="55"/>
        <v/>
      </c>
      <c r="Z52" s="55" t="str">
        <f t="shared" si="55"/>
        <v/>
      </c>
      <c r="AA52" s="55" t="str">
        <f t="shared" si="55"/>
        <v/>
      </c>
      <c r="AB52" s="55" t="str">
        <f t="shared" si="55"/>
        <v/>
      </c>
      <c r="AC52" s="55" t="str">
        <f t="shared" si="55"/>
        <v/>
      </c>
      <c r="AD52" s="55" t="str">
        <f t="shared" si="55"/>
        <v/>
      </c>
      <c r="AE52" s="55" t="str">
        <f t="shared" si="55"/>
        <v/>
      </c>
      <c r="AF52" s="55" t="str">
        <f t="shared" si="55"/>
        <v/>
      </c>
      <c r="AG52" s="55" t="str">
        <f t="shared" si="55"/>
        <v/>
      </c>
      <c r="AH52" s="55" t="str">
        <f t="shared" si="55"/>
        <v/>
      </c>
      <c r="AI52" s="55" t="str">
        <f t="shared" si="55"/>
        <v/>
      </c>
      <c r="AJ52" s="55" t="str">
        <f t="shared" si="55"/>
        <v/>
      </c>
      <c r="AK52" s="55" t="str">
        <f t="shared" si="55"/>
        <v/>
      </c>
      <c r="AL52" s="55" t="str">
        <f t="shared" si="55"/>
        <v/>
      </c>
      <c r="AM52" s="55" t="str">
        <f t="shared" si="55"/>
        <v/>
      </c>
      <c r="AN52" s="55" t="str">
        <f t="shared" si="55"/>
        <v/>
      </c>
      <c r="AO52" s="55" t="str">
        <f t="shared" si="55"/>
        <v/>
      </c>
      <c r="AP52" s="55" t="str">
        <f t="shared" si="55"/>
        <v/>
      </c>
      <c r="AQ52" s="55" t="str">
        <f t="shared" si="55"/>
        <v/>
      </c>
      <c r="AR52" s="55" t="str">
        <f t="shared" si="55"/>
        <v/>
      </c>
      <c r="AS52" s="55" t="str">
        <f t="shared" si="55"/>
        <v/>
      </c>
      <c r="AT52" s="55" t="str">
        <f t="shared" si="55"/>
        <v/>
      </c>
      <c r="AU52" s="55" t="str">
        <f t="shared" si="55"/>
        <v/>
      </c>
      <c r="AV52" s="55" t="str">
        <f t="shared" si="55"/>
        <v/>
      </c>
      <c r="AW52" s="55" t="str">
        <f t="shared" si="55"/>
        <v/>
      </c>
      <c r="AX52" s="55" t="str">
        <f t="shared" si="55"/>
        <v/>
      </c>
      <c r="AY52" s="55" t="str">
        <f t="shared" si="55"/>
        <v/>
      </c>
      <c r="AZ52" s="55" t="str">
        <f t="shared" si="55"/>
        <v/>
      </c>
      <c r="BA52" s="55" t="str">
        <f t="shared" si="55"/>
        <v/>
      </c>
      <c r="BB52" s="55" t="str">
        <f t="shared" si="55"/>
        <v/>
      </c>
      <c r="BC52" s="55" t="str">
        <f t="shared" si="55"/>
        <v/>
      </c>
      <c r="BD52" s="55" t="str">
        <f t="shared" si="55"/>
        <v/>
      </c>
      <c r="BE52" s="55" t="str">
        <f t="shared" ref="BE52:CI60" si="64">IF($B52=BE$12,$U52,"")</f>
        <v/>
      </c>
      <c r="BF52" s="55" t="str">
        <f t="shared" si="64"/>
        <v/>
      </c>
      <c r="BG52" s="55" t="str">
        <f t="shared" si="64"/>
        <v/>
      </c>
      <c r="BH52" s="55" t="str">
        <f t="shared" si="64"/>
        <v/>
      </c>
      <c r="BI52" s="55" t="str">
        <f t="shared" si="64"/>
        <v/>
      </c>
      <c r="BJ52" s="55" t="str">
        <f t="shared" si="64"/>
        <v/>
      </c>
      <c r="BK52" s="55" t="str">
        <f t="shared" si="64"/>
        <v/>
      </c>
      <c r="BL52" s="55" t="str">
        <f t="shared" si="64"/>
        <v/>
      </c>
      <c r="BM52" s="55" t="str">
        <f t="shared" si="64"/>
        <v/>
      </c>
      <c r="BN52" s="55" t="str">
        <f t="shared" si="64"/>
        <v/>
      </c>
      <c r="BO52" s="55" t="str">
        <f t="shared" si="64"/>
        <v/>
      </c>
      <c r="BP52" s="55" t="str">
        <f t="shared" si="64"/>
        <v/>
      </c>
      <c r="BQ52" s="55" t="str">
        <f t="shared" si="64"/>
        <v/>
      </c>
      <c r="BR52" s="55" t="str">
        <f t="shared" si="64"/>
        <v/>
      </c>
      <c r="BS52" s="55" t="str">
        <f t="shared" si="64"/>
        <v/>
      </c>
      <c r="BT52" s="55" t="str">
        <f t="shared" si="64"/>
        <v/>
      </c>
      <c r="BU52" s="55" t="str">
        <f t="shared" si="64"/>
        <v/>
      </c>
      <c r="BV52" s="55" t="str">
        <f t="shared" si="64"/>
        <v/>
      </c>
      <c r="BW52" s="55" t="str">
        <f t="shared" si="64"/>
        <v/>
      </c>
      <c r="BX52" s="55" t="str">
        <f t="shared" si="64"/>
        <v/>
      </c>
      <c r="BY52" s="55" t="str">
        <f t="shared" si="64"/>
        <v/>
      </c>
      <c r="BZ52" s="55" t="str">
        <f t="shared" si="64"/>
        <v/>
      </c>
      <c r="CA52" s="55" t="str">
        <f t="shared" si="64"/>
        <v/>
      </c>
      <c r="CB52" s="55" t="str">
        <f t="shared" si="64"/>
        <v/>
      </c>
      <c r="CC52" s="55" t="str">
        <f t="shared" si="64"/>
        <v/>
      </c>
      <c r="CD52" s="55" t="str">
        <f t="shared" si="64"/>
        <v/>
      </c>
      <c r="CE52" s="55" t="str">
        <f t="shared" si="64"/>
        <v/>
      </c>
      <c r="CF52" s="55" t="str">
        <f t="shared" si="64"/>
        <v/>
      </c>
      <c r="CG52" s="55" t="str">
        <f t="shared" si="64"/>
        <v/>
      </c>
      <c r="CH52" s="55" t="str">
        <f t="shared" si="64"/>
        <v/>
      </c>
      <c r="CI52" s="55" t="str">
        <f t="shared" si="64"/>
        <v/>
      </c>
      <c r="CJ52" s="55" t="str">
        <f t="shared" si="52"/>
        <v/>
      </c>
      <c r="CK52" s="55" t="str">
        <f t="shared" si="52"/>
        <v/>
      </c>
      <c r="CL52" s="55" t="str">
        <f t="shared" si="52"/>
        <v/>
      </c>
      <c r="CM52" s="55" t="str">
        <f t="shared" si="52"/>
        <v/>
      </c>
      <c r="CN52" s="55" t="str">
        <f t="shared" si="52"/>
        <v/>
      </c>
      <c r="CO52" s="55" t="str">
        <f t="shared" si="52"/>
        <v/>
      </c>
      <c r="CP52" s="55" t="str">
        <f t="shared" si="52"/>
        <v/>
      </c>
      <c r="CQ52" s="55" t="str">
        <f t="shared" si="52"/>
        <v/>
      </c>
      <c r="CR52" s="55" t="str">
        <f t="shared" si="52"/>
        <v/>
      </c>
      <c r="CS52" s="55" t="str">
        <f t="shared" si="52"/>
        <v/>
      </c>
      <c r="CT52" s="55" t="str">
        <f t="shared" si="52"/>
        <v/>
      </c>
      <c r="CU52" s="55" t="str">
        <f t="shared" si="52"/>
        <v/>
      </c>
      <c r="CV52" s="55" t="str">
        <f t="shared" si="52"/>
        <v/>
      </c>
      <c r="CW52" s="55" t="str">
        <f t="shared" si="52"/>
        <v/>
      </c>
      <c r="CX52" s="55" t="str">
        <f t="shared" si="52"/>
        <v/>
      </c>
      <c r="CY52" s="55" t="str">
        <f t="shared" si="28"/>
        <v/>
      </c>
      <c r="CZ52" s="55" t="str">
        <f t="shared" si="52"/>
        <v/>
      </c>
      <c r="DA52" s="55" t="str">
        <f t="shared" si="52"/>
        <v/>
      </c>
      <c r="DB52" s="55" t="str">
        <f t="shared" si="52"/>
        <v/>
      </c>
      <c r="DC52" s="55" t="str">
        <f t="shared" si="52"/>
        <v/>
      </c>
      <c r="DD52" s="55" t="str">
        <f t="shared" si="52"/>
        <v/>
      </c>
      <c r="DE52" s="55" t="str">
        <f t="shared" si="52"/>
        <v/>
      </c>
      <c r="DF52" s="55" t="str">
        <f t="shared" si="52"/>
        <v/>
      </c>
      <c r="DG52" s="55" t="str">
        <f t="shared" si="52"/>
        <v/>
      </c>
      <c r="DH52" s="55" t="str">
        <f t="shared" si="52"/>
        <v/>
      </c>
      <c r="DI52" s="55" t="str">
        <f t="shared" si="52"/>
        <v/>
      </c>
      <c r="DJ52" s="55" t="str">
        <f t="shared" si="52"/>
        <v/>
      </c>
      <c r="DK52" s="55" t="str">
        <f t="shared" si="52"/>
        <v/>
      </c>
      <c r="DL52" s="55" t="str">
        <f t="shared" si="52"/>
        <v/>
      </c>
      <c r="DM52" s="55" t="str">
        <f t="shared" si="52"/>
        <v/>
      </c>
      <c r="DN52" s="55" t="str">
        <f t="shared" si="52"/>
        <v/>
      </c>
      <c r="DO52" s="55" t="str">
        <f t="shared" si="52"/>
        <v/>
      </c>
      <c r="DP52" s="55" t="str">
        <f t="shared" si="52"/>
        <v/>
      </c>
      <c r="DQ52" s="55" t="str">
        <f t="shared" si="52"/>
        <v/>
      </c>
      <c r="DR52" s="55" t="str">
        <f t="shared" si="52"/>
        <v/>
      </c>
      <c r="DS52" s="55" t="str">
        <f t="shared" si="52"/>
        <v/>
      </c>
      <c r="DT52" s="110" t="str">
        <f t="shared" si="52"/>
        <v/>
      </c>
      <c r="DU52" s="54"/>
      <c r="DV52" s="25"/>
      <c r="DW52" s="61" t="str">
        <f t="shared" si="56"/>
        <v/>
      </c>
      <c r="DX52" s="50" t="str">
        <f t="shared" si="56"/>
        <v/>
      </c>
      <c r="DY52" s="50" t="str">
        <f t="shared" si="56"/>
        <v/>
      </c>
      <c r="DZ52" s="50" t="str">
        <f t="shared" si="56"/>
        <v/>
      </c>
      <c r="EA52" s="50" t="str">
        <f t="shared" si="56"/>
        <v/>
      </c>
      <c r="EB52" s="50" t="str">
        <f t="shared" si="56"/>
        <v/>
      </c>
      <c r="EC52" s="50" t="str">
        <f t="shared" si="56"/>
        <v/>
      </c>
      <c r="ED52" s="50" t="str">
        <f t="shared" si="56"/>
        <v/>
      </c>
      <c r="EE52" s="50" t="str">
        <f t="shared" si="56"/>
        <v/>
      </c>
      <c r="EF52" s="50" t="str">
        <f t="shared" si="56"/>
        <v/>
      </c>
      <c r="EG52" s="50" t="str">
        <f t="shared" si="56"/>
        <v/>
      </c>
      <c r="EH52" s="50" t="str">
        <f t="shared" si="56"/>
        <v/>
      </c>
      <c r="EI52" s="50" t="str">
        <f t="shared" si="56"/>
        <v/>
      </c>
      <c r="EJ52" s="50" t="str">
        <f t="shared" si="56"/>
        <v/>
      </c>
      <c r="EK52" s="50" t="str">
        <f t="shared" si="56"/>
        <v/>
      </c>
      <c r="EL52" s="50" t="str">
        <f t="shared" si="56"/>
        <v/>
      </c>
      <c r="EM52" s="50" t="str">
        <f t="shared" si="56"/>
        <v/>
      </c>
      <c r="EN52" s="50" t="str">
        <f t="shared" si="56"/>
        <v/>
      </c>
      <c r="EO52" s="50" t="str">
        <f t="shared" si="56"/>
        <v/>
      </c>
      <c r="EP52" s="50" t="str">
        <f t="shared" si="56"/>
        <v/>
      </c>
      <c r="EQ52" s="50" t="str">
        <f t="shared" si="56"/>
        <v/>
      </c>
      <c r="ER52" s="50" t="str">
        <f t="shared" si="56"/>
        <v/>
      </c>
      <c r="ES52" s="50" t="str">
        <f t="shared" si="56"/>
        <v/>
      </c>
      <c r="ET52" s="50" t="str">
        <f t="shared" si="56"/>
        <v/>
      </c>
      <c r="EU52" s="50" t="str">
        <f t="shared" si="56"/>
        <v/>
      </c>
      <c r="EV52" s="50" t="str">
        <f t="shared" si="56"/>
        <v/>
      </c>
      <c r="EW52" s="50" t="str">
        <f t="shared" si="56"/>
        <v/>
      </c>
      <c r="EX52" s="50" t="str">
        <f t="shared" si="56"/>
        <v/>
      </c>
      <c r="EY52" s="50" t="str">
        <f t="shared" si="56"/>
        <v/>
      </c>
      <c r="EZ52" s="50" t="str">
        <f t="shared" si="56"/>
        <v/>
      </c>
      <c r="FA52" s="50" t="str">
        <f t="shared" si="56"/>
        <v/>
      </c>
      <c r="FB52" s="50" t="str">
        <f t="shared" si="56"/>
        <v/>
      </c>
      <c r="FC52" s="50" t="str">
        <f t="shared" ref="FC52:GG60" si="65">IF($B52=FC$12,$O52,"")</f>
        <v/>
      </c>
      <c r="FD52" s="50" t="str">
        <f t="shared" si="65"/>
        <v/>
      </c>
      <c r="FE52" s="50" t="str">
        <f t="shared" si="65"/>
        <v/>
      </c>
      <c r="FF52" s="50" t="str">
        <f t="shared" si="65"/>
        <v/>
      </c>
      <c r="FG52" s="50" t="str">
        <f t="shared" si="65"/>
        <v/>
      </c>
      <c r="FH52" s="50" t="str">
        <f t="shared" si="65"/>
        <v/>
      </c>
      <c r="FI52" s="50" t="str">
        <f t="shared" si="65"/>
        <v/>
      </c>
      <c r="FJ52" s="50" t="str">
        <f t="shared" si="65"/>
        <v/>
      </c>
      <c r="FK52" s="50" t="str">
        <f t="shared" si="65"/>
        <v/>
      </c>
      <c r="FL52" s="50" t="str">
        <f t="shared" si="65"/>
        <v/>
      </c>
      <c r="FM52" s="50" t="str">
        <f t="shared" si="65"/>
        <v/>
      </c>
      <c r="FN52" s="50" t="str">
        <f t="shared" si="65"/>
        <v/>
      </c>
      <c r="FO52" s="50" t="str">
        <f t="shared" si="65"/>
        <v/>
      </c>
      <c r="FP52" s="50" t="str">
        <f t="shared" si="65"/>
        <v/>
      </c>
      <c r="FQ52" s="50" t="str">
        <f t="shared" si="65"/>
        <v/>
      </c>
      <c r="FR52" s="50" t="str">
        <f t="shared" si="65"/>
        <v/>
      </c>
      <c r="FS52" s="50" t="str">
        <f t="shared" si="65"/>
        <v/>
      </c>
      <c r="FT52" s="50" t="str">
        <f t="shared" si="65"/>
        <v/>
      </c>
      <c r="FU52" s="50" t="str">
        <f t="shared" si="65"/>
        <v/>
      </c>
      <c r="FV52" s="50" t="str">
        <f t="shared" si="65"/>
        <v/>
      </c>
      <c r="FW52" s="50" t="str">
        <f t="shared" si="65"/>
        <v/>
      </c>
      <c r="FX52" s="50" t="str">
        <f t="shared" si="65"/>
        <v/>
      </c>
      <c r="FY52" s="50" t="str">
        <f t="shared" si="65"/>
        <v/>
      </c>
      <c r="FZ52" s="50" t="str">
        <f t="shared" si="65"/>
        <v/>
      </c>
      <c r="GA52" s="50" t="str">
        <f t="shared" si="65"/>
        <v/>
      </c>
      <c r="GB52" s="50" t="str">
        <f t="shared" si="65"/>
        <v/>
      </c>
      <c r="GC52" s="50" t="str">
        <f t="shared" si="65"/>
        <v/>
      </c>
      <c r="GD52" s="50" t="str">
        <f t="shared" si="65"/>
        <v/>
      </c>
      <c r="GE52" s="50" t="str">
        <f t="shared" si="65"/>
        <v/>
      </c>
      <c r="GF52" s="50" t="str">
        <f t="shared" si="65"/>
        <v/>
      </c>
      <c r="GG52" s="50" t="str">
        <f t="shared" si="65"/>
        <v/>
      </c>
      <c r="GH52" s="50" t="str">
        <f t="shared" si="54"/>
        <v/>
      </c>
      <c r="GI52" s="50" t="str">
        <f t="shared" si="54"/>
        <v/>
      </c>
      <c r="GJ52" s="50" t="str">
        <f t="shared" si="54"/>
        <v/>
      </c>
      <c r="GK52" s="50" t="str">
        <f t="shared" si="54"/>
        <v/>
      </c>
      <c r="GL52" s="50" t="str">
        <f t="shared" si="54"/>
        <v/>
      </c>
      <c r="GM52" s="50" t="str">
        <f t="shared" si="54"/>
        <v/>
      </c>
      <c r="GN52" s="50" t="str">
        <f t="shared" si="54"/>
        <v/>
      </c>
      <c r="GO52" s="50" t="str">
        <f t="shared" si="54"/>
        <v/>
      </c>
      <c r="GP52" s="50" t="str">
        <f t="shared" si="54"/>
        <v/>
      </c>
      <c r="GQ52" s="50" t="str">
        <f t="shared" si="54"/>
        <v/>
      </c>
      <c r="GR52" s="50" t="str">
        <f t="shared" si="54"/>
        <v/>
      </c>
      <c r="GS52" s="50" t="str">
        <f t="shared" si="54"/>
        <v/>
      </c>
      <c r="GT52" s="50" t="str">
        <f t="shared" si="54"/>
        <v/>
      </c>
      <c r="GU52" s="50" t="str">
        <f t="shared" si="54"/>
        <v/>
      </c>
      <c r="GV52" s="50" t="str">
        <f t="shared" si="54"/>
        <v/>
      </c>
      <c r="GW52" s="50" t="str">
        <f t="shared" si="29"/>
        <v/>
      </c>
      <c r="GX52" s="50" t="str">
        <f t="shared" si="50"/>
        <v/>
      </c>
      <c r="GY52" s="50" t="str">
        <f t="shared" si="50"/>
        <v/>
      </c>
      <c r="GZ52" s="50" t="str">
        <f t="shared" si="50"/>
        <v/>
      </c>
      <c r="HA52" s="50" t="str">
        <f t="shared" si="50"/>
        <v/>
      </c>
      <c r="HB52" s="50" t="str">
        <f t="shared" si="50"/>
        <v/>
      </c>
      <c r="HC52" s="50" t="str">
        <f t="shared" si="50"/>
        <v/>
      </c>
      <c r="HD52" s="50" t="str">
        <f t="shared" si="50"/>
        <v/>
      </c>
      <c r="HE52" s="50" t="str">
        <f t="shared" si="50"/>
        <v/>
      </c>
      <c r="HF52" s="50" t="str">
        <f t="shared" si="50"/>
        <v/>
      </c>
      <c r="HG52" s="50" t="str">
        <f t="shared" si="50"/>
        <v/>
      </c>
      <c r="HH52" s="50" t="str">
        <f t="shared" si="50"/>
        <v/>
      </c>
      <c r="HI52" s="50" t="str">
        <f t="shared" si="50"/>
        <v/>
      </c>
      <c r="HJ52" s="50" t="str">
        <f t="shared" si="50"/>
        <v/>
      </c>
      <c r="HK52" s="50" t="str">
        <f t="shared" si="50"/>
        <v/>
      </c>
      <c r="HL52" s="50" t="str">
        <f t="shared" si="50"/>
        <v/>
      </c>
      <c r="HM52" s="50" t="str">
        <f t="shared" si="50"/>
        <v/>
      </c>
      <c r="HN52" s="50" t="str">
        <f t="shared" si="23"/>
        <v/>
      </c>
      <c r="HO52" s="50" t="str">
        <f t="shared" si="23"/>
        <v/>
      </c>
      <c r="HP52" s="50" t="str">
        <f t="shared" si="23"/>
        <v/>
      </c>
      <c r="HQ52" s="50" t="str">
        <f t="shared" si="23"/>
        <v/>
      </c>
      <c r="HR52" s="116" t="str">
        <f t="shared" si="23"/>
        <v/>
      </c>
    </row>
    <row r="53" spans="1:226" ht="11.15" customHeight="1" x14ac:dyDescent="0.25">
      <c r="A53" s="26">
        <v>2143</v>
      </c>
      <c r="B53" s="27">
        <v>3</v>
      </c>
      <c r="C53" s="28" t="str">
        <f>IF(A53=0,"",VLOOKUP(A53,[3]CO!$A$3:$F$5327,2,0))</f>
        <v>MARTÍNEZ DUEÑAS JOSÉ ARMANDO</v>
      </c>
      <c r="D53" s="29"/>
      <c r="E53" s="29"/>
      <c r="F53" s="29"/>
      <c r="G53" s="30" t="str">
        <f>IF(A53=0,"",VLOOKUP(A53,[3]CO!$A$3:$F$5327,3,0))</f>
        <v>OF</v>
      </c>
      <c r="H53" s="29"/>
      <c r="I53" s="31"/>
      <c r="J53" s="31"/>
      <c r="K53" s="31"/>
      <c r="L53" s="31"/>
      <c r="M53" s="32" t="str">
        <f t="shared" si="57"/>
        <v/>
      </c>
      <c r="N53" s="32">
        <f>IF(B53=0,"",IF(H53="M",HLOOKUP(B53,$Y$12:$DT$13,2),IF(A53=0,"",VLOOKUP(A53,[3]CO!$A$3:$F$5327,4,0))))</f>
        <v>608.38</v>
      </c>
      <c r="O53" s="32" t="str">
        <f t="shared" si="58"/>
        <v/>
      </c>
      <c r="P53" s="33"/>
      <c r="Q53" s="34" t="str">
        <f t="shared" si="59"/>
        <v/>
      </c>
      <c r="R53" s="35">
        <f t="shared" si="60"/>
        <v>608.38</v>
      </c>
      <c r="S53" s="122">
        <v>1</v>
      </c>
      <c r="T53" s="53">
        <f>IF(A53=0,"",VLOOKUP(A53,[3]CO!$A$3:$F$5318,5,0))</f>
        <v>0</v>
      </c>
      <c r="U53" s="54">
        <f t="shared" si="61"/>
        <v>0</v>
      </c>
      <c r="V53" s="24"/>
      <c r="W53" s="25"/>
      <c r="X53" s="25"/>
      <c r="Y53" s="64" t="str">
        <f t="shared" si="55"/>
        <v/>
      </c>
      <c r="Z53" s="55" t="str">
        <f t="shared" si="55"/>
        <v/>
      </c>
      <c r="AA53" s="55">
        <f t="shared" si="55"/>
        <v>0</v>
      </c>
      <c r="AB53" s="55" t="str">
        <f t="shared" si="55"/>
        <v/>
      </c>
      <c r="AC53" s="55" t="str">
        <f t="shared" si="55"/>
        <v/>
      </c>
      <c r="AD53" s="55" t="str">
        <f t="shared" si="55"/>
        <v/>
      </c>
      <c r="AE53" s="55" t="str">
        <f t="shared" si="55"/>
        <v/>
      </c>
      <c r="AF53" s="55" t="str">
        <f t="shared" si="55"/>
        <v/>
      </c>
      <c r="AG53" s="55" t="str">
        <f t="shared" si="55"/>
        <v/>
      </c>
      <c r="AH53" s="55" t="str">
        <f t="shared" si="55"/>
        <v/>
      </c>
      <c r="AI53" s="55" t="str">
        <f t="shared" si="55"/>
        <v/>
      </c>
      <c r="AJ53" s="55" t="str">
        <f t="shared" si="55"/>
        <v/>
      </c>
      <c r="AK53" s="55" t="str">
        <f t="shared" si="55"/>
        <v/>
      </c>
      <c r="AL53" s="55" t="str">
        <f t="shared" si="55"/>
        <v/>
      </c>
      <c r="AM53" s="55" t="str">
        <f t="shared" si="55"/>
        <v/>
      </c>
      <c r="AN53" s="55" t="str">
        <f t="shared" si="55"/>
        <v/>
      </c>
      <c r="AO53" s="55" t="str">
        <f t="shared" si="55"/>
        <v/>
      </c>
      <c r="AP53" s="55" t="str">
        <f t="shared" si="55"/>
        <v/>
      </c>
      <c r="AQ53" s="55" t="str">
        <f t="shared" si="55"/>
        <v/>
      </c>
      <c r="AR53" s="55" t="str">
        <f t="shared" si="55"/>
        <v/>
      </c>
      <c r="AS53" s="55" t="str">
        <f t="shared" si="55"/>
        <v/>
      </c>
      <c r="AT53" s="55" t="str">
        <f t="shared" si="55"/>
        <v/>
      </c>
      <c r="AU53" s="55" t="str">
        <f t="shared" si="55"/>
        <v/>
      </c>
      <c r="AV53" s="55" t="str">
        <f t="shared" si="55"/>
        <v/>
      </c>
      <c r="AW53" s="55" t="str">
        <f t="shared" si="55"/>
        <v/>
      </c>
      <c r="AX53" s="55" t="str">
        <f t="shared" si="55"/>
        <v/>
      </c>
      <c r="AY53" s="55" t="str">
        <f t="shared" si="55"/>
        <v/>
      </c>
      <c r="AZ53" s="55" t="str">
        <f t="shared" si="55"/>
        <v/>
      </c>
      <c r="BA53" s="55" t="str">
        <f t="shared" si="55"/>
        <v/>
      </c>
      <c r="BB53" s="55" t="str">
        <f t="shared" si="55"/>
        <v/>
      </c>
      <c r="BC53" s="55" t="str">
        <f t="shared" si="55"/>
        <v/>
      </c>
      <c r="BD53" s="55" t="str">
        <f t="shared" si="55"/>
        <v/>
      </c>
      <c r="BE53" s="55" t="str">
        <f t="shared" si="64"/>
        <v/>
      </c>
      <c r="BF53" s="55" t="str">
        <f t="shared" si="64"/>
        <v/>
      </c>
      <c r="BG53" s="55" t="str">
        <f t="shared" si="64"/>
        <v/>
      </c>
      <c r="BH53" s="55" t="str">
        <f t="shared" si="64"/>
        <v/>
      </c>
      <c r="BI53" s="55" t="str">
        <f t="shared" si="64"/>
        <v/>
      </c>
      <c r="BJ53" s="55" t="str">
        <f t="shared" si="64"/>
        <v/>
      </c>
      <c r="BK53" s="55" t="str">
        <f t="shared" si="64"/>
        <v/>
      </c>
      <c r="BL53" s="55" t="str">
        <f t="shared" si="64"/>
        <v/>
      </c>
      <c r="BM53" s="55" t="str">
        <f t="shared" si="64"/>
        <v/>
      </c>
      <c r="BN53" s="55" t="str">
        <f t="shared" si="64"/>
        <v/>
      </c>
      <c r="BO53" s="55" t="str">
        <f t="shared" si="64"/>
        <v/>
      </c>
      <c r="BP53" s="55" t="str">
        <f t="shared" si="64"/>
        <v/>
      </c>
      <c r="BQ53" s="55" t="str">
        <f t="shared" si="64"/>
        <v/>
      </c>
      <c r="BR53" s="55" t="str">
        <f t="shared" si="64"/>
        <v/>
      </c>
      <c r="BS53" s="55" t="str">
        <f t="shared" si="64"/>
        <v/>
      </c>
      <c r="BT53" s="55" t="str">
        <f t="shared" si="64"/>
        <v/>
      </c>
      <c r="BU53" s="55" t="str">
        <f t="shared" si="64"/>
        <v/>
      </c>
      <c r="BV53" s="55" t="str">
        <f t="shared" si="64"/>
        <v/>
      </c>
      <c r="BW53" s="55" t="str">
        <f t="shared" si="64"/>
        <v/>
      </c>
      <c r="BX53" s="55" t="str">
        <f t="shared" si="64"/>
        <v/>
      </c>
      <c r="BY53" s="55" t="str">
        <f t="shared" si="64"/>
        <v/>
      </c>
      <c r="BZ53" s="55" t="str">
        <f t="shared" si="64"/>
        <v/>
      </c>
      <c r="CA53" s="55" t="str">
        <f t="shared" si="64"/>
        <v/>
      </c>
      <c r="CB53" s="55" t="str">
        <f t="shared" si="64"/>
        <v/>
      </c>
      <c r="CC53" s="55" t="str">
        <f t="shared" si="64"/>
        <v/>
      </c>
      <c r="CD53" s="55" t="str">
        <f t="shared" si="64"/>
        <v/>
      </c>
      <c r="CE53" s="55" t="str">
        <f t="shared" si="64"/>
        <v/>
      </c>
      <c r="CF53" s="55" t="str">
        <f t="shared" si="64"/>
        <v/>
      </c>
      <c r="CG53" s="55" t="str">
        <f t="shared" si="64"/>
        <v/>
      </c>
      <c r="CH53" s="55" t="str">
        <f t="shared" si="64"/>
        <v/>
      </c>
      <c r="CI53" s="55" t="str">
        <f t="shared" si="64"/>
        <v/>
      </c>
      <c r="CJ53" s="55" t="str">
        <f t="shared" si="52"/>
        <v/>
      </c>
      <c r="CK53" s="55" t="str">
        <f t="shared" si="52"/>
        <v/>
      </c>
      <c r="CL53" s="55" t="str">
        <f t="shared" si="52"/>
        <v/>
      </c>
      <c r="CM53" s="55" t="str">
        <f t="shared" si="52"/>
        <v/>
      </c>
      <c r="CN53" s="55" t="str">
        <f t="shared" si="52"/>
        <v/>
      </c>
      <c r="CO53" s="55" t="str">
        <f t="shared" si="52"/>
        <v/>
      </c>
      <c r="CP53" s="55" t="str">
        <f t="shared" si="52"/>
        <v/>
      </c>
      <c r="CQ53" s="55" t="str">
        <f t="shared" si="52"/>
        <v/>
      </c>
      <c r="CR53" s="55" t="str">
        <f t="shared" si="52"/>
        <v/>
      </c>
      <c r="CS53" s="55" t="str">
        <f t="shared" si="52"/>
        <v/>
      </c>
      <c r="CT53" s="55" t="str">
        <f t="shared" si="52"/>
        <v/>
      </c>
      <c r="CU53" s="55" t="str">
        <f t="shared" si="52"/>
        <v/>
      </c>
      <c r="CV53" s="55" t="str">
        <f t="shared" si="52"/>
        <v/>
      </c>
      <c r="CW53" s="55" t="str">
        <f t="shared" si="52"/>
        <v/>
      </c>
      <c r="CX53" s="55" t="str">
        <f t="shared" si="52"/>
        <v/>
      </c>
      <c r="CY53" s="55" t="str">
        <f t="shared" si="28"/>
        <v/>
      </c>
      <c r="CZ53" s="55" t="str">
        <f t="shared" si="52"/>
        <v/>
      </c>
      <c r="DA53" s="55" t="str">
        <f t="shared" si="52"/>
        <v/>
      </c>
      <c r="DB53" s="55" t="str">
        <f t="shared" si="52"/>
        <v/>
      </c>
      <c r="DC53" s="55" t="str">
        <f t="shared" si="52"/>
        <v/>
      </c>
      <c r="DD53" s="55" t="str">
        <f t="shared" si="52"/>
        <v/>
      </c>
      <c r="DE53" s="55" t="str">
        <f t="shared" si="52"/>
        <v/>
      </c>
      <c r="DF53" s="55" t="str">
        <f t="shared" si="52"/>
        <v/>
      </c>
      <c r="DG53" s="55" t="str">
        <f t="shared" si="52"/>
        <v/>
      </c>
      <c r="DH53" s="55" t="str">
        <f t="shared" si="52"/>
        <v/>
      </c>
      <c r="DI53" s="55" t="str">
        <f t="shared" si="52"/>
        <v/>
      </c>
      <c r="DJ53" s="55" t="str">
        <f t="shared" si="52"/>
        <v/>
      </c>
      <c r="DK53" s="55" t="str">
        <f t="shared" si="52"/>
        <v/>
      </c>
      <c r="DL53" s="55" t="str">
        <f t="shared" si="52"/>
        <v/>
      </c>
      <c r="DM53" s="55" t="str">
        <f t="shared" si="52"/>
        <v/>
      </c>
      <c r="DN53" s="55" t="str">
        <f t="shared" si="52"/>
        <v/>
      </c>
      <c r="DO53" s="55" t="str">
        <f t="shared" si="52"/>
        <v/>
      </c>
      <c r="DP53" s="55" t="str">
        <f t="shared" si="52"/>
        <v/>
      </c>
      <c r="DQ53" s="55" t="str">
        <f t="shared" si="52"/>
        <v/>
      </c>
      <c r="DR53" s="55" t="str">
        <f t="shared" si="52"/>
        <v/>
      </c>
      <c r="DS53" s="55" t="str">
        <f t="shared" si="52"/>
        <v/>
      </c>
      <c r="DT53" s="110" t="str">
        <f t="shared" si="52"/>
        <v/>
      </c>
      <c r="DU53" s="54"/>
      <c r="DV53" s="25"/>
      <c r="DW53" s="61" t="str">
        <f t="shared" si="56"/>
        <v/>
      </c>
      <c r="DX53" s="50" t="str">
        <f t="shared" si="56"/>
        <v/>
      </c>
      <c r="DY53" s="50" t="str">
        <f t="shared" si="56"/>
        <v/>
      </c>
      <c r="DZ53" s="50" t="str">
        <f t="shared" si="56"/>
        <v/>
      </c>
      <c r="EA53" s="50" t="str">
        <f t="shared" si="56"/>
        <v/>
      </c>
      <c r="EB53" s="50" t="str">
        <f t="shared" si="56"/>
        <v/>
      </c>
      <c r="EC53" s="50" t="str">
        <f t="shared" si="56"/>
        <v/>
      </c>
      <c r="ED53" s="50" t="str">
        <f t="shared" si="56"/>
        <v/>
      </c>
      <c r="EE53" s="50" t="str">
        <f t="shared" si="56"/>
        <v/>
      </c>
      <c r="EF53" s="50" t="str">
        <f t="shared" si="56"/>
        <v/>
      </c>
      <c r="EG53" s="50" t="str">
        <f t="shared" si="56"/>
        <v/>
      </c>
      <c r="EH53" s="50" t="str">
        <f t="shared" si="56"/>
        <v/>
      </c>
      <c r="EI53" s="50" t="str">
        <f t="shared" si="56"/>
        <v/>
      </c>
      <c r="EJ53" s="50" t="str">
        <f t="shared" si="56"/>
        <v/>
      </c>
      <c r="EK53" s="50" t="str">
        <f t="shared" si="56"/>
        <v/>
      </c>
      <c r="EL53" s="50" t="str">
        <f t="shared" si="56"/>
        <v/>
      </c>
      <c r="EM53" s="50" t="str">
        <f t="shared" si="56"/>
        <v/>
      </c>
      <c r="EN53" s="50" t="str">
        <f t="shared" si="56"/>
        <v/>
      </c>
      <c r="EO53" s="50" t="str">
        <f t="shared" si="56"/>
        <v/>
      </c>
      <c r="EP53" s="50" t="str">
        <f t="shared" si="56"/>
        <v/>
      </c>
      <c r="EQ53" s="50" t="str">
        <f t="shared" si="56"/>
        <v/>
      </c>
      <c r="ER53" s="50" t="str">
        <f t="shared" si="56"/>
        <v/>
      </c>
      <c r="ES53" s="50" t="str">
        <f t="shared" si="56"/>
        <v/>
      </c>
      <c r="ET53" s="50" t="str">
        <f t="shared" si="56"/>
        <v/>
      </c>
      <c r="EU53" s="50" t="str">
        <f t="shared" si="56"/>
        <v/>
      </c>
      <c r="EV53" s="50" t="str">
        <f t="shared" si="56"/>
        <v/>
      </c>
      <c r="EW53" s="50" t="str">
        <f t="shared" si="56"/>
        <v/>
      </c>
      <c r="EX53" s="50" t="str">
        <f t="shared" si="56"/>
        <v/>
      </c>
      <c r="EY53" s="50" t="str">
        <f t="shared" si="56"/>
        <v/>
      </c>
      <c r="EZ53" s="50" t="str">
        <f t="shared" si="56"/>
        <v/>
      </c>
      <c r="FA53" s="50" t="str">
        <f t="shared" si="56"/>
        <v/>
      </c>
      <c r="FB53" s="50" t="str">
        <f t="shared" si="56"/>
        <v/>
      </c>
      <c r="FC53" s="50" t="str">
        <f t="shared" si="65"/>
        <v/>
      </c>
      <c r="FD53" s="50" t="str">
        <f t="shared" si="65"/>
        <v/>
      </c>
      <c r="FE53" s="50" t="str">
        <f t="shared" si="65"/>
        <v/>
      </c>
      <c r="FF53" s="50" t="str">
        <f t="shared" si="65"/>
        <v/>
      </c>
      <c r="FG53" s="50" t="str">
        <f t="shared" si="65"/>
        <v/>
      </c>
      <c r="FH53" s="50" t="str">
        <f t="shared" si="65"/>
        <v/>
      </c>
      <c r="FI53" s="50" t="str">
        <f t="shared" si="65"/>
        <v/>
      </c>
      <c r="FJ53" s="50" t="str">
        <f t="shared" si="65"/>
        <v/>
      </c>
      <c r="FK53" s="50" t="str">
        <f t="shared" si="65"/>
        <v/>
      </c>
      <c r="FL53" s="50" t="str">
        <f t="shared" si="65"/>
        <v/>
      </c>
      <c r="FM53" s="50" t="str">
        <f t="shared" si="65"/>
        <v/>
      </c>
      <c r="FN53" s="50" t="str">
        <f t="shared" si="65"/>
        <v/>
      </c>
      <c r="FO53" s="50" t="str">
        <f t="shared" si="65"/>
        <v/>
      </c>
      <c r="FP53" s="50" t="str">
        <f t="shared" si="65"/>
        <v/>
      </c>
      <c r="FQ53" s="50" t="str">
        <f t="shared" si="65"/>
        <v/>
      </c>
      <c r="FR53" s="50" t="str">
        <f t="shared" si="65"/>
        <v/>
      </c>
      <c r="FS53" s="50" t="str">
        <f t="shared" si="65"/>
        <v/>
      </c>
      <c r="FT53" s="50" t="str">
        <f t="shared" si="65"/>
        <v/>
      </c>
      <c r="FU53" s="50" t="str">
        <f t="shared" si="65"/>
        <v/>
      </c>
      <c r="FV53" s="50" t="str">
        <f t="shared" si="65"/>
        <v/>
      </c>
      <c r="FW53" s="50" t="str">
        <f t="shared" si="65"/>
        <v/>
      </c>
      <c r="FX53" s="50" t="str">
        <f t="shared" si="65"/>
        <v/>
      </c>
      <c r="FY53" s="50" t="str">
        <f t="shared" si="65"/>
        <v/>
      </c>
      <c r="FZ53" s="50" t="str">
        <f t="shared" si="65"/>
        <v/>
      </c>
      <c r="GA53" s="50" t="str">
        <f t="shared" si="65"/>
        <v/>
      </c>
      <c r="GB53" s="50" t="str">
        <f t="shared" si="65"/>
        <v/>
      </c>
      <c r="GC53" s="50" t="str">
        <f t="shared" si="65"/>
        <v/>
      </c>
      <c r="GD53" s="50" t="str">
        <f t="shared" si="65"/>
        <v/>
      </c>
      <c r="GE53" s="50" t="str">
        <f t="shared" si="65"/>
        <v/>
      </c>
      <c r="GF53" s="50" t="str">
        <f t="shared" si="65"/>
        <v/>
      </c>
      <c r="GG53" s="50" t="str">
        <f t="shared" si="65"/>
        <v/>
      </c>
      <c r="GH53" s="50" t="str">
        <f t="shared" si="54"/>
        <v/>
      </c>
      <c r="GI53" s="50" t="str">
        <f t="shared" si="54"/>
        <v/>
      </c>
      <c r="GJ53" s="50" t="str">
        <f t="shared" si="54"/>
        <v/>
      </c>
      <c r="GK53" s="50" t="str">
        <f t="shared" si="54"/>
        <v/>
      </c>
      <c r="GL53" s="50" t="str">
        <f t="shared" si="54"/>
        <v/>
      </c>
      <c r="GM53" s="50" t="str">
        <f t="shared" si="54"/>
        <v/>
      </c>
      <c r="GN53" s="50" t="str">
        <f t="shared" si="54"/>
        <v/>
      </c>
      <c r="GO53" s="50" t="str">
        <f t="shared" si="54"/>
        <v/>
      </c>
      <c r="GP53" s="50" t="str">
        <f t="shared" si="54"/>
        <v/>
      </c>
      <c r="GQ53" s="50" t="str">
        <f t="shared" si="54"/>
        <v/>
      </c>
      <c r="GR53" s="50" t="str">
        <f t="shared" si="54"/>
        <v/>
      </c>
      <c r="GS53" s="50" t="str">
        <f t="shared" si="54"/>
        <v/>
      </c>
      <c r="GT53" s="50" t="str">
        <f t="shared" si="54"/>
        <v/>
      </c>
      <c r="GU53" s="50" t="str">
        <f t="shared" si="54"/>
        <v/>
      </c>
      <c r="GV53" s="50" t="str">
        <f t="shared" si="54"/>
        <v/>
      </c>
      <c r="GW53" s="50" t="str">
        <f t="shared" si="29"/>
        <v/>
      </c>
      <c r="GX53" s="50" t="str">
        <f t="shared" si="50"/>
        <v/>
      </c>
      <c r="GY53" s="50" t="str">
        <f t="shared" si="50"/>
        <v/>
      </c>
      <c r="GZ53" s="50" t="str">
        <f t="shared" si="50"/>
        <v/>
      </c>
      <c r="HA53" s="50" t="str">
        <f t="shared" si="50"/>
        <v/>
      </c>
      <c r="HB53" s="50" t="str">
        <f t="shared" si="50"/>
        <v/>
      </c>
      <c r="HC53" s="50" t="str">
        <f t="shared" si="50"/>
        <v/>
      </c>
      <c r="HD53" s="50" t="str">
        <f t="shared" si="50"/>
        <v/>
      </c>
      <c r="HE53" s="50" t="str">
        <f t="shared" si="50"/>
        <v/>
      </c>
      <c r="HF53" s="50" t="str">
        <f t="shared" si="50"/>
        <v/>
      </c>
      <c r="HG53" s="50" t="str">
        <f t="shared" si="50"/>
        <v/>
      </c>
      <c r="HH53" s="50" t="str">
        <f t="shared" si="50"/>
        <v/>
      </c>
      <c r="HI53" s="50" t="str">
        <f t="shared" si="50"/>
        <v/>
      </c>
      <c r="HJ53" s="50" t="str">
        <f t="shared" si="50"/>
        <v/>
      </c>
      <c r="HK53" s="50" t="str">
        <f t="shared" si="50"/>
        <v/>
      </c>
      <c r="HL53" s="50" t="str">
        <f t="shared" si="50"/>
        <v/>
      </c>
      <c r="HM53" s="50" t="str">
        <f t="shared" si="50"/>
        <v/>
      </c>
      <c r="HN53" s="50" t="str">
        <f t="shared" si="23"/>
        <v/>
      </c>
      <c r="HO53" s="50" t="str">
        <f t="shared" si="23"/>
        <v/>
      </c>
      <c r="HP53" s="50" t="str">
        <f t="shared" si="23"/>
        <v/>
      </c>
      <c r="HQ53" s="50" t="str">
        <f t="shared" si="23"/>
        <v/>
      </c>
      <c r="HR53" s="116" t="str">
        <f t="shared" si="23"/>
        <v/>
      </c>
    </row>
    <row r="54" spans="1:226" ht="11.15" customHeight="1" x14ac:dyDescent="0.25">
      <c r="A54" s="26" t="s">
        <v>52</v>
      </c>
      <c r="B54" s="27">
        <v>3</v>
      </c>
      <c r="C54" s="28" t="str">
        <f>IF(A54=0,"",VLOOKUP(A54,[3]CO!$A$3:$F$5327,2,0))</f>
        <v>Oficial por el dia</v>
      </c>
      <c r="D54" s="29" t="s">
        <v>53</v>
      </c>
      <c r="E54" s="29"/>
      <c r="F54" s="29"/>
      <c r="G54" s="30" t="str">
        <f>IF(A54=0,"",VLOOKUP(A54,[3]CO!$A$3:$F$5327,3,0))</f>
        <v>JORNAL</v>
      </c>
      <c r="H54" s="29"/>
      <c r="I54" s="31"/>
      <c r="J54" s="31"/>
      <c r="K54" s="31"/>
      <c r="L54" s="31">
        <v>1</v>
      </c>
      <c r="M54" s="32">
        <f t="shared" si="57"/>
        <v>1</v>
      </c>
      <c r="N54" s="32">
        <f>IF(B54=0,"",IF(H54="M",HLOOKUP(B54,$Y$12:$DT$13,2),IF(A54=0,"",VLOOKUP(A54,[3]CO!$A$3:$F$5327,4,0))))</f>
        <v>608.38</v>
      </c>
      <c r="O54" s="32">
        <f t="shared" si="58"/>
        <v>608.38</v>
      </c>
      <c r="P54" s="33">
        <v>3</v>
      </c>
      <c r="Q54" s="34">
        <f t="shared" si="59"/>
        <v>608.38</v>
      </c>
      <c r="R54" s="35" t="str">
        <f t="shared" si="60"/>
        <v/>
      </c>
      <c r="S54" s="122"/>
      <c r="T54" s="53">
        <f>IF(A54=0,"",VLOOKUP(A54,[3]CO!$A$3:$F$5318,5,0))</f>
        <v>0</v>
      </c>
      <c r="U54" s="54">
        <f t="shared" si="61"/>
        <v>0</v>
      </c>
      <c r="V54" s="24"/>
      <c r="W54" s="25"/>
      <c r="X54" s="25"/>
      <c r="Y54" s="64" t="str">
        <f t="shared" si="55"/>
        <v/>
      </c>
      <c r="Z54" s="55" t="str">
        <f t="shared" si="55"/>
        <v/>
      </c>
      <c r="AA54" s="55">
        <f t="shared" si="55"/>
        <v>0</v>
      </c>
      <c r="AB54" s="55" t="str">
        <f t="shared" si="55"/>
        <v/>
      </c>
      <c r="AC54" s="55" t="str">
        <f t="shared" si="55"/>
        <v/>
      </c>
      <c r="AD54" s="55" t="str">
        <f t="shared" si="55"/>
        <v/>
      </c>
      <c r="AE54" s="55" t="str">
        <f t="shared" si="55"/>
        <v/>
      </c>
      <c r="AF54" s="55" t="str">
        <f t="shared" si="55"/>
        <v/>
      </c>
      <c r="AG54" s="55" t="str">
        <f t="shared" si="55"/>
        <v/>
      </c>
      <c r="AH54" s="55" t="str">
        <f t="shared" si="55"/>
        <v/>
      </c>
      <c r="AI54" s="55" t="str">
        <f t="shared" si="55"/>
        <v/>
      </c>
      <c r="AJ54" s="55" t="str">
        <f t="shared" si="55"/>
        <v/>
      </c>
      <c r="AK54" s="55" t="str">
        <f t="shared" si="55"/>
        <v/>
      </c>
      <c r="AL54" s="55" t="str">
        <f t="shared" si="55"/>
        <v/>
      </c>
      <c r="AM54" s="55" t="str">
        <f t="shared" si="55"/>
        <v/>
      </c>
      <c r="AN54" s="55" t="str">
        <f t="shared" si="55"/>
        <v/>
      </c>
      <c r="AO54" s="55" t="str">
        <f t="shared" si="55"/>
        <v/>
      </c>
      <c r="AP54" s="55" t="str">
        <f t="shared" si="55"/>
        <v/>
      </c>
      <c r="AQ54" s="55" t="str">
        <f t="shared" si="55"/>
        <v/>
      </c>
      <c r="AR54" s="55" t="str">
        <f t="shared" si="55"/>
        <v/>
      </c>
      <c r="AS54" s="55" t="str">
        <f t="shared" si="55"/>
        <v/>
      </c>
      <c r="AT54" s="55" t="str">
        <f t="shared" si="55"/>
        <v/>
      </c>
      <c r="AU54" s="55" t="str">
        <f t="shared" si="55"/>
        <v/>
      </c>
      <c r="AV54" s="55" t="str">
        <f t="shared" si="55"/>
        <v/>
      </c>
      <c r="AW54" s="55" t="str">
        <f t="shared" si="55"/>
        <v/>
      </c>
      <c r="AX54" s="55" t="str">
        <f t="shared" si="55"/>
        <v/>
      </c>
      <c r="AY54" s="55" t="str">
        <f t="shared" si="55"/>
        <v/>
      </c>
      <c r="AZ54" s="55" t="str">
        <f t="shared" si="55"/>
        <v/>
      </c>
      <c r="BA54" s="55" t="str">
        <f t="shared" si="55"/>
        <v/>
      </c>
      <c r="BB54" s="55" t="str">
        <f t="shared" si="55"/>
        <v/>
      </c>
      <c r="BC54" s="55" t="str">
        <f t="shared" si="55"/>
        <v/>
      </c>
      <c r="BD54" s="55" t="str">
        <f t="shared" si="55"/>
        <v/>
      </c>
      <c r="BE54" s="55" t="str">
        <f t="shared" si="64"/>
        <v/>
      </c>
      <c r="BF54" s="55" t="str">
        <f t="shared" si="64"/>
        <v/>
      </c>
      <c r="BG54" s="55" t="str">
        <f t="shared" si="64"/>
        <v/>
      </c>
      <c r="BH54" s="55" t="str">
        <f t="shared" si="64"/>
        <v/>
      </c>
      <c r="BI54" s="55" t="str">
        <f t="shared" si="64"/>
        <v/>
      </c>
      <c r="BJ54" s="55" t="str">
        <f t="shared" si="64"/>
        <v/>
      </c>
      <c r="BK54" s="55" t="str">
        <f t="shared" si="64"/>
        <v/>
      </c>
      <c r="BL54" s="55" t="str">
        <f t="shared" si="64"/>
        <v/>
      </c>
      <c r="BM54" s="55" t="str">
        <f t="shared" si="64"/>
        <v/>
      </c>
      <c r="BN54" s="55" t="str">
        <f t="shared" si="64"/>
        <v/>
      </c>
      <c r="BO54" s="55" t="str">
        <f t="shared" si="64"/>
        <v/>
      </c>
      <c r="BP54" s="55" t="str">
        <f t="shared" si="64"/>
        <v/>
      </c>
      <c r="BQ54" s="55" t="str">
        <f t="shared" si="64"/>
        <v/>
      </c>
      <c r="BR54" s="55" t="str">
        <f t="shared" si="64"/>
        <v/>
      </c>
      <c r="BS54" s="55" t="str">
        <f t="shared" si="64"/>
        <v/>
      </c>
      <c r="BT54" s="55" t="str">
        <f t="shared" si="64"/>
        <v/>
      </c>
      <c r="BU54" s="55" t="str">
        <f t="shared" si="64"/>
        <v/>
      </c>
      <c r="BV54" s="55" t="str">
        <f t="shared" si="64"/>
        <v/>
      </c>
      <c r="BW54" s="55" t="str">
        <f t="shared" si="64"/>
        <v/>
      </c>
      <c r="BX54" s="55" t="str">
        <f t="shared" si="64"/>
        <v/>
      </c>
      <c r="BY54" s="55" t="str">
        <f t="shared" si="64"/>
        <v/>
      </c>
      <c r="BZ54" s="55" t="str">
        <f t="shared" si="64"/>
        <v/>
      </c>
      <c r="CA54" s="55" t="str">
        <f t="shared" si="64"/>
        <v/>
      </c>
      <c r="CB54" s="55" t="str">
        <f t="shared" si="64"/>
        <v/>
      </c>
      <c r="CC54" s="55" t="str">
        <f t="shared" si="64"/>
        <v/>
      </c>
      <c r="CD54" s="55" t="str">
        <f t="shared" si="64"/>
        <v/>
      </c>
      <c r="CE54" s="55" t="str">
        <f t="shared" si="64"/>
        <v/>
      </c>
      <c r="CF54" s="55" t="str">
        <f t="shared" si="64"/>
        <v/>
      </c>
      <c r="CG54" s="55" t="str">
        <f t="shared" si="64"/>
        <v/>
      </c>
      <c r="CH54" s="55" t="str">
        <f t="shared" si="64"/>
        <v/>
      </c>
      <c r="CI54" s="55" t="str">
        <f t="shared" si="64"/>
        <v/>
      </c>
      <c r="CJ54" s="55" t="str">
        <f t="shared" si="52"/>
        <v/>
      </c>
      <c r="CK54" s="55" t="str">
        <f t="shared" si="52"/>
        <v/>
      </c>
      <c r="CL54" s="55" t="str">
        <f t="shared" si="52"/>
        <v/>
      </c>
      <c r="CM54" s="55" t="str">
        <f t="shared" si="52"/>
        <v/>
      </c>
      <c r="CN54" s="55" t="str">
        <f t="shared" ref="CN54:DT54" si="66">IF($B54=CN$12,$U54,"")</f>
        <v/>
      </c>
      <c r="CO54" s="55" t="str">
        <f t="shared" si="66"/>
        <v/>
      </c>
      <c r="CP54" s="55" t="str">
        <f t="shared" si="66"/>
        <v/>
      </c>
      <c r="CQ54" s="55" t="str">
        <f t="shared" si="66"/>
        <v/>
      </c>
      <c r="CR54" s="55" t="str">
        <f t="shared" si="66"/>
        <v/>
      </c>
      <c r="CS54" s="55" t="str">
        <f t="shared" si="66"/>
        <v/>
      </c>
      <c r="CT54" s="55" t="str">
        <f t="shared" si="66"/>
        <v/>
      </c>
      <c r="CU54" s="55" t="str">
        <f t="shared" si="66"/>
        <v/>
      </c>
      <c r="CV54" s="55" t="str">
        <f t="shared" si="66"/>
        <v/>
      </c>
      <c r="CW54" s="55" t="str">
        <f t="shared" si="66"/>
        <v/>
      </c>
      <c r="CX54" s="55" t="str">
        <f t="shared" si="66"/>
        <v/>
      </c>
      <c r="CY54" s="55" t="str">
        <f t="shared" si="28"/>
        <v/>
      </c>
      <c r="CZ54" s="55" t="str">
        <f t="shared" si="66"/>
        <v/>
      </c>
      <c r="DA54" s="55" t="str">
        <f t="shared" si="66"/>
        <v/>
      </c>
      <c r="DB54" s="55" t="str">
        <f t="shared" si="66"/>
        <v/>
      </c>
      <c r="DC54" s="55" t="str">
        <f t="shared" si="66"/>
        <v/>
      </c>
      <c r="DD54" s="55" t="str">
        <f t="shared" si="66"/>
        <v/>
      </c>
      <c r="DE54" s="55" t="str">
        <f t="shared" si="66"/>
        <v/>
      </c>
      <c r="DF54" s="55" t="str">
        <f t="shared" si="66"/>
        <v/>
      </c>
      <c r="DG54" s="55" t="str">
        <f t="shared" si="66"/>
        <v/>
      </c>
      <c r="DH54" s="55" t="str">
        <f t="shared" si="66"/>
        <v/>
      </c>
      <c r="DI54" s="55" t="str">
        <f t="shared" si="66"/>
        <v/>
      </c>
      <c r="DJ54" s="55" t="str">
        <f t="shared" si="66"/>
        <v/>
      </c>
      <c r="DK54" s="55" t="str">
        <f t="shared" si="66"/>
        <v/>
      </c>
      <c r="DL54" s="55" t="str">
        <f t="shared" si="66"/>
        <v/>
      </c>
      <c r="DM54" s="55" t="str">
        <f t="shared" si="66"/>
        <v/>
      </c>
      <c r="DN54" s="55" t="str">
        <f t="shared" si="66"/>
        <v/>
      </c>
      <c r="DO54" s="55" t="str">
        <f t="shared" si="66"/>
        <v/>
      </c>
      <c r="DP54" s="55" t="str">
        <f t="shared" si="66"/>
        <v/>
      </c>
      <c r="DQ54" s="55" t="str">
        <f t="shared" si="66"/>
        <v/>
      </c>
      <c r="DR54" s="55" t="str">
        <f t="shared" si="66"/>
        <v/>
      </c>
      <c r="DS54" s="55" t="str">
        <f t="shared" si="66"/>
        <v/>
      </c>
      <c r="DT54" s="110" t="str">
        <f t="shared" si="66"/>
        <v/>
      </c>
      <c r="DU54" s="54"/>
      <c r="DV54" s="25"/>
      <c r="DW54" s="61" t="str">
        <f t="shared" si="56"/>
        <v/>
      </c>
      <c r="DX54" s="50" t="str">
        <f t="shared" si="56"/>
        <v/>
      </c>
      <c r="DY54" s="50">
        <f t="shared" si="56"/>
        <v>608.38</v>
      </c>
      <c r="DZ54" s="50" t="str">
        <f t="shared" si="56"/>
        <v/>
      </c>
      <c r="EA54" s="50" t="str">
        <f t="shared" si="56"/>
        <v/>
      </c>
      <c r="EB54" s="50" t="str">
        <f t="shared" si="56"/>
        <v/>
      </c>
      <c r="EC54" s="50" t="str">
        <f t="shared" si="56"/>
        <v/>
      </c>
      <c r="ED54" s="50" t="str">
        <f t="shared" si="56"/>
        <v/>
      </c>
      <c r="EE54" s="50" t="str">
        <f t="shared" si="56"/>
        <v/>
      </c>
      <c r="EF54" s="50" t="str">
        <f t="shared" si="56"/>
        <v/>
      </c>
      <c r="EG54" s="50" t="str">
        <f t="shared" si="56"/>
        <v/>
      </c>
      <c r="EH54" s="50" t="str">
        <f t="shared" si="56"/>
        <v/>
      </c>
      <c r="EI54" s="50" t="str">
        <f t="shared" si="56"/>
        <v/>
      </c>
      <c r="EJ54" s="50" t="str">
        <f t="shared" si="56"/>
        <v/>
      </c>
      <c r="EK54" s="50" t="str">
        <f t="shared" si="56"/>
        <v/>
      </c>
      <c r="EL54" s="50" t="str">
        <f t="shared" si="56"/>
        <v/>
      </c>
      <c r="EM54" s="50" t="str">
        <f t="shared" si="56"/>
        <v/>
      </c>
      <c r="EN54" s="50" t="str">
        <f t="shared" si="56"/>
        <v/>
      </c>
      <c r="EO54" s="50" t="str">
        <f t="shared" si="56"/>
        <v/>
      </c>
      <c r="EP54" s="50" t="str">
        <f t="shared" si="56"/>
        <v/>
      </c>
      <c r="EQ54" s="50" t="str">
        <f t="shared" si="56"/>
        <v/>
      </c>
      <c r="ER54" s="50" t="str">
        <f t="shared" si="56"/>
        <v/>
      </c>
      <c r="ES54" s="50" t="str">
        <f t="shared" si="56"/>
        <v/>
      </c>
      <c r="ET54" s="50" t="str">
        <f t="shared" si="56"/>
        <v/>
      </c>
      <c r="EU54" s="50" t="str">
        <f t="shared" si="56"/>
        <v/>
      </c>
      <c r="EV54" s="50" t="str">
        <f t="shared" si="56"/>
        <v/>
      </c>
      <c r="EW54" s="50" t="str">
        <f t="shared" si="56"/>
        <v/>
      </c>
      <c r="EX54" s="50" t="str">
        <f t="shared" si="56"/>
        <v/>
      </c>
      <c r="EY54" s="50" t="str">
        <f t="shared" si="56"/>
        <v/>
      </c>
      <c r="EZ54" s="50" t="str">
        <f t="shared" si="56"/>
        <v/>
      </c>
      <c r="FA54" s="50" t="str">
        <f t="shared" si="56"/>
        <v/>
      </c>
      <c r="FB54" s="50" t="str">
        <f t="shared" si="56"/>
        <v/>
      </c>
      <c r="FC54" s="50" t="str">
        <f t="shared" si="65"/>
        <v/>
      </c>
      <c r="FD54" s="50" t="str">
        <f t="shared" si="65"/>
        <v/>
      </c>
      <c r="FE54" s="50" t="str">
        <f t="shared" si="65"/>
        <v/>
      </c>
      <c r="FF54" s="50" t="str">
        <f t="shared" si="65"/>
        <v/>
      </c>
      <c r="FG54" s="50" t="str">
        <f t="shared" si="65"/>
        <v/>
      </c>
      <c r="FH54" s="50" t="str">
        <f t="shared" si="65"/>
        <v/>
      </c>
      <c r="FI54" s="50" t="str">
        <f t="shared" si="65"/>
        <v/>
      </c>
      <c r="FJ54" s="50" t="str">
        <f t="shared" si="65"/>
        <v/>
      </c>
      <c r="FK54" s="50" t="str">
        <f t="shared" si="65"/>
        <v/>
      </c>
      <c r="FL54" s="50" t="str">
        <f t="shared" si="65"/>
        <v/>
      </c>
      <c r="FM54" s="50" t="str">
        <f t="shared" si="65"/>
        <v/>
      </c>
      <c r="FN54" s="50" t="str">
        <f t="shared" si="65"/>
        <v/>
      </c>
      <c r="FO54" s="50" t="str">
        <f t="shared" si="65"/>
        <v/>
      </c>
      <c r="FP54" s="50" t="str">
        <f t="shared" si="65"/>
        <v/>
      </c>
      <c r="FQ54" s="50" t="str">
        <f t="shared" si="65"/>
        <v/>
      </c>
      <c r="FR54" s="50" t="str">
        <f t="shared" si="65"/>
        <v/>
      </c>
      <c r="FS54" s="50" t="str">
        <f t="shared" si="65"/>
        <v/>
      </c>
      <c r="FT54" s="50" t="str">
        <f t="shared" si="65"/>
        <v/>
      </c>
      <c r="FU54" s="50" t="str">
        <f t="shared" si="65"/>
        <v/>
      </c>
      <c r="FV54" s="50" t="str">
        <f t="shared" si="65"/>
        <v/>
      </c>
      <c r="FW54" s="50" t="str">
        <f t="shared" si="65"/>
        <v/>
      </c>
      <c r="FX54" s="50" t="str">
        <f t="shared" si="65"/>
        <v/>
      </c>
      <c r="FY54" s="50" t="str">
        <f t="shared" si="65"/>
        <v/>
      </c>
      <c r="FZ54" s="50" t="str">
        <f t="shared" si="65"/>
        <v/>
      </c>
      <c r="GA54" s="50" t="str">
        <f t="shared" si="65"/>
        <v/>
      </c>
      <c r="GB54" s="50" t="str">
        <f t="shared" si="65"/>
        <v/>
      </c>
      <c r="GC54" s="50" t="str">
        <f t="shared" si="65"/>
        <v/>
      </c>
      <c r="GD54" s="50" t="str">
        <f t="shared" si="65"/>
        <v/>
      </c>
      <c r="GE54" s="50" t="str">
        <f t="shared" si="65"/>
        <v/>
      </c>
      <c r="GF54" s="50" t="str">
        <f t="shared" si="65"/>
        <v/>
      </c>
      <c r="GG54" s="50" t="str">
        <f t="shared" si="65"/>
        <v/>
      </c>
      <c r="GH54" s="50" t="str">
        <f t="shared" si="54"/>
        <v/>
      </c>
      <c r="GI54" s="50" t="str">
        <f t="shared" si="54"/>
        <v/>
      </c>
      <c r="GJ54" s="50" t="str">
        <f t="shared" si="54"/>
        <v/>
      </c>
      <c r="GK54" s="50" t="str">
        <f t="shared" si="54"/>
        <v/>
      </c>
      <c r="GL54" s="50" t="str">
        <f t="shared" si="54"/>
        <v/>
      </c>
      <c r="GM54" s="50" t="str">
        <f t="shared" si="54"/>
        <v/>
      </c>
      <c r="GN54" s="50" t="str">
        <f t="shared" si="54"/>
        <v/>
      </c>
      <c r="GO54" s="50" t="str">
        <f t="shared" si="54"/>
        <v/>
      </c>
      <c r="GP54" s="50" t="str">
        <f t="shared" si="54"/>
        <v/>
      </c>
      <c r="GQ54" s="50" t="str">
        <f t="shared" si="54"/>
        <v/>
      </c>
      <c r="GR54" s="50" t="str">
        <f t="shared" si="54"/>
        <v/>
      </c>
      <c r="GS54" s="50" t="str">
        <f t="shared" si="54"/>
        <v/>
      </c>
      <c r="GT54" s="50" t="str">
        <f t="shared" si="54"/>
        <v/>
      </c>
      <c r="GU54" s="50" t="str">
        <f t="shared" si="54"/>
        <v/>
      </c>
      <c r="GV54" s="50" t="str">
        <f t="shared" si="54"/>
        <v/>
      </c>
      <c r="GW54" s="50" t="str">
        <f t="shared" si="29"/>
        <v/>
      </c>
      <c r="GX54" s="50" t="str">
        <f t="shared" si="50"/>
        <v/>
      </c>
      <c r="GY54" s="50" t="str">
        <f t="shared" si="50"/>
        <v/>
      </c>
      <c r="GZ54" s="50" t="str">
        <f t="shared" si="50"/>
        <v/>
      </c>
      <c r="HA54" s="50" t="str">
        <f t="shared" si="50"/>
        <v/>
      </c>
      <c r="HB54" s="50" t="str">
        <f t="shared" si="50"/>
        <v/>
      </c>
      <c r="HC54" s="50" t="str">
        <f t="shared" si="50"/>
        <v/>
      </c>
      <c r="HD54" s="50" t="str">
        <f t="shared" si="50"/>
        <v/>
      </c>
      <c r="HE54" s="50" t="str">
        <f t="shared" si="50"/>
        <v/>
      </c>
      <c r="HF54" s="50" t="str">
        <f t="shared" si="50"/>
        <v/>
      </c>
      <c r="HG54" s="50" t="str">
        <f t="shared" si="50"/>
        <v/>
      </c>
      <c r="HH54" s="50" t="str">
        <f t="shared" si="50"/>
        <v/>
      </c>
      <c r="HI54" s="50" t="str">
        <f t="shared" si="50"/>
        <v/>
      </c>
      <c r="HJ54" s="50" t="str">
        <f t="shared" si="50"/>
        <v/>
      </c>
      <c r="HK54" s="50" t="str">
        <f t="shared" si="50"/>
        <v/>
      </c>
      <c r="HL54" s="50" t="str">
        <f t="shared" si="50"/>
        <v/>
      </c>
      <c r="HM54" s="50" t="str">
        <f t="shared" si="50"/>
        <v/>
      </c>
      <c r="HN54" s="50" t="str">
        <f t="shared" si="23"/>
        <v/>
      </c>
      <c r="HO54" s="50" t="str">
        <f t="shared" si="23"/>
        <v/>
      </c>
      <c r="HP54" s="50" t="str">
        <f t="shared" si="23"/>
        <v/>
      </c>
      <c r="HQ54" s="50" t="str">
        <f t="shared" si="23"/>
        <v/>
      </c>
      <c r="HR54" s="116" t="str">
        <f t="shared" si="23"/>
        <v/>
      </c>
    </row>
    <row r="55" spans="1:226" ht="11.15" customHeight="1" x14ac:dyDescent="0.25">
      <c r="A55" s="26">
        <v>2703</v>
      </c>
      <c r="B55" s="27">
        <v>4</v>
      </c>
      <c r="C55" s="28" t="str">
        <f>IF(A55=0,"",VLOOKUP(A55,[3]CO!$A$3:$F$5327,2,0))</f>
        <v>MARTÍNEZ DUEÑAS FRANCISCO</v>
      </c>
      <c r="D55" s="29"/>
      <c r="E55" s="29"/>
      <c r="F55" s="29"/>
      <c r="G55" s="30" t="str">
        <f>IF(A55=0,"",VLOOKUP(A55,[3]CO!$A$3:$F$5327,3,0))</f>
        <v>OF</v>
      </c>
      <c r="H55" s="29"/>
      <c r="I55" s="31"/>
      <c r="J55" s="31"/>
      <c r="K55" s="31"/>
      <c r="L55" s="31"/>
      <c r="M55" s="32" t="str">
        <f t="shared" si="57"/>
        <v/>
      </c>
      <c r="N55" s="32">
        <f>IF(B55=0,"",IF(H55="M",HLOOKUP(B55,$Y$12:$DT$13,2),IF(A55=0,"",VLOOKUP(A55,[3]CO!$A$3:$F$5327,4,0))))</f>
        <v>608.38</v>
      </c>
      <c r="O55" s="32" t="str">
        <f t="shared" si="58"/>
        <v/>
      </c>
      <c r="P55" s="33"/>
      <c r="Q55" s="34" t="str">
        <f t="shared" si="59"/>
        <v/>
      </c>
      <c r="R55" s="35">
        <f t="shared" si="60"/>
        <v>608.38</v>
      </c>
      <c r="S55" s="122">
        <v>1</v>
      </c>
      <c r="T55" s="53">
        <f>IF(A55=0,"",VLOOKUP(A55,[3]CO!$A$3:$F$5318,5,0))</f>
        <v>0</v>
      </c>
      <c r="U55" s="54">
        <f t="shared" si="61"/>
        <v>0</v>
      </c>
      <c r="V55" s="24"/>
      <c r="W55" s="25"/>
      <c r="X55" s="25"/>
      <c r="Y55" s="64" t="str">
        <f t="shared" si="55"/>
        <v/>
      </c>
      <c r="Z55" s="55" t="str">
        <f t="shared" si="55"/>
        <v/>
      </c>
      <c r="AA55" s="55" t="str">
        <f t="shared" si="55"/>
        <v/>
      </c>
      <c r="AB55" s="55">
        <f t="shared" si="55"/>
        <v>0</v>
      </c>
      <c r="AC55" s="55" t="str">
        <f t="shared" si="55"/>
        <v/>
      </c>
      <c r="AD55" s="55" t="str">
        <f t="shared" si="55"/>
        <v/>
      </c>
      <c r="AE55" s="55" t="str">
        <f t="shared" si="55"/>
        <v/>
      </c>
      <c r="AF55" s="55" t="str">
        <f t="shared" si="55"/>
        <v/>
      </c>
      <c r="AG55" s="55" t="str">
        <f t="shared" si="55"/>
        <v/>
      </c>
      <c r="AH55" s="55" t="str">
        <f t="shared" si="55"/>
        <v/>
      </c>
      <c r="AI55" s="55" t="str">
        <f t="shared" si="55"/>
        <v/>
      </c>
      <c r="AJ55" s="55" t="str">
        <f t="shared" si="55"/>
        <v/>
      </c>
      <c r="AK55" s="55" t="str">
        <f t="shared" si="55"/>
        <v/>
      </c>
      <c r="AL55" s="55" t="str">
        <f t="shared" si="55"/>
        <v/>
      </c>
      <c r="AM55" s="55" t="str">
        <f t="shared" si="55"/>
        <v/>
      </c>
      <c r="AN55" s="55" t="str">
        <f t="shared" si="55"/>
        <v/>
      </c>
      <c r="AO55" s="55" t="str">
        <f t="shared" si="55"/>
        <v/>
      </c>
      <c r="AP55" s="55" t="str">
        <f t="shared" si="55"/>
        <v/>
      </c>
      <c r="AQ55" s="55" t="str">
        <f t="shared" si="55"/>
        <v/>
      </c>
      <c r="AR55" s="55" t="str">
        <f t="shared" si="55"/>
        <v/>
      </c>
      <c r="AS55" s="55" t="str">
        <f t="shared" si="55"/>
        <v/>
      </c>
      <c r="AT55" s="55" t="str">
        <f t="shared" si="55"/>
        <v/>
      </c>
      <c r="AU55" s="55" t="str">
        <f t="shared" si="55"/>
        <v/>
      </c>
      <c r="AV55" s="55" t="str">
        <f t="shared" si="55"/>
        <v/>
      </c>
      <c r="AW55" s="55" t="str">
        <f t="shared" si="55"/>
        <v/>
      </c>
      <c r="AX55" s="55" t="str">
        <f t="shared" si="55"/>
        <v/>
      </c>
      <c r="AY55" s="55" t="str">
        <f t="shared" si="55"/>
        <v/>
      </c>
      <c r="AZ55" s="55" t="str">
        <f t="shared" si="55"/>
        <v/>
      </c>
      <c r="BA55" s="55" t="str">
        <f t="shared" si="55"/>
        <v/>
      </c>
      <c r="BB55" s="55" t="str">
        <f t="shared" si="55"/>
        <v/>
      </c>
      <c r="BC55" s="55" t="str">
        <f t="shared" si="55"/>
        <v/>
      </c>
      <c r="BD55" s="55" t="str">
        <f t="shared" si="55"/>
        <v/>
      </c>
      <c r="BE55" s="55" t="str">
        <f t="shared" si="64"/>
        <v/>
      </c>
      <c r="BF55" s="55" t="str">
        <f t="shared" si="64"/>
        <v/>
      </c>
      <c r="BG55" s="55" t="str">
        <f t="shared" si="64"/>
        <v/>
      </c>
      <c r="BH55" s="55" t="str">
        <f t="shared" si="64"/>
        <v/>
      </c>
      <c r="BI55" s="55" t="str">
        <f t="shared" si="64"/>
        <v/>
      </c>
      <c r="BJ55" s="55" t="str">
        <f t="shared" si="64"/>
        <v/>
      </c>
      <c r="BK55" s="55" t="str">
        <f t="shared" si="64"/>
        <v/>
      </c>
      <c r="BL55" s="55" t="str">
        <f t="shared" si="64"/>
        <v/>
      </c>
      <c r="BM55" s="55" t="str">
        <f t="shared" si="64"/>
        <v/>
      </c>
      <c r="BN55" s="55" t="str">
        <f t="shared" si="64"/>
        <v/>
      </c>
      <c r="BO55" s="55" t="str">
        <f t="shared" si="64"/>
        <v/>
      </c>
      <c r="BP55" s="55" t="str">
        <f t="shared" si="64"/>
        <v/>
      </c>
      <c r="BQ55" s="55" t="str">
        <f t="shared" si="64"/>
        <v/>
      </c>
      <c r="BR55" s="55" t="str">
        <f t="shared" si="64"/>
        <v/>
      </c>
      <c r="BS55" s="55" t="str">
        <f t="shared" si="64"/>
        <v/>
      </c>
      <c r="BT55" s="55" t="str">
        <f t="shared" si="64"/>
        <v/>
      </c>
      <c r="BU55" s="55" t="str">
        <f t="shared" si="64"/>
        <v/>
      </c>
      <c r="BV55" s="55" t="str">
        <f t="shared" si="64"/>
        <v/>
      </c>
      <c r="BW55" s="55" t="str">
        <f t="shared" si="64"/>
        <v/>
      </c>
      <c r="BX55" s="55" t="str">
        <f t="shared" si="64"/>
        <v/>
      </c>
      <c r="BY55" s="55" t="str">
        <f t="shared" si="64"/>
        <v/>
      </c>
      <c r="BZ55" s="55" t="str">
        <f t="shared" si="64"/>
        <v/>
      </c>
      <c r="CA55" s="55" t="str">
        <f t="shared" si="64"/>
        <v/>
      </c>
      <c r="CB55" s="55" t="str">
        <f t="shared" si="64"/>
        <v/>
      </c>
      <c r="CC55" s="55" t="str">
        <f t="shared" si="64"/>
        <v/>
      </c>
      <c r="CD55" s="55" t="str">
        <f t="shared" si="64"/>
        <v/>
      </c>
      <c r="CE55" s="55" t="str">
        <f t="shared" si="64"/>
        <v/>
      </c>
      <c r="CF55" s="55" t="str">
        <f t="shared" si="64"/>
        <v/>
      </c>
      <c r="CG55" s="55" t="str">
        <f t="shared" si="64"/>
        <v/>
      </c>
      <c r="CH55" s="55" t="str">
        <f t="shared" si="64"/>
        <v/>
      </c>
      <c r="CI55" s="55" t="str">
        <f t="shared" si="64"/>
        <v/>
      </c>
      <c r="CJ55" s="55" t="str">
        <f t="shared" ref="CJ55:DT62" si="67">IF($B55=CJ$12,$U55,"")</f>
        <v/>
      </c>
      <c r="CK55" s="55" t="str">
        <f t="shared" si="67"/>
        <v/>
      </c>
      <c r="CL55" s="55" t="str">
        <f t="shared" si="67"/>
        <v/>
      </c>
      <c r="CM55" s="55" t="str">
        <f t="shared" si="67"/>
        <v/>
      </c>
      <c r="CN55" s="55" t="str">
        <f t="shared" si="67"/>
        <v/>
      </c>
      <c r="CO55" s="55" t="str">
        <f t="shared" si="67"/>
        <v/>
      </c>
      <c r="CP55" s="55" t="str">
        <f t="shared" si="67"/>
        <v/>
      </c>
      <c r="CQ55" s="55" t="str">
        <f t="shared" si="67"/>
        <v/>
      </c>
      <c r="CR55" s="55" t="str">
        <f t="shared" si="67"/>
        <v/>
      </c>
      <c r="CS55" s="55" t="str">
        <f t="shared" si="67"/>
        <v/>
      </c>
      <c r="CT55" s="55" t="str">
        <f t="shared" si="67"/>
        <v/>
      </c>
      <c r="CU55" s="55" t="str">
        <f t="shared" si="67"/>
        <v/>
      </c>
      <c r="CV55" s="55" t="str">
        <f t="shared" si="67"/>
        <v/>
      </c>
      <c r="CW55" s="55" t="str">
        <f t="shared" si="67"/>
        <v/>
      </c>
      <c r="CX55" s="55" t="str">
        <f t="shared" si="67"/>
        <v/>
      </c>
      <c r="CY55" s="55" t="str">
        <f t="shared" si="28"/>
        <v/>
      </c>
      <c r="CZ55" s="55" t="str">
        <f t="shared" si="67"/>
        <v/>
      </c>
      <c r="DA55" s="55" t="str">
        <f t="shared" si="67"/>
        <v/>
      </c>
      <c r="DB55" s="55" t="str">
        <f t="shared" si="67"/>
        <v/>
      </c>
      <c r="DC55" s="55" t="str">
        <f t="shared" si="67"/>
        <v/>
      </c>
      <c r="DD55" s="55" t="str">
        <f t="shared" si="67"/>
        <v/>
      </c>
      <c r="DE55" s="55" t="str">
        <f t="shared" si="67"/>
        <v/>
      </c>
      <c r="DF55" s="55" t="str">
        <f t="shared" si="67"/>
        <v/>
      </c>
      <c r="DG55" s="55" t="str">
        <f t="shared" si="67"/>
        <v/>
      </c>
      <c r="DH55" s="55" t="str">
        <f t="shared" si="67"/>
        <v/>
      </c>
      <c r="DI55" s="55" t="str">
        <f t="shared" si="67"/>
        <v/>
      </c>
      <c r="DJ55" s="55" t="str">
        <f t="shared" si="67"/>
        <v/>
      </c>
      <c r="DK55" s="55" t="str">
        <f t="shared" si="67"/>
        <v/>
      </c>
      <c r="DL55" s="55" t="str">
        <f t="shared" si="67"/>
        <v/>
      </c>
      <c r="DM55" s="55" t="str">
        <f t="shared" si="67"/>
        <v/>
      </c>
      <c r="DN55" s="55" t="str">
        <f t="shared" si="67"/>
        <v/>
      </c>
      <c r="DO55" s="55" t="str">
        <f t="shared" si="67"/>
        <v/>
      </c>
      <c r="DP55" s="55" t="str">
        <f t="shared" si="67"/>
        <v/>
      </c>
      <c r="DQ55" s="55" t="str">
        <f t="shared" si="67"/>
        <v/>
      </c>
      <c r="DR55" s="55" t="str">
        <f t="shared" si="67"/>
        <v/>
      </c>
      <c r="DS55" s="55" t="str">
        <f t="shared" si="67"/>
        <v/>
      </c>
      <c r="DT55" s="110" t="str">
        <f t="shared" si="67"/>
        <v/>
      </c>
      <c r="DU55" s="54"/>
      <c r="DV55" s="25"/>
      <c r="DW55" s="61" t="str">
        <f t="shared" si="56"/>
        <v/>
      </c>
      <c r="DX55" s="50" t="str">
        <f t="shared" si="56"/>
        <v/>
      </c>
      <c r="DY55" s="50" t="str">
        <f t="shared" si="56"/>
        <v/>
      </c>
      <c r="DZ55" s="50" t="str">
        <f t="shared" si="56"/>
        <v/>
      </c>
      <c r="EA55" s="50" t="str">
        <f t="shared" si="56"/>
        <v/>
      </c>
      <c r="EB55" s="50" t="str">
        <f t="shared" si="56"/>
        <v/>
      </c>
      <c r="EC55" s="50" t="str">
        <f t="shared" si="56"/>
        <v/>
      </c>
      <c r="ED55" s="50" t="str">
        <f t="shared" si="56"/>
        <v/>
      </c>
      <c r="EE55" s="50" t="str">
        <f t="shared" si="56"/>
        <v/>
      </c>
      <c r="EF55" s="50" t="str">
        <f t="shared" si="56"/>
        <v/>
      </c>
      <c r="EG55" s="50" t="str">
        <f t="shared" si="56"/>
        <v/>
      </c>
      <c r="EH55" s="50" t="str">
        <f t="shared" si="56"/>
        <v/>
      </c>
      <c r="EI55" s="50" t="str">
        <f t="shared" si="56"/>
        <v/>
      </c>
      <c r="EJ55" s="50" t="str">
        <f t="shared" si="56"/>
        <v/>
      </c>
      <c r="EK55" s="50" t="str">
        <f t="shared" si="56"/>
        <v/>
      </c>
      <c r="EL55" s="50" t="str">
        <f t="shared" si="56"/>
        <v/>
      </c>
      <c r="EM55" s="50" t="str">
        <f t="shared" si="56"/>
        <v/>
      </c>
      <c r="EN55" s="50" t="str">
        <f t="shared" si="56"/>
        <v/>
      </c>
      <c r="EO55" s="50" t="str">
        <f t="shared" si="56"/>
        <v/>
      </c>
      <c r="EP55" s="50" t="str">
        <f t="shared" si="56"/>
        <v/>
      </c>
      <c r="EQ55" s="50" t="str">
        <f t="shared" si="56"/>
        <v/>
      </c>
      <c r="ER55" s="50" t="str">
        <f t="shared" si="56"/>
        <v/>
      </c>
      <c r="ES55" s="50" t="str">
        <f t="shared" si="56"/>
        <v/>
      </c>
      <c r="ET55" s="50" t="str">
        <f t="shared" si="56"/>
        <v/>
      </c>
      <c r="EU55" s="50" t="str">
        <f t="shared" si="56"/>
        <v/>
      </c>
      <c r="EV55" s="50" t="str">
        <f t="shared" si="56"/>
        <v/>
      </c>
      <c r="EW55" s="50" t="str">
        <f t="shared" si="56"/>
        <v/>
      </c>
      <c r="EX55" s="50" t="str">
        <f t="shared" si="56"/>
        <v/>
      </c>
      <c r="EY55" s="50" t="str">
        <f t="shared" si="56"/>
        <v/>
      </c>
      <c r="EZ55" s="50" t="str">
        <f t="shared" si="56"/>
        <v/>
      </c>
      <c r="FA55" s="50" t="str">
        <f t="shared" si="56"/>
        <v/>
      </c>
      <c r="FB55" s="50" t="str">
        <f t="shared" si="56"/>
        <v/>
      </c>
      <c r="FC55" s="50" t="str">
        <f t="shared" si="65"/>
        <v/>
      </c>
      <c r="FD55" s="50" t="str">
        <f t="shared" si="65"/>
        <v/>
      </c>
      <c r="FE55" s="50" t="str">
        <f t="shared" si="65"/>
        <v/>
      </c>
      <c r="FF55" s="50" t="str">
        <f t="shared" si="65"/>
        <v/>
      </c>
      <c r="FG55" s="50" t="str">
        <f t="shared" si="65"/>
        <v/>
      </c>
      <c r="FH55" s="50" t="str">
        <f t="shared" si="65"/>
        <v/>
      </c>
      <c r="FI55" s="50" t="str">
        <f t="shared" si="65"/>
        <v/>
      </c>
      <c r="FJ55" s="50" t="str">
        <f t="shared" si="65"/>
        <v/>
      </c>
      <c r="FK55" s="50" t="str">
        <f t="shared" si="65"/>
        <v/>
      </c>
      <c r="FL55" s="50" t="str">
        <f t="shared" si="65"/>
        <v/>
      </c>
      <c r="FM55" s="50" t="str">
        <f t="shared" si="65"/>
        <v/>
      </c>
      <c r="FN55" s="50" t="str">
        <f t="shared" si="65"/>
        <v/>
      </c>
      <c r="FO55" s="50" t="str">
        <f t="shared" si="65"/>
        <v/>
      </c>
      <c r="FP55" s="50" t="str">
        <f t="shared" si="65"/>
        <v/>
      </c>
      <c r="FQ55" s="50" t="str">
        <f t="shared" si="65"/>
        <v/>
      </c>
      <c r="FR55" s="50" t="str">
        <f t="shared" si="65"/>
        <v/>
      </c>
      <c r="FS55" s="50" t="str">
        <f t="shared" si="65"/>
        <v/>
      </c>
      <c r="FT55" s="50" t="str">
        <f t="shared" si="65"/>
        <v/>
      </c>
      <c r="FU55" s="50" t="str">
        <f t="shared" si="65"/>
        <v/>
      </c>
      <c r="FV55" s="50" t="str">
        <f t="shared" si="65"/>
        <v/>
      </c>
      <c r="FW55" s="50" t="str">
        <f t="shared" si="65"/>
        <v/>
      </c>
      <c r="FX55" s="50" t="str">
        <f t="shared" si="65"/>
        <v/>
      </c>
      <c r="FY55" s="50" t="str">
        <f t="shared" si="65"/>
        <v/>
      </c>
      <c r="FZ55" s="50" t="str">
        <f t="shared" si="65"/>
        <v/>
      </c>
      <c r="GA55" s="50" t="str">
        <f t="shared" si="65"/>
        <v/>
      </c>
      <c r="GB55" s="50" t="str">
        <f t="shared" si="65"/>
        <v/>
      </c>
      <c r="GC55" s="50" t="str">
        <f t="shared" si="65"/>
        <v/>
      </c>
      <c r="GD55" s="50" t="str">
        <f t="shared" si="65"/>
        <v/>
      </c>
      <c r="GE55" s="50" t="str">
        <f t="shared" si="65"/>
        <v/>
      </c>
      <c r="GF55" s="50" t="str">
        <f t="shared" si="65"/>
        <v/>
      </c>
      <c r="GG55" s="50" t="str">
        <f t="shared" si="65"/>
        <v/>
      </c>
      <c r="GH55" s="50" t="str">
        <f t="shared" si="54"/>
        <v/>
      </c>
      <c r="GI55" s="50" t="str">
        <f t="shared" si="54"/>
        <v/>
      </c>
      <c r="GJ55" s="50" t="str">
        <f t="shared" si="54"/>
        <v/>
      </c>
      <c r="GK55" s="50" t="str">
        <f t="shared" si="54"/>
        <v/>
      </c>
      <c r="GL55" s="50" t="str">
        <f t="shared" si="54"/>
        <v/>
      </c>
      <c r="GM55" s="50" t="str">
        <f t="shared" si="54"/>
        <v/>
      </c>
      <c r="GN55" s="50" t="str">
        <f t="shared" si="54"/>
        <v/>
      </c>
      <c r="GO55" s="50" t="str">
        <f t="shared" si="54"/>
        <v/>
      </c>
      <c r="GP55" s="50" t="str">
        <f t="shared" si="54"/>
        <v/>
      </c>
      <c r="GQ55" s="50" t="str">
        <f t="shared" si="54"/>
        <v/>
      </c>
      <c r="GR55" s="50" t="str">
        <f t="shared" si="54"/>
        <v/>
      </c>
      <c r="GS55" s="50" t="str">
        <f t="shared" si="54"/>
        <v/>
      </c>
      <c r="GT55" s="50" t="str">
        <f t="shared" si="54"/>
        <v/>
      </c>
      <c r="GU55" s="50" t="str">
        <f t="shared" si="54"/>
        <v/>
      </c>
      <c r="GV55" s="50" t="str">
        <f t="shared" si="54"/>
        <v/>
      </c>
      <c r="GW55" s="50" t="str">
        <f t="shared" si="29"/>
        <v/>
      </c>
      <c r="GX55" s="50" t="str">
        <f t="shared" si="50"/>
        <v/>
      </c>
      <c r="GY55" s="50" t="str">
        <f t="shared" si="50"/>
        <v/>
      </c>
      <c r="GZ55" s="50" t="str">
        <f t="shared" si="50"/>
        <v/>
      </c>
      <c r="HA55" s="50" t="str">
        <f t="shared" si="50"/>
        <v/>
      </c>
      <c r="HB55" s="50" t="str">
        <f t="shared" si="50"/>
        <v/>
      </c>
      <c r="HC55" s="50" t="str">
        <f t="shared" si="50"/>
        <v/>
      </c>
      <c r="HD55" s="50" t="str">
        <f t="shared" si="50"/>
        <v/>
      </c>
      <c r="HE55" s="50" t="str">
        <f t="shared" si="50"/>
        <v/>
      </c>
      <c r="HF55" s="50" t="str">
        <f t="shared" si="50"/>
        <v/>
      </c>
      <c r="HG55" s="50" t="str">
        <f t="shared" si="50"/>
        <v/>
      </c>
      <c r="HH55" s="50" t="str">
        <f t="shared" si="50"/>
        <v/>
      </c>
      <c r="HI55" s="50" t="str">
        <f t="shared" si="50"/>
        <v/>
      </c>
      <c r="HJ55" s="50" t="str">
        <f t="shared" si="50"/>
        <v/>
      </c>
      <c r="HK55" s="50" t="str">
        <f t="shared" si="50"/>
        <v/>
      </c>
      <c r="HL55" s="50" t="str">
        <f t="shared" si="50"/>
        <v/>
      </c>
      <c r="HM55" s="50" t="str">
        <f t="shared" si="50"/>
        <v/>
      </c>
      <c r="HN55" s="50" t="str">
        <f t="shared" si="23"/>
        <v/>
      </c>
      <c r="HO55" s="50" t="str">
        <f t="shared" si="23"/>
        <v/>
      </c>
      <c r="HP55" s="50" t="str">
        <f t="shared" si="23"/>
        <v/>
      </c>
      <c r="HQ55" s="50" t="str">
        <f t="shared" si="23"/>
        <v/>
      </c>
      <c r="HR55" s="116" t="str">
        <f t="shared" si="23"/>
        <v/>
      </c>
    </row>
    <row r="56" spans="1:226" ht="11.15" customHeight="1" x14ac:dyDescent="0.25">
      <c r="A56" s="26" t="s">
        <v>52</v>
      </c>
      <c r="B56" s="27">
        <v>4</v>
      </c>
      <c r="C56" s="28" t="str">
        <f>IF(A56=0,"",VLOOKUP(A56,[3]CO!$A$3:$F$5327,2,0))</f>
        <v>Oficial por el dia</v>
      </c>
      <c r="D56" s="29" t="s">
        <v>53</v>
      </c>
      <c r="E56" s="29"/>
      <c r="F56" s="29"/>
      <c r="G56" s="30" t="str">
        <f>IF(A56=0,"",VLOOKUP(A56,[3]CO!$A$3:$F$5327,3,0))</f>
        <v>JORNAL</v>
      </c>
      <c r="H56" s="29"/>
      <c r="I56" s="31"/>
      <c r="J56" s="31"/>
      <c r="K56" s="31"/>
      <c r="L56" s="31">
        <v>1</v>
      </c>
      <c r="M56" s="32">
        <f t="shared" si="57"/>
        <v>1</v>
      </c>
      <c r="N56" s="32">
        <f>IF(B56=0,"",IF(H56="M",HLOOKUP(B56,$Y$12:$DT$13,2),IF(A56=0,"",VLOOKUP(A56,[3]CO!$A$3:$F$5327,4,0))))</f>
        <v>608.38</v>
      </c>
      <c r="O56" s="32">
        <f t="shared" si="58"/>
        <v>608.38</v>
      </c>
      <c r="P56" s="33">
        <v>4</v>
      </c>
      <c r="Q56" s="34">
        <f t="shared" si="59"/>
        <v>608.38</v>
      </c>
      <c r="R56" s="35" t="str">
        <f t="shared" si="60"/>
        <v/>
      </c>
      <c r="S56" s="122"/>
      <c r="T56" s="53">
        <f>IF(A56=0,"",VLOOKUP(A56,[3]CO!$A$3:$F$5318,5,0))</f>
        <v>0</v>
      </c>
      <c r="U56" s="54">
        <f t="shared" si="61"/>
        <v>0</v>
      </c>
      <c r="V56" s="24"/>
      <c r="W56" s="25"/>
      <c r="X56" s="25"/>
      <c r="Y56" s="64" t="str">
        <f t="shared" si="55"/>
        <v/>
      </c>
      <c r="Z56" s="55" t="str">
        <f t="shared" si="55"/>
        <v/>
      </c>
      <c r="AA56" s="55" t="str">
        <f t="shared" si="55"/>
        <v/>
      </c>
      <c r="AB56" s="55">
        <f t="shared" si="55"/>
        <v>0</v>
      </c>
      <c r="AC56" s="55" t="str">
        <f t="shared" si="55"/>
        <v/>
      </c>
      <c r="AD56" s="55" t="str">
        <f t="shared" si="55"/>
        <v/>
      </c>
      <c r="AE56" s="55" t="str">
        <f t="shared" si="55"/>
        <v/>
      </c>
      <c r="AF56" s="55" t="str">
        <f t="shared" si="55"/>
        <v/>
      </c>
      <c r="AG56" s="55" t="str">
        <f t="shared" si="55"/>
        <v/>
      </c>
      <c r="AH56" s="55" t="str">
        <f t="shared" si="55"/>
        <v/>
      </c>
      <c r="AI56" s="55" t="str">
        <f t="shared" si="55"/>
        <v/>
      </c>
      <c r="AJ56" s="55" t="str">
        <f t="shared" si="55"/>
        <v/>
      </c>
      <c r="AK56" s="55" t="str">
        <f t="shared" si="55"/>
        <v/>
      </c>
      <c r="AL56" s="55" t="str">
        <f t="shared" si="55"/>
        <v/>
      </c>
      <c r="AM56" s="55" t="str">
        <f t="shared" si="55"/>
        <v/>
      </c>
      <c r="AN56" s="55" t="str">
        <f t="shared" ref="AN56:BD71" si="68">IF($B56=AN$12,$U56,"")</f>
        <v/>
      </c>
      <c r="AO56" s="55" t="str">
        <f t="shared" si="68"/>
        <v/>
      </c>
      <c r="AP56" s="55" t="str">
        <f t="shared" si="68"/>
        <v/>
      </c>
      <c r="AQ56" s="55" t="str">
        <f t="shared" si="68"/>
        <v/>
      </c>
      <c r="AR56" s="55" t="str">
        <f t="shared" si="68"/>
        <v/>
      </c>
      <c r="AS56" s="55" t="str">
        <f t="shared" si="68"/>
        <v/>
      </c>
      <c r="AT56" s="55" t="str">
        <f t="shared" si="68"/>
        <v/>
      </c>
      <c r="AU56" s="55" t="str">
        <f t="shared" si="68"/>
        <v/>
      </c>
      <c r="AV56" s="55" t="str">
        <f t="shared" si="68"/>
        <v/>
      </c>
      <c r="AW56" s="55" t="str">
        <f t="shared" si="68"/>
        <v/>
      </c>
      <c r="AX56" s="55" t="str">
        <f t="shared" si="68"/>
        <v/>
      </c>
      <c r="AY56" s="55" t="str">
        <f t="shared" si="68"/>
        <v/>
      </c>
      <c r="AZ56" s="55" t="str">
        <f t="shared" si="68"/>
        <v/>
      </c>
      <c r="BA56" s="55" t="str">
        <f t="shared" si="68"/>
        <v/>
      </c>
      <c r="BB56" s="55" t="str">
        <f t="shared" si="68"/>
        <v/>
      </c>
      <c r="BC56" s="55" t="str">
        <f t="shared" si="68"/>
        <v/>
      </c>
      <c r="BD56" s="55" t="str">
        <f t="shared" si="68"/>
        <v/>
      </c>
      <c r="BE56" s="55" t="str">
        <f t="shared" si="64"/>
        <v/>
      </c>
      <c r="BF56" s="55" t="str">
        <f t="shared" si="64"/>
        <v/>
      </c>
      <c r="BG56" s="55" t="str">
        <f t="shared" si="64"/>
        <v/>
      </c>
      <c r="BH56" s="55" t="str">
        <f t="shared" si="64"/>
        <v/>
      </c>
      <c r="BI56" s="55" t="str">
        <f t="shared" si="64"/>
        <v/>
      </c>
      <c r="BJ56" s="55" t="str">
        <f t="shared" si="64"/>
        <v/>
      </c>
      <c r="BK56" s="55" t="str">
        <f t="shared" si="64"/>
        <v/>
      </c>
      <c r="BL56" s="55" t="str">
        <f t="shared" si="64"/>
        <v/>
      </c>
      <c r="BM56" s="55" t="str">
        <f t="shared" si="64"/>
        <v/>
      </c>
      <c r="BN56" s="55" t="str">
        <f t="shared" si="64"/>
        <v/>
      </c>
      <c r="BO56" s="55" t="str">
        <f t="shared" si="64"/>
        <v/>
      </c>
      <c r="BP56" s="55" t="str">
        <f t="shared" si="64"/>
        <v/>
      </c>
      <c r="BQ56" s="55" t="str">
        <f t="shared" si="64"/>
        <v/>
      </c>
      <c r="BR56" s="55" t="str">
        <f t="shared" si="64"/>
        <v/>
      </c>
      <c r="BS56" s="55" t="str">
        <f t="shared" si="64"/>
        <v/>
      </c>
      <c r="BT56" s="55" t="str">
        <f t="shared" si="64"/>
        <v/>
      </c>
      <c r="BU56" s="55" t="str">
        <f t="shared" si="64"/>
        <v/>
      </c>
      <c r="BV56" s="55" t="str">
        <f t="shared" si="64"/>
        <v/>
      </c>
      <c r="BW56" s="55" t="str">
        <f t="shared" si="64"/>
        <v/>
      </c>
      <c r="BX56" s="55" t="str">
        <f t="shared" si="64"/>
        <v/>
      </c>
      <c r="BY56" s="55" t="str">
        <f t="shared" si="64"/>
        <v/>
      </c>
      <c r="BZ56" s="55" t="str">
        <f t="shared" si="64"/>
        <v/>
      </c>
      <c r="CA56" s="55" t="str">
        <f t="shared" si="64"/>
        <v/>
      </c>
      <c r="CB56" s="55" t="str">
        <f t="shared" si="64"/>
        <v/>
      </c>
      <c r="CC56" s="55" t="str">
        <f t="shared" si="64"/>
        <v/>
      </c>
      <c r="CD56" s="55" t="str">
        <f t="shared" si="64"/>
        <v/>
      </c>
      <c r="CE56" s="55" t="str">
        <f t="shared" si="64"/>
        <v/>
      </c>
      <c r="CF56" s="55" t="str">
        <f t="shared" si="64"/>
        <v/>
      </c>
      <c r="CG56" s="55" t="str">
        <f t="shared" si="64"/>
        <v/>
      </c>
      <c r="CH56" s="55" t="str">
        <f t="shared" si="64"/>
        <v/>
      </c>
      <c r="CI56" s="55" t="str">
        <f t="shared" si="64"/>
        <v/>
      </c>
      <c r="CJ56" s="55" t="str">
        <f t="shared" si="67"/>
        <v/>
      </c>
      <c r="CK56" s="55" t="str">
        <f t="shared" si="67"/>
        <v/>
      </c>
      <c r="CL56" s="55" t="str">
        <f t="shared" si="67"/>
        <v/>
      </c>
      <c r="CM56" s="55" t="str">
        <f t="shared" si="67"/>
        <v/>
      </c>
      <c r="CN56" s="55" t="str">
        <f t="shared" si="67"/>
        <v/>
      </c>
      <c r="CO56" s="55" t="str">
        <f t="shared" si="67"/>
        <v/>
      </c>
      <c r="CP56" s="55" t="str">
        <f t="shared" si="67"/>
        <v/>
      </c>
      <c r="CQ56" s="55" t="str">
        <f t="shared" si="67"/>
        <v/>
      </c>
      <c r="CR56" s="55" t="str">
        <f t="shared" si="67"/>
        <v/>
      </c>
      <c r="CS56" s="55" t="str">
        <f t="shared" si="67"/>
        <v/>
      </c>
      <c r="CT56" s="55" t="str">
        <f t="shared" si="67"/>
        <v/>
      </c>
      <c r="CU56" s="55" t="str">
        <f t="shared" si="67"/>
        <v/>
      </c>
      <c r="CV56" s="55" t="str">
        <f t="shared" si="67"/>
        <v/>
      </c>
      <c r="CW56" s="55" t="str">
        <f t="shared" si="67"/>
        <v/>
      </c>
      <c r="CX56" s="55" t="str">
        <f t="shared" si="67"/>
        <v/>
      </c>
      <c r="CY56" s="55" t="str">
        <f t="shared" si="28"/>
        <v/>
      </c>
      <c r="CZ56" s="55" t="str">
        <f t="shared" si="67"/>
        <v/>
      </c>
      <c r="DA56" s="55" t="str">
        <f t="shared" si="67"/>
        <v/>
      </c>
      <c r="DB56" s="55" t="str">
        <f t="shared" si="67"/>
        <v/>
      </c>
      <c r="DC56" s="55" t="str">
        <f t="shared" si="67"/>
        <v/>
      </c>
      <c r="DD56" s="55" t="str">
        <f t="shared" si="67"/>
        <v/>
      </c>
      <c r="DE56" s="55" t="str">
        <f t="shared" si="67"/>
        <v/>
      </c>
      <c r="DF56" s="55" t="str">
        <f t="shared" si="67"/>
        <v/>
      </c>
      <c r="DG56" s="55" t="str">
        <f t="shared" si="67"/>
        <v/>
      </c>
      <c r="DH56" s="55" t="str">
        <f t="shared" si="67"/>
        <v/>
      </c>
      <c r="DI56" s="55" t="str">
        <f t="shared" si="67"/>
        <v/>
      </c>
      <c r="DJ56" s="55" t="str">
        <f t="shared" si="67"/>
        <v/>
      </c>
      <c r="DK56" s="55" t="str">
        <f t="shared" si="67"/>
        <v/>
      </c>
      <c r="DL56" s="55" t="str">
        <f t="shared" si="67"/>
        <v/>
      </c>
      <c r="DM56" s="55" t="str">
        <f t="shared" si="67"/>
        <v/>
      </c>
      <c r="DN56" s="55" t="str">
        <f t="shared" si="67"/>
        <v/>
      </c>
      <c r="DO56" s="55" t="str">
        <f t="shared" si="67"/>
        <v/>
      </c>
      <c r="DP56" s="55" t="str">
        <f t="shared" si="67"/>
        <v/>
      </c>
      <c r="DQ56" s="55" t="str">
        <f t="shared" si="67"/>
        <v/>
      </c>
      <c r="DR56" s="55" t="str">
        <f t="shared" si="67"/>
        <v/>
      </c>
      <c r="DS56" s="55" t="str">
        <f t="shared" si="67"/>
        <v/>
      </c>
      <c r="DT56" s="110" t="str">
        <f t="shared" si="67"/>
        <v/>
      </c>
      <c r="DU56" s="54"/>
      <c r="DV56" s="25"/>
      <c r="DW56" s="61" t="str">
        <f t="shared" si="56"/>
        <v/>
      </c>
      <c r="DX56" s="50" t="str">
        <f t="shared" si="56"/>
        <v/>
      </c>
      <c r="DY56" s="50" t="str">
        <f t="shared" si="56"/>
        <v/>
      </c>
      <c r="DZ56" s="50">
        <f t="shared" si="56"/>
        <v>608.38</v>
      </c>
      <c r="EA56" s="50" t="str">
        <f t="shared" si="56"/>
        <v/>
      </c>
      <c r="EB56" s="50" t="str">
        <f t="shared" si="56"/>
        <v/>
      </c>
      <c r="EC56" s="50" t="str">
        <f t="shared" si="56"/>
        <v/>
      </c>
      <c r="ED56" s="50" t="str">
        <f t="shared" si="56"/>
        <v/>
      </c>
      <c r="EE56" s="50" t="str">
        <f t="shared" si="56"/>
        <v/>
      </c>
      <c r="EF56" s="50" t="str">
        <f t="shared" si="56"/>
        <v/>
      </c>
      <c r="EG56" s="50" t="str">
        <f t="shared" si="56"/>
        <v/>
      </c>
      <c r="EH56" s="50" t="str">
        <f t="shared" si="56"/>
        <v/>
      </c>
      <c r="EI56" s="50" t="str">
        <f t="shared" si="56"/>
        <v/>
      </c>
      <c r="EJ56" s="50" t="str">
        <f t="shared" si="56"/>
        <v/>
      </c>
      <c r="EK56" s="50" t="str">
        <f t="shared" ref="EK56:FB71" si="69">IF($B56=EK$12,$O56,"")</f>
        <v/>
      </c>
      <c r="EL56" s="50" t="str">
        <f t="shared" si="69"/>
        <v/>
      </c>
      <c r="EM56" s="50" t="str">
        <f t="shared" si="69"/>
        <v/>
      </c>
      <c r="EN56" s="50" t="str">
        <f t="shared" si="69"/>
        <v/>
      </c>
      <c r="EO56" s="50" t="str">
        <f t="shared" si="69"/>
        <v/>
      </c>
      <c r="EP56" s="50" t="str">
        <f t="shared" si="69"/>
        <v/>
      </c>
      <c r="EQ56" s="50" t="str">
        <f t="shared" si="69"/>
        <v/>
      </c>
      <c r="ER56" s="50" t="str">
        <f t="shared" si="69"/>
        <v/>
      </c>
      <c r="ES56" s="50" t="str">
        <f t="shared" si="69"/>
        <v/>
      </c>
      <c r="ET56" s="50" t="str">
        <f t="shared" si="69"/>
        <v/>
      </c>
      <c r="EU56" s="50" t="str">
        <f t="shared" si="69"/>
        <v/>
      </c>
      <c r="EV56" s="50" t="str">
        <f t="shared" si="69"/>
        <v/>
      </c>
      <c r="EW56" s="50" t="str">
        <f t="shared" si="69"/>
        <v/>
      </c>
      <c r="EX56" s="50" t="str">
        <f t="shared" si="69"/>
        <v/>
      </c>
      <c r="EY56" s="50" t="str">
        <f t="shared" si="69"/>
        <v/>
      </c>
      <c r="EZ56" s="50" t="str">
        <f t="shared" si="69"/>
        <v/>
      </c>
      <c r="FA56" s="50" t="str">
        <f t="shared" si="69"/>
        <v/>
      </c>
      <c r="FB56" s="50" t="str">
        <f t="shared" si="69"/>
        <v/>
      </c>
      <c r="FC56" s="50" t="str">
        <f t="shared" si="65"/>
        <v/>
      </c>
      <c r="FD56" s="50" t="str">
        <f t="shared" si="65"/>
        <v/>
      </c>
      <c r="FE56" s="50" t="str">
        <f t="shared" si="65"/>
        <v/>
      </c>
      <c r="FF56" s="50" t="str">
        <f t="shared" si="65"/>
        <v/>
      </c>
      <c r="FG56" s="50" t="str">
        <f t="shared" si="65"/>
        <v/>
      </c>
      <c r="FH56" s="50" t="str">
        <f t="shared" si="65"/>
        <v/>
      </c>
      <c r="FI56" s="50" t="str">
        <f t="shared" si="65"/>
        <v/>
      </c>
      <c r="FJ56" s="50" t="str">
        <f t="shared" si="65"/>
        <v/>
      </c>
      <c r="FK56" s="50" t="str">
        <f t="shared" si="65"/>
        <v/>
      </c>
      <c r="FL56" s="50" t="str">
        <f t="shared" si="65"/>
        <v/>
      </c>
      <c r="FM56" s="50" t="str">
        <f t="shared" si="65"/>
        <v/>
      </c>
      <c r="FN56" s="50" t="str">
        <f t="shared" si="65"/>
        <v/>
      </c>
      <c r="FO56" s="50" t="str">
        <f t="shared" si="65"/>
        <v/>
      </c>
      <c r="FP56" s="50" t="str">
        <f t="shared" si="65"/>
        <v/>
      </c>
      <c r="FQ56" s="50" t="str">
        <f t="shared" si="65"/>
        <v/>
      </c>
      <c r="FR56" s="50" t="str">
        <f t="shared" si="65"/>
        <v/>
      </c>
      <c r="FS56" s="50" t="str">
        <f t="shared" si="65"/>
        <v/>
      </c>
      <c r="FT56" s="50" t="str">
        <f t="shared" si="65"/>
        <v/>
      </c>
      <c r="FU56" s="50" t="str">
        <f t="shared" si="65"/>
        <v/>
      </c>
      <c r="FV56" s="50" t="str">
        <f t="shared" si="65"/>
        <v/>
      </c>
      <c r="FW56" s="50" t="str">
        <f t="shared" si="65"/>
        <v/>
      </c>
      <c r="FX56" s="50" t="str">
        <f t="shared" si="65"/>
        <v/>
      </c>
      <c r="FY56" s="50" t="str">
        <f t="shared" si="65"/>
        <v/>
      </c>
      <c r="FZ56" s="50" t="str">
        <f t="shared" si="65"/>
        <v/>
      </c>
      <c r="GA56" s="50" t="str">
        <f t="shared" si="65"/>
        <v/>
      </c>
      <c r="GB56" s="50" t="str">
        <f t="shared" si="65"/>
        <v/>
      </c>
      <c r="GC56" s="50" t="str">
        <f t="shared" si="65"/>
        <v/>
      </c>
      <c r="GD56" s="50" t="str">
        <f t="shared" si="65"/>
        <v/>
      </c>
      <c r="GE56" s="50" t="str">
        <f t="shared" si="65"/>
        <v/>
      </c>
      <c r="GF56" s="50" t="str">
        <f t="shared" si="65"/>
        <v/>
      </c>
      <c r="GG56" s="50" t="str">
        <f t="shared" si="65"/>
        <v/>
      </c>
      <c r="GH56" s="50" t="str">
        <f t="shared" si="54"/>
        <v/>
      </c>
      <c r="GI56" s="50" t="str">
        <f t="shared" si="54"/>
        <v/>
      </c>
      <c r="GJ56" s="50" t="str">
        <f t="shared" si="54"/>
        <v/>
      </c>
      <c r="GK56" s="50" t="str">
        <f t="shared" si="54"/>
        <v/>
      </c>
      <c r="GL56" s="50" t="str">
        <f t="shared" si="54"/>
        <v/>
      </c>
      <c r="GM56" s="50" t="str">
        <f t="shared" si="54"/>
        <v/>
      </c>
      <c r="GN56" s="50" t="str">
        <f t="shared" si="54"/>
        <v/>
      </c>
      <c r="GO56" s="50" t="str">
        <f t="shared" si="54"/>
        <v/>
      </c>
      <c r="GP56" s="50" t="str">
        <f t="shared" si="54"/>
        <v/>
      </c>
      <c r="GQ56" s="50" t="str">
        <f t="shared" si="54"/>
        <v/>
      </c>
      <c r="GR56" s="50" t="str">
        <f t="shared" si="54"/>
        <v/>
      </c>
      <c r="GS56" s="50" t="str">
        <f t="shared" si="54"/>
        <v/>
      </c>
      <c r="GT56" s="50" t="str">
        <f t="shared" si="54"/>
        <v/>
      </c>
      <c r="GU56" s="50" t="str">
        <f t="shared" si="54"/>
        <v/>
      </c>
      <c r="GV56" s="50" t="str">
        <f t="shared" si="54"/>
        <v/>
      </c>
      <c r="GW56" s="50" t="str">
        <f t="shared" si="29"/>
        <v/>
      </c>
      <c r="GX56" s="50" t="str">
        <f t="shared" si="50"/>
        <v/>
      </c>
      <c r="GY56" s="50" t="str">
        <f t="shared" si="50"/>
        <v/>
      </c>
      <c r="GZ56" s="50" t="str">
        <f t="shared" si="50"/>
        <v/>
      </c>
      <c r="HA56" s="50" t="str">
        <f t="shared" si="50"/>
        <v/>
      </c>
      <c r="HB56" s="50" t="str">
        <f t="shared" si="50"/>
        <v/>
      </c>
      <c r="HC56" s="50" t="str">
        <f t="shared" si="50"/>
        <v/>
      </c>
      <c r="HD56" s="50" t="str">
        <f t="shared" si="50"/>
        <v/>
      </c>
      <c r="HE56" s="50" t="str">
        <f t="shared" si="50"/>
        <v/>
      </c>
      <c r="HF56" s="50" t="str">
        <f t="shared" si="50"/>
        <v/>
      </c>
      <c r="HG56" s="50" t="str">
        <f t="shared" si="50"/>
        <v/>
      </c>
      <c r="HH56" s="50" t="str">
        <f t="shared" si="50"/>
        <v/>
      </c>
      <c r="HI56" s="50" t="str">
        <f t="shared" si="50"/>
        <v/>
      </c>
      <c r="HJ56" s="50" t="str">
        <f t="shared" si="50"/>
        <v/>
      </c>
      <c r="HK56" s="50" t="str">
        <f t="shared" si="50"/>
        <v/>
      </c>
      <c r="HL56" s="50" t="str">
        <f t="shared" si="50"/>
        <v/>
      </c>
      <c r="HM56" s="50" t="str">
        <f t="shared" si="50"/>
        <v/>
      </c>
      <c r="HN56" s="50" t="str">
        <f t="shared" si="23"/>
        <v/>
      </c>
      <c r="HO56" s="50" t="str">
        <f t="shared" si="23"/>
        <v/>
      </c>
      <c r="HP56" s="50" t="str">
        <f t="shared" si="23"/>
        <v/>
      </c>
      <c r="HQ56" s="50" t="str">
        <f t="shared" si="23"/>
        <v/>
      </c>
      <c r="HR56" s="116" t="str">
        <f t="shared" si="23"/>
        <v/>
      </c>
    </row>
    <row r="57" spans="1:226" ht="11.15" customHeight="1" x14ac:dyDescent="0.25">
      <c r="A57" s="26">
        <v>2798</v>
      </c>
      <c r="B57" s="27">
        <v>5</v>
      </c>
      <c r="C57" s="28" t="str">
        <f>IF(A57=0,"",VLOOKUP(A57,[3]CO!$A$3:$F$5327,2,0))</f>
        <v>MARTINEZ DUEÑAS JUAN EDUARDO</v>
      </c>
      <c r="D57" s="29"/>
      <c r="E57" s="29"/>
      <c r="F57" s="29"/>
      <c r="G57" s="30" t="str">
        <f>IF(A57=0,"",VLOOKUP(A57,[3]CO!$A$3:$F$5327,3,0))</f>
        <v>OF</v>
      </c>
      <c r="H57" s="29"/>
      <c r="I57" s="31"/>
      <c r="J57" s="31"/>
      <c r="K57" s="31"/>
      <c r="L57" s="31"/>
      <c r="M57" s="32" t="str">
        <f t="shared" si="57"/>
        <v/>
      </c>
      <c r="N57" s="32">
        <f>IF(B57=0,"",IF(H57="M",HLOOKUP(B57,$Y$12:$DT$13,2),IF(A57=0,"",VLOOKUP(A57,[3]CO!$A$3:$F$5327,4,0))))</f>
        <v>608.38</v>
      </c>
      <c r="O57" s="32" t="str">
        <f t="shared" si="58"/>
        <v/>
      </c>
      <c r="P57" s="33"/>
      <c r="Q57" s="34" t="str">
        <f t="shared" si="59"/>
        <v/>
      </c>
      <c r="R57" s="35">
        <f t="shared" si="60"/>
        <v>608.38</v>
      </c>
      <c r="S57" s="122">
        <v>1</v>
      </c>
      <c r="T57" s="53">
        <f>IF(A57=0,"",VLOOKUP(A57,[3]CO!$A$3:$F$5318,5,0))</f>
        <v>0</v>
      </c>
      <c r="U57" s="54">
        <f t="shared" si="61"/>
        <v>0</v>
      </c>
      <c r="V57" s="24"/>
      <c r="W57" s="25"/>
      <c r="X57" s="25"/>
      <c r="Y57" s="64" t="str">
        <f t="shared" ref="Y57:BD71" si="70">IF($B57=Y$12,$U57,"")</f>
        <v/>
      </c>
      <c r="Z57" s="55" t="str">
        <f t="shared" si="70"/>
        <v/>
      </c>
      <c r="AA57" s="55" t="str">
        <f t="shared" si="70"/>
        <v/>
      </c>
      <c r="AB57" s="55" t="str">
        <f t="shared" si="70"/>
        <v/>
      </c>
      <c r="AC57" s="55">
        <f t="shared" si="70"/>
        <v>0</v>
      </c>
      <c r="AD57" s="55" t="str">
        <f t="shared" si="70"/>
        <v/>
      </c>
      <c r="AE57" s="55" t="str">
        <f t="shared" si="70"/>
        <v/>
      </c>
      <c r="AF57" s="55" t="str">
        <f t="shared" si="70"/>
        <v/>
      </c>
      <c r="AG57" s="55" t="str">
        <f t="shared" si="70"/>
        <v/>
      </c>
      <c r="AH57" s="55" t="str">
        <f t="shared" si="70"/>
        <v/>
      </c>
      <c r="AI57" s="55" t="str">
        <f t="shared" si="70"/>
        <v/>
      </c>
      <c r="AJ57" s="55" t="str">
        <f t="shared" si="70"/>
        <v/>
      </c>
      <c r="AK57" s="55" t="str">
        <f t="shared" si="70"/>
        <v/>
      </c>
      <c r="AL57" s="55" t="str">
        <f t="shared" si="70"/>
        <v/>
      </c>
      <c r="AM57" s="55" t="str">
        <f t="shared" si="70"/>
        <v/>
      </c>
      <c r="AN57" s="55" t="str">
        <f t="shared" si="70"/>
        <v/>
      </c>
      <c r="AO57" s="55" t="str">
        <f t="shared" si="68"/>
        <v/>
      </c>
      <c r="AP57" s="55" t="str">
        <f t="shared" si="68"/>
        <v/>
      </c>
      <c r="AQ57" s="55" t="str">
        <f t="shared" si="68"/>
        <v/>
      </c>
      <c r="AR57" s="55" t="str">
        <f t="shared" si="68"/>
        <v/>
      </c>
      <c r="AS57" s="55" t="str">
        <f t="shared" si="68"/>
        <v/>
      </c>
      <c r="AT57" s="55" t="str">
        <f t="shared" si="68"/>
        <v/>
      </c>
      <c r="AU57" s="55" t="str">
        <f t="shared" si="68"/>
        <v/>
      </c>
      <c r="AV57" s="55" t="str">
        <f t="shared" si="68"/>
        <v/>
      </c>
      <c r="AW57" s="55" t="str">
        <f t="shared" si="68"/>
        <v/>
      </c>
      <c r="AX57" s="55" t="str">
        <f t="shared" si="68"/>
        <v/>
      </c>
      <c r="AY57" s="55" t="str">
        <f t="shared" si="68"/>
        <v/>
      </c>
      <c r="AZ57" s="55" t="str">
        <f t="shared" si="68"/>
        <v/>
      </c>
      <c r="BA57" s="55" t="str">
        <f t="shared" si="68"/>
        <v/>
      </c>
      <c r="BB57" s="55" t="str">
        <f t="shared" si="68"/>
        <v/>
      </c>
      <c r="BC57" s="55" t="str">
        <f t="shared" si="68"/>
        <v/>
      </c>
      <c r="BD57" s="55" t="str">
        <f t="shared" si="70"/>
        <v/>
      </c>
      <c r="BE57" s="55" t="str">
        <f t="shared" si="64"/>
        <v/>
      </c>
      <c r="BF57" s="55" t="str">
        <f t="shared" si="64"/>
        <v/>
      </c>
      <c r="BG57" s="55" t="str">
        <f t="shared" si="64"/>
        <v/>
      </c>
      <c r="BH57" s="55" t="str">
        <f t="shared" si="64"/>
        <v/>
      </c>
      <c r="BI57" s="55" t="str">
        <f t="shared" si="64"/>
        <v/>
      </c>
      <c r="BJ57" s="55" t="str">
        <f t="shared" si="64"/>
        <v/>
      </c>
      <c r="BK57" s="55" t="str">
        <f t="shared" si="64"/>
        <v/>
      </c>
      <c r="BL57" s="55" t="str">
        <f t="shared" si="64"/>
        <v/>
      </c>
      <c r="BM57" s="55" t="str">
        <f t="shared" si="64"/>
        <v/>
      </c>
      <c r="BN57" s="55" t="str">
        <f t="shared" si="64"/>
        <v/>
      </c>
      <c r="BO57" s="55" t="str">
        <f t="shared" si="64"/>
        <v/>
      </c>
      <c r="BP57" s="55" t="str">
        <f t="shared" si="64"/>
        <v/>
      </c>
      <c r="BQ57" s="55" t="str">
        <f t="shared" si="64"/>
        <v/>
      </c>
      <c r="BR57" s="55" t="str">
        <f t="shared" si="64"/>
        <v/>
      </c>
      <c r="BS57" s="55" t="str">
        <f t="shared" si="64"/>
        <v/>
      </c>
      <c r="BT57" s="55" t="str">
        <f t="shared" si="64"/>
        <v/>
      </c>
      <c r="BU57" s="55" t="str">
        <f t="shared" si="64"/>
        <v/>
      </c>
      <c r="BV57" s="55" t="str">
        <f t="shared" si="64"/>
        <v/>
      </c>
      <c r="BW57" s="55" t="str">
        <f t="shared" si="64"/>
        <v/>
      </c>
      <c r="BX57" s="55" t="str">
        <f t="shared" si="64"/>
        <v/>
      </c>
      <c r="BY57" s="55" t="str">
        <f t="shared" si="64"/>
        <v/>
      </c>
      <c r="BZ57" s="55" t="str">
        <f t="shared" si="64"/>
        <v/>
      </c>
      <c r="CA57" s="55" t="str">
        <f t="shared" si="64"/>
        <v/>
      </c>
      <c r="CB57" s="55" t="str">
        <f t="shared" si="64"/>
        <v/>
      </c>
      <c r="CC57" s="55" t="str">
        <f t="shared" si="64"/>
        <v/>
      </c>
      <c r="CD57" s="55" t="str">
        <f t="shared" si="64"/>
        <v/>
      </c>
      <c r="CE57" s="55" t="str">
        <f t="shared" si="64"/>
        <v/>
      </c>
      <c r="CF57" s="55" t="str">
        <f t="shared" si="64"/>
        <v/>
      </c>
      <c r="CG57" s="55" t="str">
        <f t="shared" si="64"/>
        <v/>
      </c>
      <c r="CH57" s="55" t="str">
        <f t="shared" si="64"/>
        <v/>
      </c>
      <c r="CI57" s="55" t="str">
        <f t="shared" si="64"/>
        <v/>
      </c>
      <c r="CJ57" s="55" t="str">
        <f t="shared" si="67"/>
        <v/>
      </c>
      <c r="CK57" s="55" t="str">
        <f t="shared" si="67"/>
        <v/>
      </c>
      <c r="CL57" s="55" t="str">
        <f t="shared" si="67"/>
        <v/>
      </c>
      <c r="CM57" s="55" t="str">
        <f t="shared" si="67"/>
        <v/>
      </c>
      <c r="CN57" s="55" t="str">
        <f t="shared" si="67"/>
        <v/>
      </c>
      <c r="CO57" s="55" t="str">
        <f t="shared" si="67"/>
        <v/>
      </c>
      <c r="CP57" s="55" t="str">
        <f t="shared" si="67"/>
        <v/>
      </c>
      <c r="CQ57" s="55" t="str">
        <f t="shared" si="67"/>
        <v/>
      </c>
      <c r="CR57" s="55" t="str">
        <f t="shared" si="67"/>
        <v/>
      </c>
      <c r="CS57" s="55" t="str">
        <f t="shared" si="67"/>
        <v/>
      </c>
      <c r="CT57" s="55" t="str">
        <f t="shared" si="67"/>
        <v/>
      </c>
      <c r="CU57" s="55" t="str">
        <f t="shared" si="67"/>
        <v/>
      </c>
      <c r="CV57" s="55" t="str">
        <f t="shared" si="67"/>
        <v/>
      </c>
      <c r="CW57" s="55" t="str">
        <f t="shared" si="67"/>
        <v/>
      </c>
      <c r="CX57" s="55" t="str">
        <f t="shared" si="67"/>
        <v/>
      </c>
      <c r="CY57" s="55" t="str">
        <f t="shared" si="28"/>
        <v/>
      </c>
      <c r="CZ57" s="55" t="str">
        <f t="shared" si="67"/>
        <v/>
      </c>
      <c r="DA57" s="55" t="str">
        <f t="shared" si="67"/>
        <v/>
      </c>
      <c r="DB57" s="55" t="str">
        <f t="shared" si="67"/>
        <v/>
      </c>
      <c r="DC57" s="55" t="str">
        <f t="shared" si="67"/>
        <v/>
      </c>
      <c r="DD57" s="55" t="str">
        <f t="shared" si="67"/>
        <v/>
      </c>
      <c r="DE57" s="55" t="str">
        <f t="shared" si="67"/>
        <v/>
      </c>
      <c r="DF57" s="55" t="str">
        <f t="shared" si="67"/>
        <v/>
      </c>
      <c r="DG57" s="55" t="str">
        <f t="shared" si="67"/>
        <v/>
      </c>
      <c r="DH57" s="55" t="str">
        <f t="shared" si="67"/>
        <v/>
      </c>
      <c r="DI57" s="55" t="str">
        <f t="shared" si="67"/>
        <v/>
      </c>
      <c r="DJ57" s="55" t="str">
        <f t="shared" si="67"/>
        <v/>
      </c>
      <c r="DK57" s="55" t="str">
        <f t="shared" si="67"/>
        <v/>
      </c>
      <c r="DL57" s="55" t="str">
        <f t="shared" si="67"/>
        <v/>
      </c>
      <c r="DM57" s="55" t="str">
        <f t="shared" si="67"/>
        <v/>
      </c>
      <c r="DN57" s="55" t="str">
        <f t="shared" si="67"/>
        <v/>
      </c>
      <c r="DO57" s="55" t="str">
        <f t="shared" si="67"/>
        <v/>
      </c>
      <c r="DP57" s="55" t="str">
        <f t="shared" si="67"/>
        <v/>
      </c>
      <c r="DQ57" s="55" t="str">
        <f t="shared" si="67"/>
        <v/>
      </c>
      <c r="DR57" s="55" t="str">
        <f t="shared" si="67"/>
        <v/>
      </c>
      <c r="DS57" s="55" t="str">
        <f t="shared" si="67"/>
        <v/>
      </c>
      <c r="DT57" s="110" t="str">
        <f t="shared" si="67"/>
        <v/>
      </c>
      <c r="DU57" s="54"/>
      <c r="DV57" s="25"/>
      <c r="DW57" s="61" t="str">
        <f t="shared" ref="DW57:FB71" si="71">IF($B57=DW$12,$O57,"")</f>
        <v/>
      </c>
      <c r="DX57" s="50" t="str">
        <f t="shared" si="71"/>
        <v/>
      </c>
      <c r="DY57" s="50" t="str">
        <f t="shared" si="71"/>
        <v/>
      </c>
      <c r="DZ57" s="50" t="str">
        <f t="shared" si="71"/>
        <v/>
      </c>
      <c r="EA57" s="50" t="str">
        <f t="shared" si="71"/>
        <v/>
      </c>
      <c r="EB57" s="50" t="str">
        <f t="shared" si="71"/>
        <v/>
      </c>
      <c r="EC57" s="50" t="str">
        <f t="shared" si="71"/>
        <v/>
      </c>
      <c r="ED57" s="50" t="str">
        <f t="shared" si="71"/>
        <v/>
      </c>
      <c r="EE57" s="50" t="str">
        <f t="shared" si="71"/>
        <v/>
      </c>
      <c r="EF57" s="50" t="str">
        <f t="shared" si="71"/>
        <v/>
      </c>
      <c r="EG57" s="50" t="str">
        <f t="shared" si="71"/>
        <v/>
      </c>
      <c r="EH57" s="50" t="str">
        <f t="shared" si="71"/>
        <v/>
      </c>
      <c r="EI57" s="50" t="str">
        <f t="shared" si="71"/>
        <v/>
      </c>
      <c r="EJ57" s="50" t="str">
        <f t="shared" si="71"/>
        <v/>
      </c>
      <c r="EK57" s="50" t="str">
        <f t="shared" si="71"/>
        <v/>
      </c>
      <c r="EL57" s="50" t="str">
        <f t="shared" si="71"/>
        <v/>
      </c>
      <c r="EM57" s="50" t="str">
        <f t="shared" si="69"/>
        <v/>
      </c>
      <c r="EN57" s="50" t="str">
        <f t="shared" si="69"/>
        <v/>
      </c>
      <c r="EO57" s="50" t="str">
        <f t="shared" si="69"/>
        <v/>
      </c>
      <c r="EP57" s="50" t="str">
        <f t="shared" si="69"/>
        <v/>
      </c>
      <c r="EQ57" s="50" t="str">
        <f t="shared" si="69"/>
        <v/>
      </c>
      <c r="ER57" s="50" t="str">
        <f t="shared" si="69"/>
        <v/>
      </c>
      <c r="ES57" s="50" t="str">
        <f t="shared" si="69"/>
        <v/>
      </c>
      <c r="ET57" s="50" t="str">
        <f t="shared" si="69"/>
        <v/>
      </c>
      <c r="EU57" s="50" t="str">
        <f t="shared" si="69"/>
        <v/>
      </c>
      <c r="EV57" s="50" t="str">
        <f t="shared" si="69"/>
        <v/>
      </c>
      <c r="EW57" s="50" t="str">
        <f t="shared" si="69"/>
        <v/>
      </c>
      <c r="EX57" s="50" t="str">
        <f t="shared" si="69"/>
        <v/>
      </c>
      <c r="EY57" s="50" t="str">
        <f t="shared" si="69"/>
        <v/>
      </c>
      <c r="EZ57" s="50" t="str">
        <f t="shared" si="69"/>
        <v/>
      </c>
      <c r="FA57" s="50" t="str">
        <f t="shared" si="69"/>
        <v/>
      </c>
      <c r="FB57" s="50" t="str">
        <f t="shared" si="71"/>
        <v/>
      </c>
      <c r="FC57" s="50" t="str">
        <f t="shared" si="65"/>
        <v/>
      </c>
      <c r="FD57" s="50" t="str">
        <f t="shared" si="65"/>
        <v/>
      </c>
      <c r="FE57" s="50" t="str">
        <f t="shared" si="65"/>
        <v/>
      </c>
      <c r="FF57" s="50" t="str">
        <f t="shared" si="65"/>
        <v/>
      </c>
      <c r="FG57" s="50" t="str">
        <f t="shared" si="65"/>
        <v/>
      </c>
      <c r="FH57" s="50" t="str">
        <f t="shared" si="65"/>
        <v/>
      </c>
      <c r="FI57" s="50" t="str">
        <f t="shared" si="65"/>
        <v/>
      </c>
      <c r="FJ57" s="50" t="str">
        <f t="shared" si="65"/>
        <v/>
      </c>
      <c r="FK57" s="50" t="str">
        <f t="shared" si="65"/>
        <v/>
      </c>
      <c r="FL57" s="50" t="str">
        <f t="shared" si="65"/>
        <v/>
      </c>
      <c r="FM57" s="50" t="str">
        <f t="shared" si="65"/>
        <v/>
      </c>
      <c r="FN57" s="50" t="str">
        <f t="shared" si="65"/>
        <v/>
      </c>
      <c r="FO57" s="50" t="str">
        <f t="shared" si="65"/>
        <v/>
      </c>
      <c r="FP57" s="50" t="str">
        <f t="shared" si="65"/>
        <v/>
      </c>
      <c r="FQ57" s="50" t="str">
        <f t="shared" si="65"/>
        <v/>
      </c>
      <c r="FR57" s="50" t="str">
        <f t="shared" si="65"/>
        <v/>
      </c>
      <c r="FS57" s="50" t="str">
        <f t="shared" si="65"/>
        <v/>
      </c>
      <c r="FT57" s="50" t="str">
        <f t="shared" si="65"/>
        <v/>
      </c>
      <c r="FU57" s="50" t="str">
        <f t="shared" si="65"/>
        <v/>
      </c>
      <c r="FV57" s="50" t="str">
        <f t="shared" si="65"/>
        <v/>
      </c>
      <c r="FW57" s="50" t="str">
        <f t="shared" si="65"/>
        <v/>
      </c>
      <c r="FX57" s="50" t="str">
        <f t="shared" si="65"/>
        <v/>
      </c>
      <c r="FY57" s="50" t="str">
        <f t="shared" si="65"/>
        <v/>
      </c>
      <c r="FZ57" s="50" t="str">
        <f t="shared" si="65"/>
        <v/>
      </c>
      <c r="GA57" s="50" t="str">
        <f t="shared" si="65"/>
        <v/>
      </c>
      <c r="GB57" s="50" t="str">
        <f t="shared" si="65"/>
        <v/>
      </c>
      <c r="GC57" s="50" t="str">
        <f t="shared" si="65"/>
        <v/>
      </c>
      <c r="GD57" s="50" t="str">
        <f t="shared" si="65"/>
        <v/>
      </c>
      <c r="GE57" s="50" t="str">
        <f t="shared" si="65"/>
        <v/>
      </c>
      <c r="GF57" s="50" t="str">
        <f t="shared" si="65"/>
        <v/>
      </c>
      <c r="GG57" s="50" t="str">
        <f t="shared" si="65"/>
        <v/>
      </c>
      <c r="GH57" s="50" t="str">
        <f t="shared" si="54"/>
        <v/>
      </c>
      <c r="GI57" s="50" t="str">
        <f t="shared" si="54"/>
        <v/>
      </c>
      <c r="GJ57" s="50" t="str">
        <f t="shared" si="54"/>
        <v/>
      </c>
      <c r="GK57" s="50" t="str">
        <f t="shared" si="54"/>
        <v/>
      </c>
      <c r="GL57" s="50" t="str">
        <f t="shared" si="54"/>
        <v/>
      </c>
      <c r="GM57" s="50" t="str">
        <f t="shared" si="54"/>
        <v/>
      </c>
      <c r="GN57" s="50" t="str">
        <f t="shared" si="54"/>
        <v/>
      </c>
      <c r="GO57" s="50" t="str">
        <f t="shared" si="54"/>
        <v/>
      </c>
      <c r="GP57" s="50" t="str">
        <f t="shared" si="54"/>
        <v/>
      </c>
      <c r="GQ57" s="50" t="str">
        <f t="shared" si="54"/>
        <v/>
      </c>
      <c r="GR57" s="50" t="str">
        <f t="shared" si="54"/>
        <v/>
      </c>
      <c r="GS57" s="50" t="str">
        <f t="shared" si="54"/>
        <v/>
      </c>
      <c r="GT57" s="50" t="str">
        <f t="shared" si="54"/>
        <v/>
      </c>
      <c r="GU57" s="50" t="str">
        <f t="shared" si="54"/>
        <v/>
      </c>
      <c r="GV57" s="50" t="str">
        <f t="shared" si="54"/>
        <v/>
      </c>
      <c r="GW57" s="50" t="str">
        <f t="shared" si="29"/>
        <v/>
      </c>
      <c r="GX57" s="50" t="str">
        <f t="shared" si="50"/>
        <v/>
      </c>
      <c r="GY57" s="50" t="str">
        <f t="shared" si="50"/>
        <v/>
      </c>
      <c r="GZ57" s="50" t="str">
        <f t="shared" si="50"/>
        <v/>
      </c>
      <c r="HA57" s="50" t="str">
        <f t="shared" si="50"/>
        <v/>
      </c>
      <c r="HB57" s="50" t="str">
        <f t="shared" si="50"/>
        <v/>
      </c>
      <c r="HC57" s="50" t="str">
        <f t="shared" si="50"/>
        <v/>
      </c>
      <c r="HD57" s="50" t="str">
        <f t="shared" si="50"/>
        <v/>
      </c>
      <c r="HE57" s="50" t="str">
        <f t="shared" si="50"/>
        <v/>
      </c>
      <c r="HF57" s="50" t="str">
        <f t="shared" si="50"/>
        <v/>
      </c>
      <c r="HG57" s="50" t="str">
        <f t="shared" si="50"/>
        <v/>
      </c>
      <c r="HH57" s="50" t="str">
        <f t="shared" si="50"/>
        <v/>
      </c>
      <c r="HI57" s="50" t="str">
        <f t="shared" si="50"/>
        <v/>
      </c>
      <c r="HJ57" s="50" t="str">
        <f t="shared" si="50"/>
        <v/>
      </c>
      <c r="HK57" s="50" t="str">
        <f t="shared" si="50"/>
        <v/>
      </c>
      <c r="HL57" s="50" t="str">
        <f t="shared" si="50"/>
        <v/>
      </c>
      <c r="HM57" s="50" t="str">
        <f t="shared" si="50"/>
        <v/>
      </c>
      <c r="HN57" s="50" t="str">
        <f t="shared" si="23"/>
        <v/>
      </c>
      <c r="HO57" s="50" t="str">
        <f t="shared" si="23"/>
        <v/>
      </c>
      <c r="HP57" s="50" t="str">
        <f t="shared" si="23"/>
        <v/>
      </c>
      <c r="HQ57" s="50" t="str">
        <f t="shared" si="23"/>
        <v/>
      </c>
      <c r="HR57" s="116" t="str">
        <f t="shared" si="23"/>
        <v/>
      </c>
    </row>
    <row r="58" spans="1:226" ht="11.15" customHeight="1" x14ac:dyDescent="0.25">
      <c r="A58" s="26" t="s">
        <v>52</v>
      </c>
      <c r="B58" s="27">
        <v>5</v>
      </c>
      <c r="C58" s="28" t="str">
        <f>IF(A58=0,"",VLOOKUP(A58,[3]CO!$A$3:$F$5327,2,0))</f>
        <v>Oficial por el dia</v>
      </c>
      <c r="D58" s="29" t="s">
        <v>53</v>
      </c>
      <c r="E58" s="29"/>
      <c r="F58" s="29"/>
      <c r="G58" s="30" t="str">
        <f>IF(A58=0,"",VLOOKUP(A58,[3]CO!$A$3:$F$5327,3,0))</f>
        <v>JORNAL</v>
      </c>
      <c r="H58" s="29"/>
      <c r="I58" s="31"/>
      <c r="J58" s="31"/>
      <c r="K58" s="31"/>
      <c r="L58" s="31">
        <v>1</v>
      </c>
      <c r="M58" s="32">
        <f t="shared" si="57"/>
        <v>1</v>
      </c>
      <c r="N58" s="32">
        <f>IF(B58=0,"",IF(H58="M",HLOOKUP(B58,$Y$12:$DT$13,2),IF(A58=0,"",VLOOKUP(A58,[3]CO!$A$3:$F$5327,4,0))))</f>
        <v>608.38</v>
      </c>
      <c r="O58" s="32">
        <f t="shared" si="58"/>
        <v>608.38</v>
      </c>
      <c r="P58" s="33">
        <v>5</v>
      </c>
      <c r="Q58" s="34">
        <f t="shared" si="59"/>
        <v>608.38</v>
      </c>
      <c r="R58" s="35" t="str">
        <f t="shared" si="60"/>
        <v/>
      </c>
      <c r="S58" s="122"/>
      <c r="T58" s="53">
        <f>IF(A58=0,"",VLOOKUP(A58,[3]CO!$A$3:$F$5318,5,0))</f>
        <v>0</v>
      </c>
      <c r="U58" s="54">
        <f t="shared" si="61"/>
        <v>0</v>
      </c>
      <c r="V58" s="24"/>
      <c r="W58" s="25"/>
      <c r="X58" s="25"/>
      <c r="Y58" s="64" t="str">
        <f t="shared" si="70"/>
        <v/>
      </c>
      <c r="Z58" s="55" t="str">
        <f t="shared" si="70"/>
        <v/>
      </c>
      <c r="AA58" s="55" t="str">
        <f t="shared" si="70"/>
        <v/>
      </c>
      <c r="AB58" s="55" t="str">
        <f t="shared" si="70"/>
        <v/>
      </c>
      <c r="AC58" s="55">
        <f t="shared" si="70"/>
        <v>0</v>
      </c>
      <c r="AD58" s="55" t="str">
        <f t="shared" si="70"/>
        <v/>
      </c>
      <c r="AE58" s="55" t="str">
        <f t="shared" si="70"/>
        <v/>
      </c>
      <c r="AF58" s="55" t="str">
        <f t="shared" si="70"/>
        <v/>
      </c>
      <c r="AG58" s="55" t="str">
        <f t="shared" si="70"/>
        <v/>
      </c>
      <c r="AH58" s="55" t="str">
        <f t="shared" si="70"/>
        <v/>
      </c>
      <c r="AI58" s="55" t="str">
        <f t="shared" si="70"/>
        <v/>
      </c>
      <c r="AJ58" s="55" t="str">
        <f t="shared" si="70"/>
        <v/>
      </c>
      <c r="AK58" s="55" t="str">
        <f t="shared" si="70"/>
        <v/>
      </c>
      <c r="AL58" s="55" t="str">
        <f t="shared" si="70"/>
        <v/>
      </c>
      <c r="AM58" s="55" t="str">
        <f t="shared" si="70"/>
        <v/>
      </c>
      <c r="AN58" s="55" t="str">
        <f t="shared" si="70"/>
        <v/>
      </c>
      <c r="AO58" s="55" t="str">
        <f t="shared" si="68"/>
        <v/>
      </c>
      <c r="AP58" s="55" t="str">
        <f t="shared" si="68"/>
        <v/>
      </c>
      <c r="AQ58" s="55" t="str">
        <f t="shared" si="68"/>
        <v/>
      </c>
      <c r="AR58" s="55" t="str">
        <f t="shared" si="68"/>
        <v/>
      </c>
      <c r="AS58" s="55" t="str">
        <f t="shared" si="68"/>
        <v/>
      </c>
      <c r="AT58" s="55" t="str">
        <f t="shared" si="68"/>
        <v/>
      </c>
      <c r="AU58" s="55" t="str">
        <f t="shared" si="68"/>
        <v/>
      </c>
      <c r="AV58" s="55" t="str">
        <f t="shared" si="68"/>
        <v/>
      </c>
      <c r="AW58" s="55" t="str">
        <f t="shared" si="68"/>
        <v/>
      </c>
      <c r="AX58" s="55" t="str">
        <f t="shared" si="68"/>
        <v/>
      </c>
      <c r="AY58" s="55" t="str">
        <f t="shared" si="68"/>
        <v/>
      </c>
      <c r="AZ58" s="55" t="str">
        <f t="shared" si="68"/>
        <v/>
      </c>
      <c r="BA58" s="55" t="str">
        <f t="shared" si="68"/>
        <v/>
      </c>
      <c r="BB58" s="55" t="str">
        <f t="shared" si="68"/>
        <v/>
      </c>
      <c r="BC58" s="55" t="str">
        <f t="shared" si="68"/>
        <v/>
      </c>
      <c r="BD58" s="55" t="str">
        <f t="shared" si="70"/>
        <v/>
      </c>
      <c r="BE58" s="55" t="str">
        <f t="shared" si="64"/>
        <v/>
      </c>
      <c r="BF58" s="55" t="str">
        <f t="shared" si="64"/>
        <v/>
      </c>
      <c r="BG58" s="55" t="str">
        <f t="shared" si="64"/>
        <v/>
      </c>
      <c r="BH58" s="55" t="str">
        <f t="shared" si="64"/>
        <v/>
      </c>
      <c r="BI58" s="55" t="str">
        <f t="shared" si="64"/>
        <v/>
      </c>
      <c r="BJ58" s="55" t="str">
        <f t="shared" si="64"/>
        <v/>
      </c>
      <c r="BK58" s="55" t="str">
        <f t="shared" si="64"/>
        <v/>
      </c>
      <c r="BL58" s="55" t="str">
        <f t="shared" si="64"/>
        <v/>
      </c>
      <c r="BM58" s="55" t="str">
        <f t="shared" si="64"/>
        <v/>
      </c>
      <c r="BN58" s="55" t="str">
        <f t="shared" si="64"/>
        <v/>
      </c>
      <c r="BO58" s="55" t="str">
        <f t="shared" si="64"/>
        <v/>
      </c>
      <c r="BP58" s="55" t="str">
        <f t="shared" si="64"/>
        <v/>
      </c>
      <c r="BQ58" s="55" t="str">
        <f t="shared" si="64"/>
        <v/>
      </c>
      <c r="BR58" s="55" t="str">
        <f t="shared" si="64"/>
        <v/>
      </c>
      <c r="BS58" s="55" t="str">
        <f t="shared" si="64"/>
        <v/>
      </c>
      <c r="BT58" s="55" t="str">
        <f t="shared" si="64"/>
        <v/>
      </c>
      <c r="BU58" s="55" t="str">
        <f t="shared" si="64"/>
        <v/>
      </c>
      <c r="BV58" s="55" t="str">
        <f t="shared" si="64"/>
        <v/>
      </c>
      <c r="BW58" s="55" t="str">
        <f t="shared" si="64"/>
        <v/>
      </c>
      <c r="BX58" s="55" t="str">
        <f t="shared" si="64"/>
        <v/>
      </c>
      <c r="BY58" s="55" t="str">
        <f t="shared" si="64"/>
        <v/>
      </c>
      <c r="BZ58" s="55" t="str">
        <f t="shared" si="64"/>
        <v/>
      </c>
      <c r="CA58" s="55" t="str">
        <f t="shared" si="64"/>
        <v/>
      </c>
      <c r="CB58" s="55" t="str">
        <f t="shared" si="64"/>
        <v/>
      </c>
      <c r="CC58" s="55" t="str">
        <f t="shared" si="64"/>
        <v/>
      </c>
      <c r="CD58" s="55" t="str">
        <f t="shared" si="64"/>
        <v/>
      </c>
      <c r="CE58" s="55" t="str">
        <f t="shared" si="64"/>
        <v/>
      </c>
      <c r="CF58" s="55" t="str">
        <f t="shared" si="64"/>
        <v/>
      </c>
      <c r="CG58" s="55" t="str">
        <f t="shared" si="64"/>
        <v/>
      </c>
      <c r="CH58" s="55" t="str">
        <f t="shared" si="64"/>
        <v/>
      </c>
      <c r="CI58" s="55" t="str">
        <f t="shared" si="64"/>
        <v/>
      </c>
      <c r="CJ58" s="55" t="str">
        <f t="shared" si="67"/>
        <v/>
      </c>
      <c r="CK58" s="55" t="str">
        <f t="shared" si="67"/>
        <v/>
      </c>
      <c r="CL58" s="55" t="str">
        <f t="shared" si="67"/>
        <v/>
      </c>
      <c r="CM58" s="55" t="str">
        <f t="shared" si="67"/>
        <v/>
      </c>
      <c r="CN58" s="55" t="str">
        <f t="shared" si="67"/>
        <v/>
      </c>
      <c r="CO58" s="55" t="str">
        <f t="shared" si="67"/>
        <v/>
      </c>
      <c r="CP58" s="55" t="str">
        <f t="shared" si="67"/>
        <v/>
      </c>
      <c r="CQ58" s="55" t="str">
        <f t="shared" si="67"/>
        <v/>
      </c>
      <c r="CR58" s="55" t="str">
        <f t="shared" si="67"/>
        <v/>
      </c>
      <c r="CS58" s="55" t="str">
        <f t="shared" si="67"/>
        <v/>
      </c>
      <c r="CT58" s="55" t="str">
        <f t="shared" si="67"/>
        <v/>
      </c>
      <c r="CU58" s="55" t="str">
        <f t="shared" si="67"/>
        <v/>
      </c>
      <c r="CV58" s="55" t="str">
        <f t="shared" si="67"/>
        <v/>
      </c>
      <c r="CW58" s="55" t="str">
        <f t="shared" si="67"/>
        <v/>
      </c>
      <c r="CX58" s="55" t="str">
        <f t="shared" si="67"/>
        <v/>
      </c>
      <c r="CY58" s="55" t="str">
        <f t="shared" si="28"/>
        <v/>
      </c>
      <c r="CZ58" s="55" t="str">
        <f t="shared" si="67"/>
        <v/>
      </c>
      <c r="DA58" s="55" t="str">
        <f t="shared" si="67"/>
        <v/>
      </c>
      <c r="DB58" s="55" t="str">
        <f t="shared" si="67"/>
        <v/>
      </c>
      <c r="DC58" s="55" t="str">
        <f t="shared" si="67"/>
        <v/>
      </c>
      <c r="DD58" s="55" t="str">
        <f t="shared" si="67"/>
        <v/>
      </c>
      <c r="DE58" s="55" t="str">
        <f t="shared" si="67"/>
        <v/>
      </c>
      <c r="DF58" s="55" t="str">
        <f t="shared" si="67"/>
        <v/>
      </c>
      <c r="DG58" s="55" t="str">
        <f t="shared" si="67"/>
        <v/>
      </c>
      <c r="DH58" s="55" t="str">
        <f t="shared" si="67"/>
        <v/>
      </c>
      <c r="DI58" s="55" t="str">
        <f t="shared" si="67"/>
        <v/>
      </c>
      <c r="DJ58" s="55" t="str">
        <f t="shared" si="67"/>
        <v/>
      </c>
      <c r="DK58" s="55" t="str">
        <f t="shared" si="67"/>
        <v/>
      </c>
      <c r="DL58" s="55" t="str">
        <f t="shared" si="67"/>
        <v/>
      </c>
      <c r="DM58" s="55" t="str">
        <f t="shared" si="67"/>
        <v/>
      </c>
      <c r="DN58" s="55" t="str">
        <f t="shared" si="67"/>
        <v/>
      </c>
      <c r="DO58" s="55" t="str">
        <f t="shared" si="67"/>
        <v/>
      </c>
      <c r="DP58" s="55" t="str">
        <f t="shared" si="67"/>
        <v/>
      </c>
      <c r="DQ58" s="55" t="str">
        <f t="shared" si="67"/>
        <v/>
      </c>
      <c r="DR58" s="55" t="str">
        <f t="shared" si="67"/>
        <v/>
      </c>
      <c r="DS58" s="55" t="str">
        <f t="shared" si="67"/>
        <v/>
      </c>
      <c r="DT58" s="110" t="str">
        <f t="shared" si="67"/>
        <v/>
      </c>
      <c r="DU58" s="54"/>
      <c r="DV58" s="25"/>
      <c r="DW58" s="61" t="str">
        <f t="shared" si="71"/>
        <v/>
      </c>
      <c r="DX58" s="50" t="str">
        <f t="shared" si="71"/>
        <v/>
      </c>
      <c r="DY58" s="50" t="str">
        <f t="shared" si="71"/>
        <v/>
      </c>
      <c r="DZ58" s="50" t="str">
        <f t="shared" si="71"/>
        <v/>
      </c>
      <c r="EA58" s="50">
        <f t="shared" si="71"/>
        <v>608.38</v>
      </c>
      <c r="EB58" s="50" t="str">
        <f t="shared" si="71"/>
        <v/>
      </c>
      <c r="EC58" s="50" t="str">
        <f t="shared" si="71"/>
        <v/>
      </c>
      <c r="ED58" s="50" t="str">
        <f t="shared" si="71"/>
        <v/>
      </c>
      <c r="EE58" s="50" t="str">
        <f t="shared" si="71"/>
        <v/>
      </c>
      <c r="EF58" s="50" t="str">
        <f t="shared" si="71"/>
        <v/>
      </c>
      <c r="EG58" s="50" t="str">
        <f t="shared" si="71"/>
        <v/>
      </c>
      <c r="EH58" s="50" t="str">
        <f t="shared" si="71"/>
        <v/>
      </c>
      <c r="EI58" s="50" t="str">
        <f t="shared" si="71"/>
        <v/>
      </c>
      <c r="EJ58" s="50" t="str">
        <f t="shared" si="71"/>
        <v/>
      </c>
      <c r="EK58" s="50" t="str">
        <f t="shared" si="71"/>
        <v/>
      </c>
      <c r="EL58" s="50" t="str">
        <f t="shared" si="71"/>
        <v/>
      </c>
      <c r="EM58" s="50" t="str">
        <f t="shared" si="69"/>
        <v/>
      </c>
      <c r="EN58" s="50" t="str">
        <f t="shared" si="69"/>
        <v/>
      </c>
      <c r="EO58" s="50" t="str">
        <f t="shared" si="69"/>
        <v/>
      </c>
      <c r="EP58" s="50" t="str">
        <f t="shared" si="69"/>
        <v/>
      </c>
      <c r="EQ58" s="50" t="str">
        <f t="shared" si="69"/>
        <v/>
      </c>
      <c r="ER58" s="50" t="str">
        <f t="shared" si="69"/>
        <v/>
      </c>
      <c r="ES58" s="50" t="str">
        <f t="shared" si="69"/>
        <v/>
      </c>
      <c r="ET58" s="50" t="str">
        <f t="shared" si="69"/>
        <v/>
      </c>
      <c r="EU58" s="50" t="str">
        <f t="shared" si="69"/>
        <v/>
      </c>
      <c r="EV58" s="50" t="str">
        <f t="shared" si="69"/>
        <v/>
      </c>
      <c r="EW58" s="50" t="str">
        <f t="shared" si="69"/>
        <v/>
      </c>
      <c r="EX58" s="50" t="str">
        <f t="shared" si="69"/>
        <v/>
      </c>
      <c r="EY58" s="50" t="str">
        <f t="shared" si="69"/>
        <v/>
      </c>
      <c r="EZ58" s="50" t="str">
        <f t="shared" si="69"/>
        <v/>
      </c>
      <c r="FA58" s="50" t="str">
        <f t="shared" si="69"/>
        <v/>
      </c>
      <c r="FB58" s="50" t="str">
        <f t="shared" si="71"/>
        <v/>
      </c>
      <c r="FC58" s="50" t="str">
        <f t="shared" si="65"/>
        <v/>
      </c>
      <c r="FD58" s="50" t="str">
        <f t="shared" si="65"/>
        <v/>
      </c>
      <c r="FE58" s="50" t="str">
        <f t="shared" si="65"/>
        <v/>
      </c>
      <c r="FF58" s="50" t="str">
        <f t="shared" si="65"/>
        <v/>
      </c>
      <c r="FG58" s="50" t="str">
        <f t="shared" si="65"/>
        <v/>
      </c>
      <c r="FH58" s="50" t="str">
        <f t="shared" si="65"/>
        <v/>
      </c>
      <c r="FI58" s="50" t="str">
        <f t="shared" si="65"/>
        <v/>
      </c>
      <c r="FJ58" s="50" t="str">
        <f t="shared" si="65"/>
        <v/>
      </c>
      <c r="FK58" s="50" t="str">
        <f t="shared" si="65"/>
        <v/>
      </c>
      <c r="FL58" s="50" t="str">
        <f t="shared" si="65"/>
        <v/>
      </c>
      <c r="FM58" s="50" t="str">
        <f t="shared" si="65"/>
        <v/>
      </c>
      <c r="FN58" s="50" t="str">
        <f t="shared" si="65"/>
        <v/>
      </c>
      <c r="FO58" s="50" t="str">
        <f t="shared" si="65"/>
        <v/>
      </c>
      <c r="FP58" s="50" t="str">
        <f t="shared" si="65"/>
        <v/>
      </c>
      <c r="FQ58" s="50" t="str">
        <f t="shared" si="65"/>
        <v/>
      </c>
      <c r="FR58" s="50" t="str">
        <f t="shared" si="65"/>
        <v/>
      </c>
      <c r="FS58" s="50" t="str">
        <f t="shared" si="65"/>
        <v/>
      </c>
      <c r="FT58" s="50" t="str">
        <f t="shared" si="65"/>
        <v/>
      </c>
      <c r="FU58" s="50" t="str">
        <f t="shared" si="65"/>
        <v/>
      </c>
      <c r="FV58" s="50" t="str">
        <f t="shared" si="65"/>
        <v/>
      </c>
      <c r="FW58" s="50" t="str">
        <f t="shared" si="65"/>
        <v/>
      </c>
      <c r="FX58" s="50" t="str">
        <f t="shared" si="65"/>
        <v/>
      </c>
      <c r="FY58" s="50" t="str">
        <f t="shared" si="65"/>
        <v/>
      </c>
      <c r="FZ58" s="50" t="str">
        <f t="shared" si="65"/>
        <v/>
      </c>
      <c r="GA58" s="50" t="str">
        <f t="shared" si="65"/>
        <v/>
      </c>
      <c r="GB58" s="50" t="str">
        <f t="shared" si="65"/>
        <v/>
      </c>
      <c r="GC58" s="50" t="str">
        <f t="shared" si="65"/>
        <v/>
      </c>
      <c r="GD58" s="50" t="str">
        <f t="shared" si="65"/>
        <v/>
      </c>
      <c r="GE58" s="50" t="str">
        <f t="shared" si="65"/>
        <v/>
      </c>
      <c r="GF58" s="50" t="str">
        <f t="shared" si="65"/>
        <v/>
      </c>
      <c r="GG58" s="50" t="str">
        <f t="shared" si="65"/>
        <v/>
      </c>
      <c r="GH58" s="50" t="str">
        <f t="shared" si="54"/>
        <v/>
      </c>
      <c r="GI58" s="50" t="str">
        <f t="shared" si="54"/>
        <v/>
      </c>
      <c r="GJ58" s="50" t="str">
        <f t="shared" si="54"/>
        <v/>
      </c>
      <c r="GK58" s="50" t="str">
        <f t="shared" si="54"/>
        <v/>
      </c>
      <c r="GL58" s="50" t="str">
        <f t="shared" si="54"/>
        <v/>
      </c>
      <c r="GM58" s="50" t="str">
        <f t="shared" si="54"/>
        <v/>
      </c>
      <c r="GN58" s="50" t="str">
        <f t="shared" si="54"/>
        <v/>
      </c>
      <c r="GO58" s="50" t="str">
        <f t="shared" si="54"/>
        <v/>
      </c>
      <c r="GP58" s="50" t="str">
        <f t="shared" si="54"/>
        <v/>
      </c>
      <c r="GQ58" s="50" t="str">
        <f t="shared" si="54"/>
        <v/>
      </c>
      <c r="GR58" s="50" t="str">
        <f t="shared" si="54"/>
        <v/>
      </c>
      <c r="GS58" s="50" t="str">
        <f t="shared" si="54"/>
        <v/>
      </c>
      <c r="GT58" s="50" t="str">
        <f t="shared" si="54"/>
        <v/>
      </c>
      <c r="GU58" s="50" t="str">
        <f t="shared" si="54"/>
        <v/>
      </c>
      <c r="GV58" s="50" t="str">
        <f t="shared" si="54"/>
        <v/>
      </c>
      <c r="GW58" s="50" t="str">
        <f t="shared" si="29"/>
        <v/>
      </c>
      <c r="GX58" s="50" t="str">
        <f t="shared" si="50"/>
        <v/>
      </c>
      <c r="GY58" s="50" t="str">
        <f t="shared" si="50"/>
        <v/>
      </c>
      <c r="GZ58" s="50" t="str">
        <f t="shared" si="50"/>
        <v/>
      </c>
      <c r="HA58" s="50" t="str">
        <f t="shared" si="50"/>
        <v/>
      </c>
      <c r="HB58" s="50" t="str">
        <f t="shared" si="50"/>
        <v/>
      </c>
      <c r="HC58" s="50" t="str">
        <f t="shared" si="50"/>
        <v/>
      </c>
      <c r="HD58" s="50" t="str">
        <f t="shared" si="50"/>
        <v/>
      </c>
      <c r="HE58" s="50" t="str">
        <f t="shared" si="50"/>
        <v/>
      </c>
      <c r="HF58" s="50" t="str">
        <f t="shared" si="50"/>
        <v/>
      </c>
      <c r="HG58" s="50" t="str">
        <f t="shared" si="50"/>
        <v/>
      </c>
      <c r="HH58" s="50" t="str">
        <f t="shared" si="50"/>
        <v/>
      </c>
      <c r="HI58" s="50" t="str">
        <f t="shared" si="50"/>
        <v/>
      </c>
      <c r="HJ58" s="50" t="str">
        <f t="shared" si="50"/>
        <v/>
      </c>
      <c r="HK58" s="50" t="str">
        <f t="shared" si="50"/>
        <v/>
      </c>
      <c r="HL58" s="50" t="str">
        <f t="shared" si="50"/>
        <v/>
      </c>
      <c r="HM58" s="50" t="str">
        <f t="shared" si="50"/>
        <v/>
      </c>
      <c r="HN58" s="50" t="str">
        <f t="shared" si="23"/>
        <v/>
      </c>
      <c r="HO58" s="50" t="str">
        <f t="shared" si="23"/>
        <v/>
      </c>
      <c r="HP58" s="50" t="str">
        <f t="shared" si="23"/>
        <v/>
      </c>
      <c r="HQ58" s="50" t="str">
        <f t="shared" si="23"/>
        <v/>
      </c>
      <c r="HR58" s="116" t="str">
        <f t="shared" si="23"/>
        <v/>
      </c>
    </row>
    <row r="59" spans="1:226" ht="11.15" customHeight="1" x14ac:dyDescent="0.25">
      <c r="A59" s="26">
        <v>4144</v>
      </c>
      <c r="B59" s="27">
        <v>6</v>
      </c>
      <c r="C59" s="28" t="str">
        <f>IF(A59=0,"",VLOOKUP(A59,[3]CO!$A$3:$F$5327,2,0))</f>
        <v>MARTÍNEZ DUEÑAS RIGOBERTO</v>
      </c>
      <c r="D59" s="29"/>
      <c r="E59" s="29"/>
      <c r="F59" s="29"/>
      <c r="G59" s="30" t="str">
        <f>IF(A59=0,"",VLOOKUP(A59,[3]CO!$A$3:$F$5327,3,0))</f>
        <v>OF</v>
      </c>
      <c r="H59" s="29"/>
      <c r="I59" s="31"/>
      <c r="J59" s="31"/>
      <c r="K59" s="31"/>
      <c r="L59" s="31"/>
      <c r="M59" s="32" t="str">
        <f t="shared" si="57"/>
        <v/>
      </c>
      <c r="N59" s="32">
        <f>IF(B59=0,"",IF(H59="M",HLOOKUP(B59,$Y$12:$DT$13,2),IF(A59=0,"",VLOOKUP(A59,[3]CO!$A$3:$F$5327,4,0))))</f>
        <v>608.38</v>
      </c>
      <c r="O59" s="32" t="str">
        <f t="shared" si="58"/>
        <v/>
      </c>
      <c r="P59" s="33"/>
      <c r="Q59" s="34" t="str">
        <f t="shared" si="59"/>
        <v/>
      </c>
      <c r="R59" s="35">
        <f t="shared" si="60"/>
        <v>608.38</v>
      </c>
      <c r="S59" s="122">
        <v>1</v>
      </c>
      <c r="T59" s="53">
        <f>IF(A59=0,"",VLOOKUP(A59,[3]CO!$A$3:$F$5318,5,0))</f>
        <v>0</v>
      </c>
      <c r="U59" s="54">
        <f t="shared" si="61"/>
        <v>0</v>
      </c>
      <c r="V59" s="24"/>
      <c r="W59" s="25"/>
      <c r="X59" s="25"/>
      <c r="Y59" s="64" t="str">
        <f t="shared" si="70"/>
        <v/>
      </c>
      <c r="Z59" s="55" t="str">
        <f t="shared" si="70"/>
        <v/>
      </c>
      <c r="AA59" s="55" t="str">
        <f t="shared" si="70"/>
        <v/>
      </c>
      <c r="AB59" s="55" t="str">
        <f t="shared" si="70"/>
        <v/>
      </c>
      <c r="AC59" s="55" t="str">
        <f t="shared" si="70"/>
        <v/>
      </c>
      <c r="AD59" s="55">
        <f t="shared" si="70"/>
        <v>0</v>
      </c>
      <c r="AE59" s="55" t="str">
        <f t="shared" si="70"/>
        <v/>
      </c>
      <c r="AF59" s="55" t="str">
        <f t="shared" si="70"/>
        <v/>
      </c>
      <c r="AG59" s="55" t="str">
        <f t="shared" si="70"/>
        <v/>
      </c>
      <c r="AH59" s="55" t="str">
        <f t="shared" si="70"/>
        <v/>
      </c>
      <c r="AI59" s="55" t="str">
        <f t="shared" si="70"/>
        <v/>
      </c>
      <c r="AJ59" s="55" t="str">
        <f t="shared" si="70"/>
        <v/>
      </c>
      <c r="AK59" s="55" t="str">
        <f t="shared" si="70"/>
        <v/>
      </c>
      <c r="AL59" s="55" t="str">
        <f t="shared" si="70"/>
        <v/>
      </c>
      <c r="AM59" s="55" t="str">
        <f t="shared" si="70"/>
        <v/>
      </c>
      <c r="AN59" s="55" t="str">
        <f t="shared" si="70"/>
        <v/>
      </c>
      <c r="AO59" s="55" t="str">
        <f t="shared" si="68"/>
        <v/>
      </c>
      <c r="AP59" s="55" t="str">
        <f t="shared" si="68"/>
        <v/>
      </c>
      <c r="AQ59" s="55" t="str">
        <f t="shared" si="68"/>
        <v/>
      </c>
      <c r="AR59" s="55" t="str">
        <f t="shared" si="68"/>
        <v/>
      </c>
      <c r="AS59" s="55" t="str">
        <f t="shared" si="68"/>
        <v/>
      </c>
      <c r="AT59" s="55" t="str">
        <f t="shared" si="68"/>
        <v/>
      </c>
      <c r="AU59" s="55" t="str">
        <f t="shared" si="68"/>
        <v/>
      </c>
      <c r="AV59" s="55" t="str">
        <f t="shared" si="68"/>
        <v/>
      </c>
      <c r="AW59" s="55" t="str">
        <f t="shared" si="68"/>
        <v/>
      </c>
      <c r="AX59" s="55" t="str">
        <f t="shared" si="68"/>
        <v/>
      </c>
      <c r="AY59" s="55" t="str">
        <f t="shared" si="68"/>
        <v/>
      </c>
      <c r="AZ59" s="55" t="str">
        <f t="shared" si="68"/>
        <v/>
      </c>
      <c r="BA59" s="55" t="str">
        <f t="shared" si="68"/>
        <v/>
      </c>
      <c r="BB59" s="55" t="str">
        <f t="shared" si="68"/>
        <v/>
      </c>
      <c r="BC59" s="55" t="str">
        <f t="shared" si="68"/>
        <v/>
      </c>
      <c r="BD59" s="55" t="str">
        <f t="shared" si="70"/>
        <v/>
      </c>
      <c r="BE59" s="55" t="str">
        <f t="shared" si="64"/>
        <v/>
      </c>
      <c r="BF59" s="55" t="str">
        <f t="shared" si="64"/>
        <v/>
      </c>
      <c r="BG59" s="55" t="str">
        <f t="shared" si="64"/>
        <v/>
      </c>
      <c r="BH59" s="55" t="str">
        <f t="shared" si="64"/>
        <v/>
      </c>
      <c r="BI59" s="55" t="str">
        <f t="shared" si="64"/>
        <v/>
      </c>
      <c r="BJ59" s="55" t="str">
        <f t="shared" si="64"/>
        <v/>
      </c>
      <c r="BK59" s="55" t="str">
        <f t="shared" si="64"/>
        <v/>
      </c>
      <c r="BL59" s="55" t="str">
        <f t="shared" si="64"/>
        <v/>
      </c>
      <c r="BM59" s="55" t="str">
        <f t="shared" si="64"/>
        <v/>
      </c>
      <c r="BN59" s="55" t="str">
        <f t="shared" si="64"/>
        <v/>
      </c>
      <c r="BO59" s="55" t="str">
        <f t="shared" si="64"/>
        <v/>
      </c>
      <c r="BP59" s="55" t="str">
        <f t="shared" si="64"/>
        <v/>
      </c>
      <c r="BQ59" s="55" t="str">
        <f t="shared" si="64"/>
        <v/>
      </c>
      <c r="BR59" s="55" t="str">
        <f t="shared" si="64"/>
        <v/>
      </c>
      <c r="BS59" s="55" t="str">
        <f t="shared" si="64"/>
        <v/>
      </c>
      <c r="BT59" s="55" t="str">
        <f t="shared" si="64"/>
        <v/>
      </c>
      <c r="BU59" s="55" t="str">
        <f t="shared" si="64"/>
        <v/>
      </c>
      <c r="BV59" s="55" t="str">
        <f t="shared" si="64"/>
        <v/>
      </c>
      <c r="BW59" s="55" t="str">
        <f t="shared" si="64"/>
        <v/>
      </c>
      <c r="BX59" s="55" t="str">
        <f t="shared" si="64"/>
        <v/>
      </c>
      <c r="BY59" s="55" t="str">
        <f t="shared" si="64"/>
        <v/>
      </c>
      <c r="BZ59" s="55" t="str">
        <f t="shared" si="64"/>
        <v/>
      </c>
      <c r="CA59" s="55" t="str">
        <f t="shared" si="64"/>
        <v/>
      </c>
      <c r="CB59" s="55" t="str">
        <f t="shared" si="64"/>
        <v/>
      </c>
      <c r="CC59" s="55" t="str">
        <f t="shared" si="64"/>
        <v/>
      </c>
      <c r="CD59" s="55" t="str">
        <f t="shared" si="64"/>
        <v/>
      </c>
      <c r="CE59" s="55" t="str">
        <f t="shared" si="64"/>
        <v/>
      </c>
      <c r="CF59" s="55" t="str">
        <f t="shared" si="64"/>
        <v/>
      </c>
      <c r="CG59" s="55" t="str">
        <f t="shared" si="64"/>
        <v/>
      </c>
      <c r="CH59" s="55" t="str">
        <f t="shared" si="64"/>
        <v/>
      </c>
      <c r="CI59" s="55" t="str">
        <f t="shared" si="64"/>
        <v/>
      </c>
      <c r="CJ59" s="55" t="str">
        <f t="shared" si="67"/>
        <v/>
      </c>
      <c r="CK59" s="55" t="str">
        <f t="shared" si="67"/>
        <v/>
      </c>
      <c r="CL59" s="55" t="str">
        <f t="shared" si="67"/>
        <v/>
      </c>
      <c r="CM59" s="55" t="str">
        <f t="shared" si="67"/>
        <v/>
      </c>
      <c r="CN59" s="55" t="str">
        <f t="shared" si="67"/>
        <v/>
      </c>
      <c r="CO59" s="55" t="str">
        <f t="shared" si="67"/>
        <v/>
      </c>
      <c r="CP59" s="55" t="str">
        <f t="shared" si="67"/>
        <v/>
      </c>
      <c r="CQ59" s="55" t="str">
        <f t="shared" si="67"/>
        <v/>
      </c>
      <c r="CR59" s="55" t="str">
        <f t="shared" si="67"/>
        <v/>
      </c>
      <c r="CS59" s="55" t="str">
        <f t="shared" si="67"/>
        <v/>
      </c>
      <c r="CT59" s="55" t="str">
        <f t="shared" si="67"/>
        <v/>
      </c>
      <c r="CU59" s="55" t="str">
        <f t="shared" si="67"/>
        <v/>
      </c>
      <c r="CV59" s="55" t="str">
        <f t="shared" si="67"/>
        <v/>
      </c>
      <c r="CW59" s="55" t="str">
        <f t="shared" si="67"/>
        <v/>
      </c>
      <c r="CX59" s="55" t="str">
        <f t="shared" si="67"/>
        <v/>
      </c>
      <c r="CY59" s="55" t="str">
        <f t="shared" si="28"/>
        <v/>
      </c>
      <c r="CZ59" s="55" t="str">
        <f t="shared" si="67"/>
        <v/>
      </c>
      <c r="DA59" s="55" t="str">
        <f t="shared" si="67"/>
        <v/>
      </c>
      <c r="DB59" s="55" t="str">
        <f t="shared" si="67"/>
        <v/>
      </c>
      <c r="DC59" s="55" t="str">
        <f t="shared" si="67"/>
        <v/>
      </c>
      <c r="DD59" s="55" t="str">
        <f t="shared" si="67"/>
        <v/>
      </c>
      <c r="DE59" s="55" t="str">
        <f t="shared" si="67"/>
        <v/>
      </c>
      <c r="DF59" s="55" t="str">
        <f t="shared" si="67"/>
        <v/>
      </c>
      <c r="DG59" s="55" t="str">
        <f t="shared" si="67"/>
        <v/>
      </c>
      <c r="DH59" s="55" t="str">
        <f t="shared" si="67"/>
        <v/>
      </c>
      <c r="DI59" s="55" t="str">
        <f t="shared" si="67"/>
        <v/>
      </c>
      <c r="DJ59" s="55" t="str">
        <f t="shared" si="67"/>
        <v/>
      </c>
      <c r="DK59" s="55" t="str">
        <f t="shared" si="67"/>
        <v/>
      </c>
      <c r="DL59" s="55" t="str">
        <f t="shared" si="67"/>
        <v/>
      </c>
      <c r="DM59" s="55" t="str">
        <f t="shared" si="67"/>
        <v/>
      </c>
      <c r="DN59" s="55" t="str">
        <f t="shared" si="67"/>
        <v/>
      </c>
      <c r="DO59" s="55" t="str">
        <f t="shared" si="67"/>
        <v/>
      </c>
      <c r="DP59" s="55" t="str">
        <f t="shared" si="67"/>
        <v/>
      </c>
      <c r="DQ59" s="55" t="str">
        <f t="shared" si="67"/>
        <v/>
      </c>
      <c r="DR59" s="55" t="str">
        <f t="shared" si="67"/>
        <v/>
      </c>
      <c r="DS59" s="55" t="str">
        <f t="shared" si="67"/>
        <v/>
      </c>
      <c r="DT59" s="110" t="str">
        <f t="shared" si="67"/>
        <v/>
      </c>
      <c r="DU59" s="54"/>
      <c r="DV59" s="25"/>
      <c r="DW59" s="61" t="str">
        <f t="shared" si="71"/>
        <v/>
      </c>
      <c r="DX59" s="50" t="str">
        <f t="shared" si="71"/>
        <v/>
      </c>
      <c r="DY59" s="50" t="str">
        <f t="shared" si="71"/>
        <v/>
      </c>
      <c r="DZ59" s="50" t="str">
        <f t="shared" si="71"/>
        <v/>
      </c>
      <c r="EA59" s="50" t="str">
        <f t="shared" si="71"/>
        <v/>
      </c>
      <c r="EB59" s="50" t="str">
        <f t="shared" si="71"/>
        <v/>
      </c>
      <c r="EC59" s="50" t="str">
        <f t="shared" si="71"/>
        <v/>
      </c>
      <c r="ED59" s="50" t="str">
        <f t="shared" si="71"/>
        <v/>
      </c>
      <c r="EE59" s="50" t="str">
        <f t="shared" si="71"/>
        <v/>
      </c>
      <c r="EF59" s="50" t="str">
        <f t="shared" si="71"/>
        <v/>
      </c>
      <c r="EG59" s="50" t="str">
        <f t="shared" si="71"/>
        <v/>
      </c>
      <c r="EH59" s="50" t="str">
        <f t="shared" si="71"/>
        <v/>
      </c>
      <c r="EI59" s="50" t="str">
        <f t="shared" si="71"/>
        <v/>
      </c>
      <c r="EJ59" s="50" t="str">
        <f t="shared" si="71"/>
        <v/>
      </c>
      <c r="EK59" s="50" t="str">
        <f t="shared" si="71"/>
        <v/>
      </c>
      <c r="EL59" s="50" t="str">
        <f t="shared" si="71"/>
        <v/>
      </c>
      <c r="EM59" s="50" t="str">
        <f t="shared" si="69"/>
        <v/>
      </c>
      <c r="EN59" s="50" t="str">
        <f t="shared" si="69"/>
        <v/>
      </c>
      <c r="EO59" s="50" t="str">
        <f t="shared" si="69"/>
        <v/>
      </c>
      <c r="EP59" s="50" t="str">
        <f t="shared" si="69"/>
        <v/>
      </c>
      <c r="EQ59" s="50" t="str">
        <f t="shared" si="69"/>
        <v/>
      </c>
      <c r="ER59" s="50" t="str">
        <f t="shared" si="69"/>
        <v/>
      </c>
      <c r="ES59" s="50" t="str">
        <f t="shared" si="69"/>
        <v/>
      </c>
      <c r="ET59" s="50" t="str">
        <f t="shared" si="69"/>
        <v/>
      </c>
      <c r="EU59" s="50" t="str">
        <f t="shared" si="69"/>
        <v/>
      </c>
      <c r="EV59" s="50" t="str">
        <f t="shared" si="69"/>
        <v/>
      </c>
      <c r="EW59" s="50" t="str">
        <f t="shared" si="69"/>
        <v/>
      </c>
      <c r="EX59" s="50" t="str">
        <f t="shared" si="69"/>
        <v/>
      </c>
      <c r="EY59" s="50" t="str">
        <f t="shared" si="69"/>
        <v/>
      </c>
      <c r="EZ59" s="50" t="str">
        <f t="shared" si="69"/>
        <v/>
      </c>
      <c r="FA59" s="50" t="str">
        <f t="shared" si="69"/>
        <v/>
      </c>
      <c r="FB59" s="50" t="str">
        <f t="shared" si="71"/>
        <v/>
      </c>
      <c r="FC59" s="50" t="str">
        <f t="shared" si="65"/>
        <v/>
      </c>
      <c r="FD59" s="50" t="str">
        <f t="shared" si="65"/>
        <v/>
      </c>
      <c r="FE59" s="50" t="str">
        <f t="shared" si="65"/>
        <v/>
      </c>
      <c r="FF59" s="50" t="str">
        <f t="shared" si="65"/>
        <v/>
      </c>
      <c r="FG59" s="50" t="str">
        <f t="shared" si="65"/>
        <v/>
      </c>
      <c r="FH59" s="50" t="str">
        <f t="shared" si="65"/>
        <v/>
      </c>
      <c r="FI59" s="50" t="str">
        <f t="shared" si="65"/>
        <v/>
      </c>
      <c r="FJ59" s="50" t="str">
        <f t="shared" si="65"/>
        <v/>
      </c>
      <c r="FK59" s="50" t="str">
        <f t="shared" si="65"/>
        <v/>
      </c>
      <c r="FL59" s="50" t="str">
        <f t="shared" si="65"/>
        <v/>
      </c>
      <c r="FM59" s="50" t="str">
        <f t="shared" si="65"/>
        <v/>
      </c>
      <c r="FN59" s="50" t="str">
        <f t="shared" si="65"/>
        <v/>
      </c>
      <c r="FO59" s="50" t="str">
        <f t="shared" si="65"/>
        <v/>
      </c>
      <c r="FP59" s="50" t="str">
        <f t="shared" si="65"/>
        <v/>
      </c>
      <c r="FQ59" s="50" t="str">
        <f t="shared" si="65"/>
        <v/>
      </c>
      <c r="FR59" s="50" t="str">
        <f t="shared" si="65"/>
        <v/>
      </c>
      <c r="FS59" s="50" t="str">
        <f t="shared" si="65"/>
        <v/>
      </c>
      <c r="FT59" s="50" t="str">
        <f t="shared" si="65"/>
        <v/>
      </c>
      <c r="FU59" s="50" t="str">
        <f t="shared" si="65"/>
        <v/>
      </c>
      <c r="FV59" s="50" t="str">
        <f t="shared" si="65"/>
        <v/>
      </c>
      <c r="FW59" s="50" t="str">
        <f t="shared" si="65"/>
        <v/>
      </c>
      <c r="FX59" s="50" t="str">
        <f t="shared" si="65"/>
        <v/>
      </c>
      <c r="FY59" s="50" t="str">
        <f t="shared" si="65"/>
        <v/>
      </c>
      <c r="FZ59" s="50" t="str">
        <f t="shared" si="65"/>
        <v/>
      </c>
      <c r="GA59" s="50" t="str">
        <f t="shared" si="65"/>
        <v/>
      </c>
      <c r="GB59" s="50" t="str">
        <f t="shared" si="65"/>
        <v/>
      </c>
      <c r="GC59" s="50" t="str">
        <f t="shared" si="65"/>
        <v/>
      </c>
      <c r="GD59" s="50" t="str">
        <f t="shared" si="65"/>
        <v/>
      </c>
      <c r="GE59" s="50" t="str">
        <f t="shared" si="65"/>
        <v/>
      </c>
      <c r="GF59" s="50" t="str">
        <f t="shared" si="65"/>
        <v/>
      </c>
      <c r="GG59" s="50" t="str">
        <f t="shared" si="65"/>
        <v/>
      </c>
      <c r="GH59" s="50" t="str">
        <f t="shared" si="54"/>
        <v/>
      </c>
      <c r="GI59" s="50" t="str">
        <f t="shared" si="54"/>
        <v/>
      </c>
      <c r="GJ59" s="50" t="str">
        <f t="shared" si="54"/>
        <v/>
      </c>
      <c r="GK59" s="50" t="str">
        <f t="shared" si="54"/>
        <v/>
      </c>
      <c r="GL59" s="50" t="str">
        <f t="shared" si="54"/>
        <v/>
      </c>
      <c r="GM59" s="50" t="str">
        <f t="shared" si="54"/>
        <v/>
      </c>
      <c r="GN59" s="50" t="str">
        <f t="shared" si="54"/>
        <v/>
      </c>
      <c r="GO59" s="50" t="str">
        <f t="shared" si="54"/>
        <v/>
      </c>
      <c r="GP59" s="50" t="str">
        <f t="shared" si="54"/>
        <v/>
      </c>
      <c r="GQ59" s="50" t="str">
        <f t="shared" si="54"/>
        <v/>
      </c>
      <c r="GR59" s="50" t="str">
        <f t="shared" si="54"/>
        <v/>
      </c>
      <c r="GS59" s="50" t="str">
        <f t="shared" si="54"/>
        <v/>
      </c>
      <c r="GT59" s="50" t="str">
        <f t="shared" si="54"/>
        <v/>
      </c>
      <c r="GU59" s="50" t="str">
        <f t="shared" si="54"/>
        <v/>
      </c>
      <c r="GV59" s="50" t="str">
        <f t="shared" si="54"/>
        <v/>
      </c>
      <c r="GW59" s="50" t="str">
        <f t="shared" si="29"/>
        <v/>
      </c>
      <c r="GX59" s="50" t="str">
        <f t="shared" si="50"/>
        <v/>
      </c>
      <c r="GY59" s="50" t="str">
        <f t="shared" si="50"/>
        <v/>
      </c>
      <c r="GZ59" s="50" t="str">
        <f t="shared" si="50"/>
        <v/>
      </c>
      <c r="HA59" s="50" t="str">
        <f t="shared" si="50"/>
        <v/>
      </c>
      <c r="HB59" s="50" t="str">
        <f t="shared" si="50"/>
        <v/>
      </c>
      <c r="HC59" s="50" t="str">
        <f t="shared" si="50"/>
        <v/>
      </c>
      <c r="HD59" s="50" t="str">
        <f t="shared" si="50"/>
        <v/>
      </c>
      <c r="HE59" s="50" t="str">
        <f t="shared" si="50"/>
        <v/>
      </c>
      <c r="HF59" s="50" t="str">
        <f t="shared" si="50"/>
        <v/>
      </c>
      <c r="HG59" s="50" t="str">
        <f t="shared" si="50"/>
        <v/>
      </c>
      <c r="HH59" s="50" t="str">
        <f t="shared" si="50"/>
        <v/>
      </c>
      <c r="HI59" s="50" t="str">
        <f t="shared" si="50"/>
        <v/>
      </c>
      <c r="HJ59" s="50" t="str">
        <f t="shared" si="50"/>
        <v/>
      </c>
      <c r="HK59" s="50" t="str">
        <f t="shared" si="50"/>
        <v/>
      </c>
      <c r="HL59" s="50" t="str">
        <f t="shared" si="50"/>
        <v/>
      </c>
      <c r="HM59" s="50" t="str">
        <f t="shared" si="50"/>
        <v/>
      </c>
      <c r="HN59" s="50" t="str">
        <f t="shared" si="23"/>
        <v/>
      </c>
      <c r="HO59" s="50" t="str">
        <f t="shared" si="23"/>
        <v/>
      </c>
      <c r="HP59" s="50" t="str">
        <f t="shared" si="23"/>
        <v/>
      </c>
      <c r="HQ59" s="50" t="str">
        <f t="shared" si="23"/>
        <v/>
      </c>
      <c r="HR59" s="116" t="str">
        <f t="shared" si="23"/>
        <v/>
      </c>
    </row>
    <row r="60" spans="1:226" ht="11.15" customHeight="1" x14ac:dyDescent="0.25">
      <c r="A60" s="26" t="s">
        <v>52</v>
      </c>
      <c r="B60" s="27">
        <v>6</v>
      </c>
      <c r="C60" s="28" t="str">
        <f>IF(A60=0,"",VLOOKUP(A60,[3]CO!$A$3:$F$5327,2,0))</f>
        <v>Oficial por el dia</v>
      </c>
      <c r="D60" s="29" t="s">
        <v>53</v>
      </c>
      <c r="E60" s="29"/>
      <c r="F60" s="29"/>
      <c r="G60" s="30" t="str">
        <f>IF(A60=0,"",VLOOKUP(A60,[3]CO!$A$3:$F$5327,3,0))</f>
        <v>JORNAL</v>
      </c>
      <c r="H60" s="29"/>
      <c r="I60" s="31"/>
      <c r="J60" s="31"/>
      <c r="K60" s="31"/>
      <c r="L60" s="31">
        <v>1</v>
      </c>
      <c r="M60" s="32">
        <f t="shared" si="57"/>
        <v>1</v>
      </c>
      <c r="N60" s="32">
        <f>IF(B60=0,"",IF(H60="M",HLOOKUP(B60,$Y$12:$DT$13,2),IF(A60=0,"",VLOOKUP(A60,[3]CO!$A$3:$F$5327,4,0))))</f>
        <v>608.38</v>
      </c>
      <c r="O60" s="32">
        <f t="shared" si="58"/>
        <v>608.38</v>
      </c>
      <c r="P60" s="33">
        <v>6</v>
      </c>
      <c r="Q60" s="34">
        <f t="shared" si="59"/>
        <v>608.38</v>
      </c>
      <c r="R60" s="35" t="str">
        <f t="shared" si="60"/>
        <v/>
      </c>
      <c r="S60" s="122"/>
      <c r="T60" s="53">
        <f>IF(A60=0,"",VLOOKUP(A60,[3]CO!$A$3:$F$5318,5,0))</f>
        <v>0</v>
      </c>
      <c r="U60" s="54">
        <f t="shared" si="61"/>
        <v>0</v>
      </c>
      <c r="V60" s="24"/>
      <c r="W60" s="25"/>
      <c r="X60" s="25"/>
      <c r="Y60" s="64" t="str">
        <f t="shared" si="70"/>
        <v/>
      </c>
      <c r="Z60" s="55" t="str">
        <f t="shared" si="70"/>
        <v/>
      </c>
      <c r="AA60" s="55" t="str">
        <f t="shared" si="70"/>
        <v/>
      </c>
      <c r="AB60" s="55" t="str">
        <f t="shared" si="70"/>
        <v/>
      </c>
      <c r="AC60" s="55" t="str">
        <f t="shared" si="70"/>
        <v/>
      </c>
      <c r="AD60" s="55">
        <f t="shared" si="70"/>
        <v>0</v>
      </c>
      <c r="AE60" s="55" t="str">
        <f t="shared" si="70"/>
        <v/>
      </c>
      <c r="AF60" s="55" t="str">
        <f t="shared" si="70"/>
        <v/>
      </c>
      <c r="AG60" s="55" t="str">
        <f t="shared" si="70"/>
        <v/>
      </c>
      <c r="AH60" s="55" t="str">
        <f t="shared" si="70"/>
        <v/>
      </c>
      <c r="AI60" s="55" t="str">
        <f t="shared" si="70"/>
        <v/>
      </c>
      <c r="AJ60" s="55" t="str">
        <f t="shared" si="70"/>
        <v/>
      </c>
      <c r="AK60" s="55" t="str">
        <f t="shared" si="70"/>
        <v/>
      </c>
      <c r="AL60" s="55" t="str">
        <f t="shared" si="70"/>
        <v/>
      </c>
      <c r="AM60" s="55" t="str">
        <f t="shared" si="70"/>
        <v/>
      </c>
      <c r="AN60" s="55" t="str">
        <f t="shared" si="70"/>
        <v/>
      </c>
      <c r="AO60" s="55" t="str">
        <f t="shared" si="68"/>
        <v/>
      </c>
      <c r="AP60" s="55" t="str">
        <f t="shared" si="68"/>
        <v/>
      </c>
      <c r="AQ60" s="55" t="str">
        <f t="shared" si="68"/>
        <v/>
      </c>
      <c r="AR60" s="55" t="str">
        <f t="shared" si="68"/>
        <v/>
      </c>
      <c r="AS60" s="55" t="str">
        <f t="shared" si="68"/>
        <v/>
      </c>
      <c r="AT60" s="55" t="str">
        <f t="shared" si="68"/>
        <v/>
      </c>
      <c r="AU60" s="55" t="str">
        <f t="shared" si="68"/>
        <v/>
      </c>
      <c r="AV60" s="55" t="str">
        <f t="shared" si="68"/>
        <v/>
      </c>
      <c r="AW60" s="55" t="str">
        <f t="shared" si="68"/>
        <v/>
      </c>
      <c r="AX60" s="55" t="str">
        <f t="shared" si="68"/>
        <v/>
      </c>
      <c r="AY60" s="55" t="str">
        <f t="shared" si="68"/>
        <v/>
      </c>
      <c r="AZ60" s="55" t="str">
        <f t="shared" si="68"/>
        <v/>
      </c>
      <c r="BA60" s="55" t="str">
        <f t="shared" si="68"/>
        <v/>
      </c>
      <c r="BB60" s="55" t="str">
        <f t="shared" si="68"/>
        <v/>
      </c>
      <c r="BC60" s="55" t="str">
        <f t="shared" si="68"/>
        <v/>
      </c>
      <c r="BD60" s="55" t="str">
        <f t="shared" si="70"/>
        <v/>
      </c>
      <c r="BE60" s="55" t="str">
        <f t="shared" si="64"/>
        <v/>
      </c>
      <c r="BF60" s="55" t="str">
        <f t="shared" si="64"/>
        <v/>
      </c>
      <c r="BG60" s="55" t="str">
        <f t="shared" si="64"/>
        <v/>
      </c>
      <c r="BH60" s="55" t="str">
        <f t="shared" si="64"/>
        <v/>
      </c>
      <c r="BI60" s="55" t="str">
        <f t="shared" si="64"/>
        <v/>
      </c>
      <c r="BJ60" s="55" t="str">
        <f t="shared" si="64"/>
        <v/>
      </c>
      <c r="BK60" s="55" t="str">
        <f t="shared" si="64"/>
        <v/>
      </c>
      <c r="BL60" s="55" t="str">
        <f t="shared" ref="BL60:CI60" si="72">IF($B60=BL$12,$U60,"")</f>
        <v/>
      </c>
      <c r="BM60" s="55" t="str">
        <f t="shared" si="72"/>
        <v/>
      </c>
      <c r="BN60" s="55" t="str">
        <f t="shared" si="72"/>
        <v/>
      </c>
      <c r="BO60" s="55" t="str">
        <f t="shared" si="72"/>
        <v/>
      </c>
      <c r="BP60" s="55" t="str">
        <f t="shared" si="72"/>
        <v/>
      </c>
      <c r="BQ60" s="55" t="str">
        <f t="shared" si="72"/>
        <v/>
      </c>
      <c r="BR60" s="55" t="str">
        <f t="shared" si="72"/>
        <v/>
      </c>
      <c r="BS60" s="55" t="str">
        <f t="shared" si="72"/>
        <v/>
      </c>
      <c r="BT60" s="55" t="str">
        <f t="shared" si="72"/>
        <v/>
      </c>
      <c r="BU60" s="55" t="str">
        <f t="shared" si="72"/>
        <v/>
      </c>
      <c r="BV60" s="55" t="str">
        <f t="shared" si="72"/>
        <v/>
      </c>
      <c r="BW60" s="55" t="str">
        <f t="shared" si="72"/>
        <v/>
      </c>
      <c r="BX60" s="55" t="str">
        <f t="shared" si="72"/>
        <v/>
      </c>
      <c r="BY60" s="55" t="str">
        <f t="shared" si="72"/>
        <v/>
      </c>
      <c r="BZ60" s="55" t="str">
        <f t="shared" si="72"/>
        <v/>
      </c>
      <c r="CA60" s="55" t="str">
        <f t="shared" si="72"/>
        <v/>
      </c>
      <c r="CB60" s="55" t="str">
        <f t="shared" si="72"/>
        <v/>
      </c>
      <c r="CC60" s="55" t="str">
        <f t="shared" si="72"/>
        <v/>
      </c>
      <c r="CD60" s="55" t="str">
        <f t="shared" si="72"/>
        <v/>
      </c>
      <c r="CE60" s="55" t="str">
        <f t="shared" si="72"/>
        <v/>
      </c>
      <c r="CF60" s="55" t="str">
        <f t="shared" si="72"/>
        <v/>
      </c>
      <c r="CG60" s="55" t="str">
        <f t="shared" si="72"/>
        <v/>
      </c>
      <c r="CH60" s="55" t="str">
        <f t="shared" si="72"/>
        <v/>
      </c>
      <c r="CI60" s="55" t="str">
        <f t="shared" si="72"/>
        <v/>
      </c>
      <c r="CJ60" s="55" t="str">
        <f t="shared" si="67"/>
        <v/>
      </c>
      <c r="CK60" s="55" t="str">
        <f t="shared" si="67"/>
        <v/>
      </c>
      <c r="CL60" s="55" t="str">
        <f t="shared" si="67"/>
        <v/>
      </c>
      <c r="CM60" s="55" t="str">
        <f t="shared" si="67"/>
        <v/>
      </c>
      <c r="CN60" s="55" t="str">
        <f t="shared" si="67"/>
        <v/>
      </c>
      <c r="CO60" s="55" t="str">
        <f t="shared" si="67"/>
        <v/>
      </c>
      <c r="CP60" s="55" t="str">
        <f t="shared" si="67"/>
        <v/>
      </c>
      <c r="CQ60" s="55" t="str">
        <f t="shared" si="67"/>
        <v/>
      </c>
      <c r="CR60" s="55" t="str">
        <f t="shared" si="67"/>
        <v/>
      </c>
      <c r="CS60" s="55" t="str">
        <f t="shared" si="67"/>
        <v/>
      </c>
      <c r="CT60" s="55" t="str">
        <f t="shared" si="67"/>
        <v/>
      </c>
      <c r="CU60" s="55" t="str">
        <f t="shared" si="67"/>
        <v/>
      </c>
      <c r="CV60" s="55" t="str">
        <f t="shared" si="67"/>
        <v/>
      </c>
      <c r="CW60" s="55" t="str">
        <f t="shared" si="67"/>
        <v/>
      </c>
      <c r="CX60" s="55" t="str">
        <f t="shared" si="67"/>
        <v/>
      </c>
      <c r="CY60" s="55" t="str">
        <f t="shared" si="28"/>
        <v/>
      </c>
      <c r="CZ60" s="55" t="str">
        <f t="shared" si="67"/>
        <v/>
      </c>
      <c r="DA60" s="55" t="str">
        <f t="shared" si="67"/>
        <v/>
      </c>
      <c r="DB60" s="55" t="str">
        <f t="shared" si="67"/>
        <v/>
      </c>
      <c r="DC60" s="55" t="str">
        <f t="shared" si="67"/>
        <v/>
      </c>
      <c r="DD60" s="55" t="str">
        <f t="shared" si="67"/>
        <v/>
      </c>
      <c r="DE60" s="55" t="str">
        <f t="shared" si="67"/>
        <v/>
      </c>
      <c r="DF60" s="55" t="str">
        <f t="shared" si="67"/>
        <v/>
      </c>
      <c r="DG60" s="55" t="str">
        <f t="shared" si="67"/>
        <v/>
      </c>
      <c r="DH60" s="55" t="str">
        <f t="shared" si="67"/>
        <v/>
      </c>
      <c r="DI60" s="55" t="str">
        <f t="shared" si="67"/>
        <v/>
      </c>
      <c r="DJ60" s="55" t="str">
        <f t="shared" si="67"/>
        <v/>
      </c>
      <c r="DK60" s="55" t="str">
        <f t="shared" si="67"/>
        <v/>
      </c>
      <c r="DL60" s="55" t="str">
        <f t="shared" si="67"/>
        <v/>
      </c>
      <c r="DM60" s="55" t="str">
        <f t="shared" si="67"/>
        <v/>
      </c>
      <c r="DN60" s="55" t="str">
        <f t="shared" si="67"/>
        <v/>
      </c>
      <c r="DO60" s="55" t="str">
        <f t="shared" si="67"/>
        <v/>
      </c>
      <c r="DP60" s="55" t="str">
        <f t="shared" si="67"/>
        <v/>
      </c>
      <c r="DQ60" s="55" t="str">
        <f t="shared" si="67"/>
        <v/>
      </c>
      <c r="DR60" s="55" t="str">
        <f t="shared" si="67"/>
        <v/>
      </c>
      <c r="DS60" s="55" t="str">
        <f t="shared" si="67"/>
        <v/>
      </c>
      <c r="DT60" s="110" t="str">
        <f t="shared" si="67"/>
        <v/>
      </c>
      <c r="DU60" s="54"/>
      <c r="DV60" s="25"/>
      <c r="DW60" s="61" t="str">
        <f t="shared" si="71"/>
        <v/>
      </c>
      <c r="DX60" s="50" t="str">
        <f t="shared" si="71"/>
        <v/>
      </c>
      <c r="DY60" s="50" t="str">
        <f t="shared" si="71"/>
        <v/>
      </c>
      <c r="DZ60" s="50" t="str">
        <f t="shared" si="71"/>
        <v/>
      </c>
      <c r="EA60" s="50" t="str">
        <f t="shared" si="71"/>
        <v/>
      </c>
      <c r="EB60" s="50">
        <f t="shared" si="71"/>
        <v>608.38</v>
      </c>
      <c r="EC60" s="50" t="str">
        <f t="shared" si="71"/>
        <v/>
      </c>
      <c r="ED60" s="50" t="str">
        <f t="shared" si="71"/>
        <v/>
      </c>
      <c r="EE60" s="50" t="str">
        <f t="shared" si="71"/>
        <v/>
      </c>
      <c r="EF60" s="50" t="str">
        <f t="shared" si="71"/>
        <v/>
      </c>
      <c r="EG60" s="50" t="str">
        <f t="shared" si="71"/>
        <v/>
      </c>
      <c r="EH60" s="50" t="str">
        <f t="shared" si="71"/>
        <v/>
      </c>
      <c r="EI60" s="50" t="str">
        <f t="shared" si="71"/>
        <v/>
      </c>
      <c r="EJ60" s="50" t="str">
        <f t="shared" si="71"/>
        <v/>
      </c>
      <c r="EK60" s="50" t="str">
        <f t="shared" si="71"/>
        <v/>
      </c>
      <c r="EL60" s="50" t="str">
        <f t="shared" si="71"/>
        <v/>
      </c>
      <c r="EM60" s="50" t="str">
        <f t="shared" si="69"/>
        <v/>
      </c>
      <c r="EN60" s="50" t="str">
        <f t="shared" si="69"/>
        <v/>
      </c>
      <c r="EO60" s="50" t="str">
        <f t="shared" si="69"/>
        <v/>
      </c>
      <c r="EP60" s="50" t="str">
        <f t="shared" si="69"/>
        <v/>
      </c>
      <c r="EQ60" s="50" t="str">
        <f t="shared" si="69"/>
        <v/>
      </c>
      <c r="ER60" s="50" t="str">
        <f t="shared" si="69"/>
        <v/>
      </c>
      <c r="ES60" s="50" t="str">
        <f t="shared" si="69"/>
        <v/>
      </c>
      <c r="ET60" s="50" t="str">
        <f t="shared" si="69"/>
        <v/>
      </c>
      <c r="EU60" s="50" t="str">
        <f t="shared" si="69"/>
        <v/>
      </c>
      <c r="EV60" s="50" t="str">
        <f t="shared" si="69"/>
        <v/>
      </c>
      <c r="EW60" s="50" t="str">
        <f t="shared" si="69"/>
        <v/>
      </c>
      <c r="EX60" s="50" t="str">
        <f t="shared" si="69"/>
        <v/>
      </c>
      <c r="EY60" s="50" t="str">
        <f t="shared" si="69"/>
        <v/>
      </c>
      <c r="EZ60" s="50" t="str">
        <f t="shared" si="69"/>
        <v/>
      </c>
      <c r="FA60" s="50" t="str">
        <f t="shared" si="69"/>
        <v/>
      </c>
      <c r="FB60" s="50" t="str">
        <f t="shared" si="71"/>
        <v/>
      </c>
      <c r="FC60" s="50" t="str">
        <f t="shared" si="65"/>
        <v/>
      </c>
      <c r="FD60" s="50" t="str">
        <f t="shared" si="65"/>
        <v/>
      </c>
      <c r="FE60" s="50" t="str">
        <f t="shared" si="65"/>
        <v/>
      </c>
      <c r="FF60" s="50" t="str">
        <f t="shared" si="65"/>
        <v/>
      </c>
      <c r="FG60" s="50" t="str">
        <f t="shared" si="65"/>
        <v/>
      </c>
      <c r="FH60" s="50" t="str">
        <f t="shared" si="65"/>
        <v/>
      </c>
      <c r="FI60" s="50" t="str">
        <f t="shared" si="65"/>
        <v/>
      </c>
      <c r="FJ60" s="50" t="str">
        <f t="shared" ref="FJ60:GG60" si="73">IF($B60=FJ$12,$O60,"")</f>
        <v/>
      </c>
      <c r="FK60" s="50" t="str">
        <f t="shared" si="73"/>
        <v/>
      </c>
      <c r="FL60" s="50" t="str">
        <f t="shared" si="73"/>
        <v/>
      </c>
      <c r="FM60" s="50" t="str">
        <f t="shared" si="73"/>
        <v/>
      </c>
      <c r="FN60" s="50" t="str">
        <f t="shared" si="73"/>
        <v/>
      </c>
      <c r="FO60" s="50" t="str">
        <f t="shared" si="73"/>
        <v/>
      </c>
      <c r="FP60" s="50" t="str">
        <f t="shared" si="73"/>
        <v/>
      </c>
      <c r="FQ60" s="50" t="str">
        <f t="shared" si="73"/>
        <v/>
      </c>
      <c r="FR60" s="50" t="str">
        <f t="shared" si="73"/>
        <v/>
      </c>
      <c r="FS60" s="50" t="str">
        <f t="shared" si="73"/>
        <v/>
      </c>
      <c r="FT60" s="50" t="str">
        <f t="shared" si="73"/>
        <v/>
      </c>
      <c r="FU60" s="50" t="str">
        <f t="shared" si="73"/>
        <v/>
      </c>
      <c r="FV60" s="50" t="str">
        <f t="shared" si="73"/>
        <v/>
      </c>
      <c r="FW60" s="50" t="str">
        <f t="shared" si="73"/>
        <v/>
      </c>
      <c r="FX60" s="50" t="str">
        <f t="shared" si="73"/>
        <v/>
      </c>
      <c r="FY60" s="50" t="str">
        <f t="shared" si="73"/>
        <v/>
      </c>
      <c r="FZ60" s="50" t="str">
        <f t="shared" si="73"/>
        <v/>
      </c>
      <c r="GA60" s="50" t="str">
        <f t="shared" si="73"/>
        <v/>
      </c>
      <c r="GB60" s="50" t="str">
        <f t="shared" si="73"/>
        <v/>
      </c>
      <c r="GC60" s="50" t="str">
        <f t="shared" si="73"/>
        <v/>
      </c>
      <c r="GD60" s="50" t="str">
        <f t="shared" si="73"/>
        <v/>
      </c>
      <c r="GE60" s="50" t="str">
        <f t="shared" si="73"/>
        <v/>
      </c>
      <c r="GF60" s="50" t="str">
        <f t="shared" si="73"/>
        <v/>
      </c>
      <c r="GG60" s="50" t="str">
        <f t="shared" si="73"/>
        <v/>
      </c>
      <c r="GH60" s="50" t="str">
        <f t="shared" si="54"/>
        <v/>
      </c>
      <c r="GI60" s="50" t="str">
        <f t="shared" si="54"/>
        <v/>
      </c>
      <c r="GJ60" s="50" t="str">
        <f t="shared" si="54"/>
        <v/>
      </c>
      <c r="GK60" s="50" t="str">
        <f t="shared" si="54"/>
        <v/>
      </c>
      <c r="GL60" s="50" t="str">
        <f t="shared" si="54"/>
        <v/>
      </c>
      <c r="GM60" s="50" t="str">
        <f t="shared" si="54"/>
        <v/>
      </c>
      <c r="GN60" s="50" t="str">
        <f t="shared" si="54"/>
        <v/>
      </c>
      <c r="GO60" s="50" t="str">
        <f t="shared" si="54"/>
        <v/>
      </c>
      <c r="GP60" s="50" t="str">
        <f t="shared" si="54"/>
        <v/>
      </c>
      <c r="GQ60" s="50" t="str">
        <f t="shared" si="54"/>
        <v/>
      </c>
      <c r="GR60" s="50" t="str">
        <f t="shared" si="54"/>
        <v/>
      </c>
      <c r="GS60" s="50" t="str">
        <f t="shared" si="54"/>
        <v/>
      </c>
      <c r="GT60" s="50" t="str">
        <f t="shared" si="54"/>
        <v/>
      </c>
      <c r="GU60" s="50" t="str">
        <f t="shared" si="54"/>
        <v/>
      </c>
      <c r="GV60" s="50" t="str">
        <f t="shared" si="54"/>
        <v/>
      </c>
      <c r="GW60" s="50" t="str">
        <f t="shared" si="29"/>
        <v/>
      </c>
      <c r="GX60" s="50" t="str">
        <f t="shared" si="50"/>
        <v/>
      </c>
      <c r="GY60" s="50" t="str">
        <f t="shared" si="50"/>
        <v/>
      </c>
      <c r="GZ60" s="50" t="str">
        <f t="shared" si="50"/>
        <v/>
      </c>
      <c r="HA60" s="50" t="str">
        <f t="shared" si="50"/>
        <v/>
      </c>
      <c r="HB60" s="50" t="str">
        <f t="shared" si="50"/>
        <v/>
      </c>
      <c r="HC60" s="50" t="str">
        <f t="shared" si="50"/>
        <v/>
      </c>
      <c r="HD60" s="50" t="str">
        <f t="shared" si="50"/>
        <v/>
      </c>
      <c r="HE60" s="50" t="str">
        <f t="shared" si="50"/>
        <v/>
      </c>
      <c r="HF60" s="50" t="str">
        <f t="shared" si="50"/>
        <v/>
      </c>
      <c r="HG60" s="50" t="str">
        <f t="shared" si="50"/>
        <v/>
      </c>
      <c r="HH60" s="50" t="str">
        <f t="shared" si="50"/>
        <v/>
      </c>
      <c r="HI60" s="50" t="str">
        <f t="shared" si="50"/>
        <v/>
      </c>
      <c r="HJ60" s="50" t="str">
        <f t="shared" si="50"/>
        <v/>
      </c>
      <c r="HK60" s="50" t="str">
        <f t="shared" si="50"/>
        <v/>
      </c>
      <c r="HL60" s="50" t="str">
        <f t="shared" si="50"/>
        <v/>
      </c>
      <c r="HM60" s="50" t="str">
        <f t="shared" si="50"/>
        <v/>
      </c>
      <c r="HN60" s="50" t="str">
        <f t="shared" si="23"/>
        <v/>
      </c>
      <c r="HO60" s="50" t="str">
        <f t="shared" si="23"/>
        <v/>
      </c>
      <c r="HP60" s="50" t="str">
        <f t="shared" si="23"/>
        <v/>
      </c>
      <c r="HQ60" s="50" t="str">
        <f t="shared" si="23"/>
        <v/>
      </c>
      <c r="HR60" s="116" t="str">
        <f t="shared" si="23"/>
        <v/>
      </c>
    </row>
    <row r="61" spans="1:226" ht="11.15" customHeight="1" x14ac:dyDescent="0.25">
      <c r="A61" s="26"/>
      <c r="B61" s="27"/>
      <c r="C61" s="28" t="str">
        <f>IF(A61=0,"",VLOOKUP(A61,[3]CO!$A$3:$F$5327,2,0))</f>
        <v/>
      </c>
      <c r="D61" s="29" t="s">
        <v>54</v>
      </c>
      <c r="E61" s="29"/>
      <c r="F61" s="29"/>
      <c r="G61" s="30" t="str">
        <f>IF(A61=0,"",VLOOKUP(A61,[3]CO!$A$3:$F$5327,3,0))</f>
        <v/>
      </c>
      <c r="H61" s="29"/>
      <c r="I61" s="31"/>
      <c r="J61" s="31"/>
      <c r="K61" s="31"/>
      <c r="L61" s="31"/>
      <c r="M61" s="32" t="str">
        <f t="shared" si="57"/>
        <v/>
      </c>
      <c r="N61" s="32" t="str">
        <f>IF(B61=0,"",IF(H61="M",HLOOKUP(B61,$Y$12:$DT$13,2),IF(A61=0,"",VLOOKUP(A61,[3]CO!$A$3:$F$5327,4,0))))</f>
        <v/>
      </c>
      <c r="O61" s="32" t="str">
        <f t="shared" si="58"/>
        <v/>
      </c>
      <c r="P61" s="33"/>
      <c r="Q61" s="34" t="str">
        <f t="shared" si="59"/>
        <v/>
      </c>
      <c r="R61" s="35" t="str">
        <f t="shared" si="60"/>
        <v/>
      </c>
      <c r="S61" s="122"/>
      <c r="T61" s="53" t="str">
        <f>IF(A61=0,"",VLOOKUP(A61,[3]CO!$A$3:$F$5318,5,0))</f>
        <v/>
      </c>
      <c r="U61" s="54">
        <f t="shared" si="61"/>
        <v>0</v>
      </c>
      <c r="V61" s="24"/>
      <c r="W61" s="25"/>
      <c r="X61" s="25"/>
      <c r="Y61" s="64" t="str">
        <f t="shared" si="70"/>
        <v/>
      </c>
      <c r="Z61" s="55" t="str">
        <f t="shared" si="70"/>
        <v/>
      </c>
      <c r="AA61" s="55" t="str">
        <f t="shared" si="70"/>
        <v/>
      </c>
      <c r="AB61" s="55" t="str">
        <f t="shared" si="70"/>
        <v/>
      </c>
      <c r="AC61" s="55" t="str">
        <f t="shared" si="70"/>
        <v/>
      </c>
      <c r="AD61" s="55" t="str">
        <f t="shared" si="70"/>
        <v/>
      </c>
      <c r="AE61" s="55" t="str">
        <f t="shared" si="70"/>
        <v/>
      </c>
      <c r="AF61" s="55" t="str">
        <f t="shared" si="70"/>
        <v/>
      </c>
      <c r="AG61" s="55" t="str">
        <f t="shared" si="70"/>
        <v/>
      </c>
      <c r="AH61" s="55" t="str">
        <f t="shared" si="70"/>
        <v/>
      </c>
      <c r="AI61" s="55" t="str">
        <f t="shared" si="70"/>
        <v/>
      </c>
      <c r="AJ61" s="55" t="str">
        <f t="shared" si="70"/>
        <v/>
      </c>
      <c r="AK61" s="55" t="str">
        <f t="shared" si="70"/>
        <v/>
      </c>
      <c r="AL61" s="55" t="str">
        <f t="shared" si="70"/>
        <v/>
      </c>
      <c r="AM61" s="55" t="str">
        <f t="shared" si="70"/>
        <v/>
      </c>
      <c r="AN61" s="55" t="str">
        <f t="shared" si="70"/>
        <v/>
      </c>
      <c r="AO61" s="55" t="str">
        <f t="shared" si="68"/>
        <v/>
      </c>
      <c r="AP61" s="55" t="str">
        <f t="shared" si="68"/>
        <v/>
      </c>
      <c r="AQ61" s="55" t="str">
        <f t="shared" si="68"/>
        <v/>
      </c>
      <c r="AR61" s="55" t="str">
        <f t="shared" si="68"/>
        <v/>
      </c>
      <c r="AS61" s="55" t="str">
        <f t="shared" si="68"/>
        <v/>
      </c>
      <c r="AT61" s="55" t="str">
        <f t="shared" si="68"/>
        <v/>
      </c>
      <c r="AU61" s="55" t="str">
        <f t="shared" si="68"/>
        <v/>
      </c>
      <c r="AV61" s="55" t="str">
        <f t="shared" si="68"/>
        <v/>
      </c>
      <c r="AW61" s="55" t="str">
        <f t="shared" si="68"/>
        <v/>
      </c>
      <c r="AX61" s="55" t="str">
        <f t="shared" si="68"/>
        <v/>
      </c>
      <c r="AY61" s="55" t="str">
        <f t="shared" si="68"/>
        <v/>
      </c>
      <c r="AZ61" s="55" t="str">
        <f t="shared" si="68"/>
        <v/>
      </c>
      <c r="BA61" s="55" t="str">
        <f t="shared" si="68"/>
        <v/>
      </c>
      <c r="BB61" s="55" t="str">
        <f t="shared" si="68"/>
        <v/>
      </c>
      <c r="BC61" s="55" t="str">
        <f t="shared" si="68"/>
        <v/>
      </c>
      <c r="BD61" s="55" t="str">
        <f t="shared" si="70"/>
        <v/>
      </c>
      <c r="BE61" s="55" t="str">
        <f t="shared" ref="BE61:CI69" si="74">IF($B61=BE$12,$U61,"")</f>
        <v/>
      </c>
      <c r="BF61" s="55" t="str">
        <f t="shared" si="74"/>
        <v/>
      </c>
      <c r="BG61" s="55" t="str">
        <f t="shared" si="74"/>
        <v/>
      </c>
      <c r="BH61" s="55" t="str">
        <f t="shared" si="74"/>
        <v/>
      </c>
      <c r="BI61" s="55" t="str">
        <f t="shared" si="74"/>
        <v/>
      </c>
      <c r="BJ61" s="55" t="str">
        <f t="shared" si="74"/>
        <v/>
      </c>
      <c r="BK61" s="55" t="str">
        <f t="shared" si="74"/>
        <v/>
      </c>
      <c r="BL61" s="55" t="str">
        <f t="shared" si="74"/>
        <v/>
      </c>
      <c r="BM61" s="55" t="str">
        <f t="shared" si="74"/>
        <v/>
      </c>
      <c r="BN61" s="55" t="str">
        <f t="shared" si="74"/>
        <v/>
      </c>
      <c r="BO61" s="55" t="str">
        <f t="shared" si="74"/>
        <v/>
      </c>
      <c r="BP61" s="55" t="str">
        <f t="shared" si="74"/>
        <v/>
      </c>
      <c r="BQ61" s="55" t="str">
        <f t="shared" si="74"/>
        <v/>
      </c>
      <c r="BR61" s="55" t="str">
        <f t="shared" si="74"/>
        <v/>
      </c>
      <c r="BS61" s="55" t="str">
        <f t="shared" si="74"/>
        <v/>
      </c>
      <c r="BT61" s="55" t="str">
        <f t="shared" si="74"/>
        <v/>
      </c>
      <c r="BU61" s="55" t="str">
        <f t="shared" si="74"/>
        <v/>
      </c>
      <c r="BV61" s="55" t="str">
        <f t="shared" si="74"/>
        <v/>
      </c>
      <c r="BW61" s="55" t="str">
        <f t="shared" si="74"/>
        <v/>
      </c>
      <c r="BX61" s="55" t="str">
        <f t="shared" si="74"/>
        <v/>
      </c>
      <c r="BY61" s="55" t="str">
        <f t="shared" si="74"/>
        <v/>
      </c>
      <c r="BZ61" s="55" t="str">
        <f t="shared" si="74"/>
        <v/>
      </c>
      <c r="CA61" s="55" t="str">
        <f t="shared" si="74"/>
        <v/>
      </c>
      <c r="CB61" s="55" t="str">
        <f t="shared" si="74"/>
        <v/>
      </c>
      <c r="CC61" s="55" t="str">
        <f t="shared" si="74"/>
        <v/>
      </c>
      <c r="CD61" s="55" t="str">
        <f t="shared" si="74"/>
        <v/>
      </c>
      <c r="CE61" s="55" t="str">
        <f t="shared" si="74"/>
        <v/>
      </c>
      <c r="CF61" s="55" t="str">
        <f t="shared" si="74"/>
        <v/>
      </c>
      <c r="CG61" s="55" t="str">
        <f t="shared" si="74"/>
        <v/>
      </c>
      <c r="CH61" s="55" t="str">
        <f t="shared" si="74"/>
        <v/>
      </c>
      <c r="CI61" s="55" t="str">
        <f t="shared" si="74"/>
        <v/>
      </c>
      <c r="CJ61" s="55" t="str">
        <f t="shared" si="67"/>
        <v/>
      </c>
      <c r="CK61" s="55" t="str">
        <f t="shared" si="67"/>
        <v/>
      </c>
      <c r="CL61" s="55" t="str">
        <f t="shared" si="67"/>
        <v/>
      </c>
      <c r="CM61" s="55" t="str">
        <f t="shared" si="67"/>
        <v/>
      </c>
      <c r="CN61" s="55" t="str">
        <f t="shared" si="67"/>
        <v/>
      </c>
      <c r="CO61" s="55" t="str">
        <f t="shared" si="67"/>
        <v/>
      </c>
      <c r="CP61" s="55" t="str">
        <f t="shared" si="67"/>
        <v/>
      </c>
      <c r="CQ61" s="55" t="str">
        <f t="shared" si="67"/>
        <v/>
      </c>
      <c r="CR61" s="55" t="str">
        <f t="shared" si="67"/>
        <v/>
      </c>
      <c r="CS61" s="55" t="str">
        <f t="shared" si="67"/>
        <v/>
      </c>
      <c r="CT61" s="55" t="str">
        <f t="shared" si="67"/>
        <v/>
      </c>
      <c r="CU61" s="55" t="str">
        <f t="shared" si="67"/>
        <v/>
      </c>
      <c r="CV61" s="55" t="str">
        <f t="shared" si="67"/>
        <v/>
      </c>
      <c r="CW61" s="55" t="str">
        <f t="shared" si="67"/>
        <v/>
      </c>
      <c r="CX61" s="55" t="str">
        <f t="shared" si="67"/>
        <v/>
      </c>
      <c r="CY61" s="55" t="str">
        <f t="shared" si="28"/>
        <v/>
      </c>
      <c r="CZ61" s="55" t="str">
        <f t="shared" si="67"/>
        <v/>
      </c>
      <c r="DA61" s="55" t="str">
        <f t="shared" si="67"/>
        <v/>
      </c>
      <c r="DB61" s="55" t="str">
        <f t="shared" si="67"/>
        <v/>
      </c>
      <c r="DC61" s="55" t="str">
        <f t="shared" si="67"/>
        <v/>
      </c>
      <c r="DD61" s="55" t="str">
        <f t="shared" si="67"/>
        <v/>
      </c>
      <c r="DE61" s="55" t="str">
        <f t="shared" si="67"/>
        <v/>
      </c>
      <c r="DF61" s="55" t="str">
        <f t="shared" si="67"/>
        <v/>
      </c>
      <c r="DG61" s="55" t="str">
        <f t="shared" si="67"/>
        <v/>
      </c>
      <c r="DH61" s="55" t="str">
        <f t="shared" si="67"/>
        <v/>
      </c>
      <c r="DI61" s="55" t="str">
        <f t="shared" si="67"/>
        <v/>
      </c>
      <c r="DJ61" s="55" t="str">
        <f t="shared" si="67"/>
        <v/>
      </c>
      <c r="DK61" s="55" t="str">
        <f t="shared" si="67"/>
        <v/>
      </c>
      <c r="DL61" s="55" t="str">
        <f t="shared" si="67"/>
        <v/>
      </c>
      <c r="DM61" s="55" t="str">
        <f t="shared" si="67"/>
        <v/>
      </c>
      <c r="DN61" s="55" t="str">
        <f t="shared" si="67"/>
        <v/>
      </c>
      <c r="DO61" s="55" t="str">
        <f t="shared" si="67"/>
        <v/>
      </c>
      <c r="DP61" s="55" t="str">
        <f t="shared" si="67"/>
        <v/>
      </c>
      <c r="DQ61" s="55" t="str">
        <f t="shared" si="67"/>
        <v/>
      </c>
      <c r="DR61" s="55" t="str">
        <f t="shared" si="67"/>
        <v/>
      </c>
      <c r="DS61" s="55" t="str">
        <f t="shared" si="67"/>
        <v/>
      </c>
      <c r="DT61" s="110" t="str">
        <f t="shared" si="67"/>
        <v/>
      </c>
      <c r="DU61" s="54"/>
      <c r="DV61" s="25"/>
      <c r="DW61" s="61" t="str">
        <f t="shared" si="71"/>
        <v/>
      </c>
      <c r="DX61" s="50" t="str">
        <f t="shared" si="71"/>
        <v/>
      </c>
      <c r="DY61" s="50" t="str">
        <f t="shared" si="71"/>
        <v/>
      </c>
      <c r="DZ61" s="50" t="str">
        <f t="shared" si="71"/>
        <v/>
      </c>
      <c r="EA61" s="50" t="str">
        <f t="shared" si="71"/>
        <v/>
      </c>
      <c r="EB61" s="50" t="str">
        <f t="shared" si="71"/>
        <v/>
      </c>
      <c r="EC61" s="50" t="str">
        <f t="shared" si="71"/>
        <v/>
      </c>
      <c r="ED61" s="50" t="str">
        <f t="shared" si="71"/>
        <v/>
      </c>
      <c r="EE61" s="50" t="str">
        <f t="shared" si="71"/>
        <v/>
      </c>
      <c r="EF61" s="50" t="str">
        <f t="shared" si="71"/>
        <v/>
      </c>
      <c r="EG61" s="50" t="str">
        <f t="shared" si="71"/>
        <v/>
      </c>
      <c r="EH61" s="50" t="str">
        <f t="shared" si="71"/>
        <v/>
      </c>
      <c r="EI61" s="50" t="str">
        <f t="shared" si="71"/>
        <v/>
      </c>
      <c r="EJ61" s="50" t="str">
        <f t="shared" si="71"/>
        <v/>
      </c>
      <c r="EK61" s="50" t="str">
        <f t="shared" si="71"/>
        <v/>
      </c>
      <c r="EL61" s="50" t="str">
        <f t="shared" si="71"/>
        <v/>
      </c>
      <c r="EM61" s="50" t="str">
        <f t="shared" si="69"/>
        <v/>
      </c>
      <c r="EN61" s="50" t="str">
        <f t="shared" si="69"/>
        <v/>
      </c>
      <c r="EO61" s="50" t="str">
        <f t="shared" si="69"/>
        <v/>
      </c>
      <c r="EP61" s="50" t="str">
        <f t="shared" si="69"/>
        <v/>
      </c>
      <c r="EQ61" s="50" t="str">
        <f t="shared" si="69"/>
        <v/>
      </c>
      <c r="ER61" s="50" t="str">
        <f t="shared" si="69"/>
        <v/>
      </c>
      <c r="ES61" s="50" t="str">
        <f t="shared" si="69"/>
        <v/>
      </c>
      <c r="ET61" s="50" t="str">
        <f t="shared" si="69"/>
        <v/>
      </c>
      <c r="EU61" s="50" t="str">
        <f t="shared" si="69"/>
        <v/>
      </c>
      <c r="EV61" s="50" t="str">
        <f t="shared" si="69"/>
        <v/>
      </c>
      <c r="EW61" s="50" t="str">
        <f t="shared" si="69"/>
        <v/>
      </c>
      <c r="EX61" s="50" t="str">
        <f t="shared" si="69"/>
        <v/>
      </c>
      <c r="EY61" s="50" t="str">
        <f t="shared" si="69"/>
        <v/>
      </c>
      <c r="EZ61" s="50" t="str">
        <f t="shared" si="69"/>
        <v/>
      </c>
      <c r="FA61" s="50" t="str">
        <f t="shared" si="69"/>
        <v/>
      </c>
      <c r="FB61" s="50" t="str">
        <f t="shared" si="71"/>
        <v/>
      </c>
      <c r="FC61" s="50" t="str">
        <f t="shared" ref="FC61:GG69" si="75">IF($B61=FC$12,$O61,"")</f>
        <v/>
      </c>
      <c r="FD61" s="50" t="str">
        <f t="shared" si="75"/>
        <v/>
      </c>
      <c r="FE61" s="50" t="str">
        <f t="shared" si="75"/>
        <v/>
      </c>
      <c r="FF61" s="50" t="str">
        <f t="shared" si="75"/>
        <v/>
      </c>
      <c r="FG61" s="50" t="str">
        <f t="shared" si="75"/>
        <v/>
      </c>
      <c r="FH61" s="50" t="str">
        <f t="shared" si="75"/>
        <v/>
      </c>
      <c r="FI61" s="50" t="str">
        <f t="shared" si="75"/>
        <v/>
      </c>
      <c r="FJ61" s="50" t="str">
        <f t="shared" si="75"/>
        <v/>
      </c>
      <c r="FK61" s="50" t="str">
        <f t="shared" si="75"/>
        <v/>
      </c>
      <c r="FL61" s="50" t="str">
        <f t="shared" si="75"/>
        <v/>
      </c>
      <c r="FM61" s="50" t="str">
        <f t="shared" si="75"/>
        <v/>
      </c>
      <c r="FN61" s="50" t="str">
        <f t="shared" si="75"/>
        <v/>
      </c>
      <c r="FO61" s="50" t="str">
        <f t="shared" si="75"/>
        <v/>
      </c>
      <c r="FP61" s="50" t="str">
        <f t="shared" si="75"/>
        <v/>
      </c>
      <c r="FQ61" s="50" t="str">
        <f t="shared" si="75"/>
        <v/>
      </c>
      <c r="FR61" s="50" t="str">
        <f t="shared" si="75"/>
        <v/>
      </c>
      <c r="FS61" s="50" t="str">
        <f t="shared" si="75"/>
        <v/>
      </c>
      <c r="FT61" s="50" t="str">
        <f t="shared" si="75"/>
        <v/>
      </c>
      <c r="FU61" s="50" t="str">
        <f t="shared" si="75"/>
        <v/>
      </c>
      <c r="FV61" s="50" t="str">
        <f t="shared" si="75"/>
        <v/>
      </c>
      <c r="FW61" s="50" t="str">
        <f t="shared" si="75"/>
        <v/>
      </c>
      <c r="FX61" s="50" t="str">
        <f t="shared" si="75"/>
        <v/>
      </c>
      <c r="FY61" s="50" t="str">
        <f t="shared" si="75"/>
        <v/>
      </c>
      <c r="FZ61" s="50" t="str">
        <f t="shared" si="75"/>
        <v/>
      </c>
      <c r="GA61" s="50" t="str">
        <f t="shared" si="75"/>
        <v/>
      </c>
      <c r="GB61" s="50" t="str">
        <f t="shared" si="75"/>
        <v/>
      </c>
      <c r="GC61" s="50" t="str">
        <f t="shared" si="75"/>
        <v/>
      </c>
      <c r="GD61" s="50" t="str">
        <f t="shared" si="75"/>
        <v/>
      </c>
      <c r="GE61" s="50" t="str">
        <f t="shared" si="75"/>
        <v/>
      </c>
      <c r="GF61" s="50" t="str">
        <f t="shared" si="75"/>
        <v/>
      </c>
      <c r="GG61" s="50" t="str">
        <f t="shared" si="75"/>
        <v/>
      </c>
      <c r="GH61" s="50" t="str">
        <f t="shared" si="54"/>
        <v/>
      </c>
      <c r="GI61" s="50" t="str">
        <f t="shared" si="54"/>
        <v/>
      </c>
      <c r="GJ61" s="50" t="str">
        <f t="shared" si="54"/>
        <v/>
      </c>
      <c r="GK61" s="50" t="str">
        <f t="shared" si="54"/>
        <v/>
      </c>
      <c r="GL61" s="50" t="str">
        <f t="shared" si="54"/>
        <v/>
      </c>
      <c r="GM61" s="50" t="str">
        <f t="shared" si="54"/>
        <v/>
      </c>
      <c r="GN61" s="50" t="str">
        <f t="shared" si="54"/>
        <v/>
      </c>
      <c r="GO61" s="50" t="str">
        <f t="shared" si="54"/>
        <v/>
      </c>
      <c r="GP61" s="50" t="str">
        <f t="shared" si="54"/>
        <v/>
      </c>
      <c r="GQ61" s="50" t="str">
        <f t="shared" si="54"/>
        <v/>
      </c>
      <c r="GR61" s="50" t="str">
        <f t="shared" si="54"/>
        <v/>
      </c>
      <c r="GS61" s="50" t="str">
        <f t="shared" si="54"/>
        <v/>
      </c>
      <c r="GT61" s="50" t="str">
        <f t="shared" si="54"/>
        <v/>
      </c>
      <c r="GU61" s="50" t="str">
        <f t="shared" si="54"/>
        <v/>
      </c>
      <c r="GV61" s="50" t="str">
        <f t="shared" si="54"/>
        <v/>
      </c>
      <c r="GW61" s="50" t="str">
        <f t="shared" si="29"/>
        <v/>
      </c>
      <c r="GX61" s="50" t="str">
        <f t="shared" si="29"/>
        <v/>
      </c>
      <c r="GY61" s="50" t="str">
        <f t="shared" si="29"/>
        <v/>
      </c>
      <c r="GZ61" s="50" t="str">
        <f t="shared" si="29"/>
        <v/>
      </c>
      <c r="HA61" s="50" t="str">
        <f t="shared" si="29"/>
        <v/>
      </c>
      <c r="HB61" s="50" t="str">
        <f t="shared" si="29"/>
        <v/>
      </c>
      <c r="HC61" s="50" t="str">
        <f t="shared" si="29"/>
        <v/>
      </c>
      <c r="HD61" s="50" t="str">
        <f t="shared" si="29"/>
        <v/>
      </c>
      <c r="HE61" s="50" t="str">
        <f t="shared" si="29"/>
        <v/>
      </c>
      <c r="HF61" s="50" t="str">
        <f t="shared" si="29"/>
        <v/>
      </c>
      <c r="HG61" s="50" t="str">
        <f t="shared" si="29"/>
        <v/>
      </c>
      <c r="HH61" s="50" t="str">
        <f t="shared" si="29"/>
        <v/>
      </c>
      <c r="HI61" s="50" t="str">
        <f t="shared" si="29"/>
        <v/>
      </c>
      <c r="HJ61" s="50" t="str">
        <f t="shared" si="29"/>
        <v/>
      </c>
      <c r="HK61" s="50" t="str">
        <f t="shared" si="29"/>
        <v/>
      </c>
      <c r="HL61" s="50" t="str">
        <f t="shared" si="29"/>
        <v/>
      </c>
      <c r="HM61" s="50" t="str">
        <f t="shared" ref="HM61:HM67" si="76">IF($B61=HM$12,$O61,"")</f>
        <v/>
      </c>
      <c r="HN61" s="50" t="str">
        <f t="shared" si="23"/>
        <v/>
      </c>
      <c r="HO61" s="50" t="str">
        <f t="shared" si="23"/>
        <v/>
      </c>
      <c r="HP61" s="50" t="str">
        <f t="shared" si="23"/>
        <v/>
      </c>
      <c r="HQ61" s="50" t="str">
        <f t="shared" si="23"/>
        <v/>
      </c>
      <c r="HR61" s="116" t="str">
        <f t="shared" si="23"/>
        <v/>
      </c>
    </row>
    <row r="62" spans="1:226" ht="11.15" customHeight="1" x14ac:dyDescent="0.25">
      <c r="A62" s="26"/>
      <c r="B62" s="27"/>
      <c r="C62" s="28" t="str">
        <f>IF(A62=0,"",VLOOKUP(A62,[3]CO!$A$3:$F$5327,2,0))</f>
        <v/>
      </c>
      <c r="D62" s="29"/>
      <c r="E62" s="29"/>
      <c r="F62" s="29"/>
      <c r="G62" s="30" t="str">
        <f>IF(A62=0,"",VLOOKUP(A62,[3]CO!$A$3:$F$5327,3,0))</f>
        <v/>
      </c>
      <c r="H62" s="29"/>
      <c r="I62" s="31"/>
      <c r="J62" s="31"/>
      <c r="K62" s="31"/>
      <c r="L62" s="31"/>
      <c r="M62" s="32" t="str">
        <f t="shared" si="57"/>
        <v/>
      </c>
      <c r="N62" s="32" t="str">
        <f>IF(B62=0,"",IF(H62="M",HLOOKUP(B62,$Y$12:$DT$13,2),IF(A62=0,"",VLOOKUP(A62,[3]CO!$A$3:$F$5327,4,0))))</f>
        <v/>
      </c>
      <c r="O62" s="32" t="str">
        <f t="shared" si="58"/>
        <v/>
      </c>
      <c r="P62" s="33"/>
      <c r="Q62" s="34" t="str">
        <f t="shared" si="59"/>
        <v/>
      </c>
      <c r="R62" s="35" t="str">
        <f t="shared" si="60"/>
        <v/>
      </c>
      <c r="S62" s="122"/>
      <c r="T62" s="53" t="str">
        <f>IF(A62=0,"",VLOOKUP(A62,[3]CO!$A$3:$F$5318,5,0))</f>
        <v/>
      </c>
      <c r="U62" s="54">
        <f t="shared" si="61"/>
        <v>0</v>
      </c>
      <c r="V62" s="24"/>
      <c r="W62" s="25"/>
      <c r="X62" s="25"/>
      <c r="Y62" s="64" t="str">
        <f t="shared" si="70"/>
        <v/>
      </c>
      <c r="Z62" s="55" t="str">
        <f t="shared" si="70"/>
        <v/>
      </c>
      <c r="AA62" s="55" t="str">
        <f t="shared" si="70"/>
        <v/>
      </c>
      <c r="AB62" s="55" t="str">
        <f t="shared" si="70"/>
        <v/>
      </c>
      <c r="AC62" s="55" t="str">
        <f t="shared" si="70"/>
        <v/>
      </c>
      <c r="AD62" s="55" t="str">
        <f t="shared" si="70"/>
        <v/>
      </c>
      <c r="AE62" s="55" t="str">
        <f t="shared" si="70"/>
        <v/>
      </c>
      <c r="AF62" s="55" t="str">
        <f t="shared" si="70"/>
        <v/>
      </c>
      <c r="AG62" s="55" t="str">
        <f t="shared" si="70"/>
        <v/>
      </c>
      <c r="AH62" s="55" t="str">
        <f t="shared" si="70"/>
        <v/>
      </c>
      <c r="AI62" s="55" t="str">
        <f t="shared" si="70"/>
        <v/>
      </c>
      <c r="AJ62" s="55" t="str">
        <f t="shared" si="70"/>
        <v/>
      </c>
      <c r="AK62" s="55" t="str">
        <f t="shared" si="70"/>
        <v/>
      </c>
      <c r="AL62" s="55" t="str">
        <f t="shared" si="70"/>
        <v/>
      </c>
      <c r="AM62" s="55" t="str">
        <f t="shared" si="70"/>
        <v/>
      </c>
      <c r="AN62" s="55" t="str">
        <f t="shared" si="70"/>
        <v/>
      </c>
      <c r="AO62" s="55" t="str">
        <f t="shared" si="68"/>
        <v/>
      </c>
      <c r="AP62" s="55" t="str">
        <f t="shared" si="68"/>
        <v/>
      </c>
      <c r="AQ62" s="55" t="str">
        <f t="shared" si="68"/>
        <v/>
      </c>
      <c r="AR62" s="55" t="str">
        <f t="shared" si="68"/>
        <v/>
      </c>
      <c r="AS62" s="55" t="str">
        <f t="shared" si="68"/>
        <v/>
      </c>
      <c r="AT62" s="55" t="str">
        <f t="shared" si="68"/>
        <v/>
      </c>
      <c r="AU62" s="55" t="str">
        <f t="shared" si="68"/>
        <v/>
      </c>
      <c r="AV62" s="55" t="str">
        <f t="shared" si="68"/>
        <v/>
      </c>
      <c r="AW62" s="55" t="str">
        <f t="shared" si="68"/>
        <v/>
      </c>
      <c r="AX62" s="55" t="str">
        <f t="shared" si="68"/>
        <v/>
      </c>
      <c r="AY62" s="55" t="str">
        <f t="shared" si="68"/>
        <v/>
      </c>
      <c r="AZ62" s="55" t="str">
        <f t="shared" si="68"/>
        <v/>
      </c>
      <c r="BA62" s="55" t="str">
        <f t="shared" si="68"/>
        <v/>
      </c>
      <c r="BB62" s="55" t="str">
        <f t="shared" si="68"/>
        <v/>
      </c>
      <c r="BC62" s="55" t="str">
        <f t="shared" si="68"/>
        <v/>
      </c>
      <c r="BD62" s="55" t="str">
        <f t="shared" si="70"/>
        <v/>
      </c>
      <c r="BE62" s="55" t="str">
        <f t="shared" si="74"/>
        <v/>
      </c>
      <c r="BF62" s="55" t="str">
        <f t="shared" si="74"/>
        <v/>
      </c>
      <c r="BG62" s="55" t="str">
        <f t="shared" si="74"/>
        <v/>
      </c>
      <c r="BH62" s="55" t="str">
        <f t="shared" si="74"/>
        <v/>
      </c>
      <c r="BI62" s="55" t="str">
        <f t="shared" si="74"/>
        <v/>
      </c>
      <c r="BJ62" s="55" t="str">
        <f t="shared" si="74"/>
        <v/>
      </c>
      <c r="BK62" s="55" t="str">
        <f t="shared" si="74"/>
        <v/>
      </c>
      <c r="BL62" s="55" t="str">
        <f t="shared" si="74"/>
        <v/>
      </c>
      <c r="BM62" s="55" t="str">
        <f t="shared" si="74"/>
        <v/>
      </c>
      <c r="BN62" s="55" t="str">
        <f t="shared" si="74"/>
        <v/>
      </c>
      <c r="BO62" s="55" t="str">
        <f t="shared" si="74"/>
        <v/>
      </c>
      <c r="BP62" s="55" t="str">
        <f t="shared" si="74"/>
        <v/>
      </c>
      <c r="BQ62" s="55" t="str">
        <f t="shared" si="74"/>
        <v/>
      </c>
      <c r="BR62" s="55" t="str">
        <f t="shared" si="74"/>
        <v/>
      </c>
      <c r="BS62" s="55" t="str">
        <f t="shared" si="74"/>
        <v/>
      </c>
      <c r="BT62" s="55" t="str">
        <f t="shared" si="74"/>
        <v/>
      </c>
      <c r="BU62" s="55" t="str">
        <f t="shared" si="74"/>
        <v/>
      </c>
      <c r="BV62" s="55" t="str">
        <f t="shared" si="74"/>
        <v/>
      </c>
      <c r="BW62" s="55" t="str">
        <f t="shared" si="74"/>
        <v/>
      </c>
      <c r="BX62" s="55" t="str">
        <f t="shared" si="74"/>
        <v/>
      </c>
      <c r="BY62" s="55" t="str">
        <f t="shared" si="74"/>
        <v/>
      </c>
      <c r="BZ62" s="55" t="str">
        <f t="shared" si="74"/>
        <v/>
      </c>
      <c r="CA62" s="55" t="str">
        <f t="shared" si="74"/>
        <v/>
      </c>
      <c r="CB62" s="55" t="str">
        <f t="shared" si="74"/>
        <v/>
      </c>
      <c r="CC62" s="55" t="str">
        <f t="shared" si="74"/>
        <v/>
      </c>
      <c r="CD62" s="55" t="str">
        <f t="shared" si="74"/>
        <v/>
      </c>
      <c r="CE62" s="55" t="str">
        <f t="shared" si="74"/>
        <v/>
      </c>
      <c r="CF62" s="55" t="str">
        <f t="shared" si="74"/>
        <v/>
      </c>
      <c r="CG62" s="55" t="str">
        <f t="shared" si="74"/>
        <v/>
      </c>
      <c r="CH62" s="55" t="str">
        <f t="shared" si="74"/>
        <v/>
      </c>
      <c r="CI62" s="55" t="str">
        <f t="shared" si="74"/>
        <v/>
      </c>
      <c r="CJ62" s="55" t="str">
        <f t="shared" si="67"/>
        <v/>
      </c>
      <c r="CK62" s="55" t="str">
        <f t="shared" si="67"/>
        <v/>
      </c>
      <c r="CL62" s="55" t="str">
        <f t="shared" si="67"/>
        <v/>
      </c>
      <c r="CM62" s="55" t="str">
        <f t="shared" ref="CM62:DT62" si="77">IF($B62=CM$12,$U62,"")</f>
        <v/>
      </c>
      <c r="CN62" s="55" t="str">
        <f t="shared" si="77"/>
        <v/>
      </c>
      <c r="CO62" s="55" t="str">
        <f t="shared" si="77"/>
        <v/>
      </c>
      <c r="CP62" s="55" t="str">
        <f t="shared" si="77"/>
        <v/>
      </c>
      <c r="CQ62" s="55" t="str">
        <f t="shared" si="77"/>
        <v/>
      </c>
      <c r="CR62" s="55" t="str">
        <f t="shared" si="77"/>
        <v/>
      </c>
      <c r="CS62" s="55" t="str">
        <f t="shared" si="77"/>
        <v/>
      </c>
      <c r="CT62" s="55" t="str">
        <f t="shared" si="77"/>
        <v/>
      </c>
      <c r="CU62" s="55" t="str">
        <f t="shared" si="77"/>
        <v/>
      </c>
      <c r="CV62" s="55" t="str">
        <f t="shared" si="77"/>
        <v/>
      </c>
      <c r="CW62" s="55" t="str">
        <f t="shared" si="77"/>
        <v/>
      </c>
      <c r="CX62" s="55" t="str">
        <f t="shared" si="77"/>
        <v/>
      </c>
      <c r="CY62" s="55" t="str">
        <f t="shared" si="28"/>
        <v/>
      </c>
      <c r="CZ62" s="55" t="str">
        <f t="shared" si="77"/>
        <v/>
      </c>
      <c r="DA62" s="55" t="str">
        <f t="shared" si="77"/>
        <v/>
      </c>
      <c r="DB62" s="55" t="str">
        <f t="shared" si="77"/>
        <v/>
      </c>
      <c r="DC62" s="55" t="str">
        <f t="shared" si="77"/>
        <v/>
      </c>
      <c r="DD62" s="55" t="str">
        <f t="shared" si="77"/>
        <v/>
      </c>
      <c r="DE62" s="55" t="str">
        <f t="shared" si="77"/>
        <v/>
      </c>
      <c r="DF62" s="55" t="str">
        <f t="shared" si="77"/>
        <v/>
      </c>
      <c r="DG62" s="55" t="str">
        <f t="shared" si="77"/>
        <v/>
      </c>
      <c r="DH62" s="55" t="str">
        <f t="shared" si="77"/>
        <v/>
      </c>
      <c r="DI62" s="55" t="str">
        <f t="shared" si="77"/>
        <v/>
      </c>
      <c r="DJ62" s="55" t="str">
        <f t="shared" si="77"/>
        <v/>
      </c>
      <c r="DK62" s="55" t="str">
        <f t="shared" si="77"/>
        <v/>
      </c>
      <c r="DL62" s="55" t="str">
        <f t="shared" si="77"/>
        <v/>
      </c>
      <c r="DM62" s="55" t="str">
        <f t="shared" si="77"/>
        <v/>
      </c>
      <c r="DN62" s="55" t="str">
        <f t="shared" si="77"/>
        <v/>
      </c>
      <c r="DO62" s="55" t="str">
        <f t="shared" si="77"/>
        <v/>
      </c>
      <c r="DP62" s="55" t="str">
        <f t="shared" si="77"/>
        <v/>
      </c>
      <c r="DQ62" s="55" t="str">
        <f t="shared" si="77"/>
        <v/>
      </c>
      <c r="DR62" s="55" t="str">
        <f t="shared" si="77"/>
        <v/>
      </c>
      <c r="DS62" s="55" t="str">
        <f t="shared" si="77"/>
        <v/>
      </c>
      <c r="DT62" s="110" t="str">
        <f t="shared" si="77"/>
        <v/>
      </c>
      <c r="DU62" s="54"/>
      <c r="DV62" s="25"/>
      <c r="DW62" s="61" t="str">
        <f t="shared" si="71"/>
        <v/>
      </c>
      <c r="DX62" s="50" t="str">
        <f t="shared" si="71"/>
        <v/>
      </c>
      <c r="DY62" s="50" t="str">
        <f t="shared" si="71"/>
        <v/>
      </c>
      <c r="DZ62" s="50" t="str">
        <f t="shared" si="71"/>
        <v/>
      </c>
      <c r="EA62" s="50" t="str">
        <f t="shared" si="71"/>
        <v/>
      </c>
      <c r="EB62" s="50" t="str">
        <f t="shared" si="71"/>
        <v/>
      </c>
      <c r="EC62" s="50" t="str">
        <f t="shared" si="71"/>
        <v/>
      </c>
      <c r="ED62" s="50" t="str">
        <f t="shared" si="71"/>
        <v/>
      </c>
      <c r="EE62" s="50" t="str">
        <f t="shared" si="71"/>
        <v/>
      </c>
      <c r="EF62" s="50" t="str">
        <f t="shared" si="71"/>
        <v/>
      </c>
      <c r="EG62" s="50" t="str">
        <f t="shared" si="71"/>
        <v/>
      </c>
      <c r="EH62" s="50" t="str">
        <f t="shared" si="71"/>
        <v/>
      </c>
      <c r="EI62" s="50" t="str">
        <f t="shared" si="71"/>
        <v/>
      </c>
      <c r="EJ62" s="50" t="str">
        <f t="shared" si="71"/>
        <v/>
      </c>
      <c r="EK62" s="50" t="str">
        <f t="shared" si="71"/>
        <v/>
      </c>
      <c r="EL62" s="50" t="str">
        <f t="shared" si="71"/>
        <v/>
      </c>
      <c r="EM62" s="50" t="str">
        <f t="shared" si="69"/>
        <v/>
      </c>
      <c r="EN62" s="50" t="str">
        <f t="shared" si="69"/>
        <v/>
      </c>
      <c r="EO62" s="50" t="str">
        <f t="shared" si="69"/>
        <v/>
      </c>
      <c r="EP62" s="50" t="str">
        <f t="shared" si="69"/>
        <v/>
      </c>
      <c r="EQ62" s="50" t="str">
        <f t="shared" si="69"/>
        <v/>
      </c>
      <c r="ER62" s="50" t="str">
        <f t="shared" si="69"/>
        <v/>
      </c>
      <c r="ES62" s="50" t="str">
        <f t="shared" si="69"/>
        <v/>
      </c>
      <c r="ET62" s="50" t="str">
        <f t="shared" si="69"/>
        <v/>
      </c>
      <c r="EU62" s="50" t="str">
        <f t="shared" si="69"/>
        <v/>
      </c>
      <c r="EV62" s="50" t="str">
        <f t="shared" si="69"/>
        <v/>
      </c>
      <c r="EW62" s="50" t="str">
        <f t="shared" si="69"/>
        <v/>
      </c>
      <c r="EX62" s="50" t="str">
        <f t="shared" si="69"/>
        <v/>
      </c>
      <c r="EY62" s="50" t="str">
        <f t="shared" si="69"/>
        <v/>
      </c>
      <c r="EZ62" s="50" t="str">
        <f t="shared" si="69"/>
        <v/>
      </c>
      <c r="FA62" s="50" t="str">
        <f t="shared" si="69"/>
        <v/>
      </c>
      <c r="FB62" s="50" t="str">
        <f t="shared" si="71"/>
        <v/>
      </c>
      <c r="FC62" s="50" t="str">
        <f t="shared" si="75"/>
        <v/>
      </c>
      <c r="FD62" s="50" t="str">
        <f t="shared" si="75"/>
        <v/>
      </c>
      <c r="FE62" s="50" t="str">
        <f t="shared" si="75"/>
        <v/>
      </c>
      <c r="FF62" s="50" t="str">
        <f t="shared" si="75"/>
        <v/>
      </c>
      <c r="FG62" s="50" t="str">
        <f t="shared" si="75"/>
        <v/>
      </c>
      <c r="FH62" s="50" t="str">
        <f t="shared" si="75"/>
        <v/>
      </c>
      <c r="FI62" s="50" t="str">
        <f t="shared" si="75"/>
        <v/>
      </c>
      <c r="FJ62" s="50" t="str">
        <f t="shared" si="75"/>
        <v/>
      </c>
      <c r="FK62" s="50" t="str">
        <f t="shared" si="75"/>
        <v/>
      </c>
      <c r="FL62" s="50" t="str">
        <f t="shared" si="75"/>
        <v/>
      </c>
      <c r="FM62" s="50" t="str">
        <f t="shared" si="75"/>
        <v/>
      </c>
      <c r="FN62" s="50" t="str">
        <f t="shared" si="75"/>
        <v/>
      </c>
      <c r="FO62" s="50" t="str">
        <f t="shared" si="75"/>
        <v/>
      </c>
      <c r="FP62" s="50" t="str">
        <f t="shared" si="75"/>
        <v/>
      </c>
      <c r="FQ62" s="50" t="str">
        <f t="shared" si="75"/>
        <v/>
      </c>
      <c r="FR62" s="50" t="str">
        <f t="shared" si="75"/>
        <v/>
      </c>
      <c r="FS62" s="50" t="str">
        <f t="shared" si="75"/>
        <v/>
      </c>
      <c r="FT62" s="50" t="str">
        <f t="shared" si="75"/>
        <v/>
      </c>
      <c r="FU62" s="50" t="str">
        <f t="shared" si="75"/>
        <v/>
      </c>
      <c r="FV62" s="50" t="str">
        <f t="shared" si="75"/>
        <v/>
      </c>
      <c r="FW62" s="50" t="str">
        <f t="shared" si="75"/>
        <v/>
      </c>
      <c r="FX62" s="50" t="str">
        <f t="shared" si="75"/>
        <v/>
      </c>
      <c r="FY62" s="50" t="str">
        <f t="shared" si="75"/>
        <v/>
      </c>
      <c r="FZ62" s="50" t="str">
        <f t="shared" si="75"/>
        <v/>
      </c>
      <c r="GA62" s="50" t="str">
        <f t="shared" si="75"/>
        <v/>
      </c>
      <c r="GB62" s="50" t="str">
        <f t="shared" si="75"/>
        <v/>
      </c>
      <c r="GC62" s="50" t="str">
        <f t="shared" si="75"/>
        <v/>
      </c>
      <c r="GD62" s="50" t="str">
        <f t="shared" si="75"/>
        <v/>
      </c>
      <c r="GE62" s="50" t="str">
        <f t="shared" si="75"/>
        <v/>
      </c>
      <c r="GF62" s="50" t="str">
        <f t="shared" si="75"/>
        <v/>
      </c>
      <c r="GG62" s="50" t="str">
        <f t="shared" si="75"/>
        <v/>
      </c>
      <c r="GH62" s="50" t="str">
        <f t="shared" si="54"/>
        <v/>
      </c>
      <c r="GI62" s="50" t="str">
        <f t="shared" si="54"/>
        <v/>
      </c>
      <c r="GJ62" s="50" t="str">
        <f t="shared" si="54"/>
        <v/>
      </c>
      <c r="GK62" s="50" t="str">
        <f t="shared" si="54"/>
        <v/>
      </c>
      <c r="GL62" s="50" t="str">
        <f t="shared" si="54"/>
        <v/>
      </c>
      <c r="GM62" s="50" t="str">
        <f t="shared" si="54"/>
        <v/>
      </c>
      <c r="GN62" s="50" t="str">
        <f t="shared" si="54"/>
        <v/>
      </c>
      <c r="GO62" s="50" t="str">
        <f t="shared" si="54"/>
        <v/>
      </c>
      <c r="GP62" s="50" t="str">
        <f t="shared" si="54"/>
        <v/>
      </c>
      <c r="GQ62" s="50" t="str">
        <f t="shared" si="54"/>
        <v/>
      </c>
      <c r="GR62" s="50" t="str">
        <f t="shared" si="54"/>
        <v/>
      </c>
      <c r="GS62" s="50" t="str">
        <f t="shared" si="54"/>
        <v/>
      </c>
      <c r="GT62" s="50" t="str">
        <f t="shared" si="54"/>
        <v/>
      </c>
      <c r="GU62" s="50" t="str">
        <f t="shared" si="54"/>
        <v/>
      </c>
      <c r="GV62" s="50" t="str">
        <f t="shared" si="54"/>
        <v/>
      </c>
      <c r="GW62" s="50" t="str">
        <f t="shared" si="29"/>
        <v/>
      </c>
      <c r="GX62" s="50" t="str">
        <f t="shared" si="29"/>
        <v/>
      </c>
      <c r="GY62" s="50" t="str">
        <f t="shared" si="29"/>
        <v/>
      </c>
      <c r="GZ62" s="50" t="str">
        <f t="shared" si="29"/>
        <v/>
      </c>
      <c r="HA62" s="50" t="str">
        <f t="shared" si="29"/>
        <v/>
      </c>
      <c r="HB62" s="50" t="str">
        <f t="shared" si="29"/>
        <v/>
      </c>
      <c r="HC62" s="50" t="str">
        <f t="shared" si="29"/>
        <v/>
      </c>
      <c r="HD62" s="50" t="str">
        <f t="shared" si="29"/>
        <v/>
      </c>
      <c r="HE62" s="50" t="str">
        <f t="shared" si="29"/>
        <v/>
      </c>
      <c r="HF62" s="50" t="str">
        <f t="shared" si="29"/>
        <v/>
      </c>
      <c r="HG62" s="50" t="str">
        <f t="shared" si="29"/>
        <v/>
      </c>
      <c r="HH62" s="50" t="str">
        <f t="shared" si="29"/>
        <v/>
      </c>
      <c r="HI62" s="50" t="str">
        <f t="shared" si="29"/>
        <v/>
      </c>
      <c r="HJ62" s="50" t="str">
        <f t="shared" si="29"/>
        <v/>
      </c>
      <c r="HK62" s="50" t="str">
        <f t="shared" si="29"/>
        <v/>
      </c>
      <c r="HL62" s="50" t="str">
        <f t="shared" si="29"/>
        <v/>
      </c>
      <c r="HM62" s="50" t="str">
        <f t="shared" si="76"/>
        <v/>
      </c>
      <c r="HN62" s="50" t="str">
        <f t="shared" si="23"/>
        <v/>
      </c>
      <c r="HO62" s="50" t="str">
        <f t="shared" si="23"/>
        <v/>
      </c>
      <c r="HP62" s="50" t="str">
        <f t="shared" si="23"/>
        <v/>
      </c>
      <c r="HQ62" s="50" t="str">
        <f t="shared" si="23"/>
        <v/>
      </c>
      <c r="HR62" s="116" t="str">
        <f t="shared" si="23"/>
        <v/>
      </c>
    </row>
    <row r="63" spans="1:226" ht="11.15" customHeight="1" x14ac:dyDescent="0.25">
      <c r="A63" s="26">
        <v>3608</v>
      </c>
      <c r="B63" s="27">
        <v>7</v>
      </c>
      <c r="C63" s="28" t="str">
        <f>IF(A63=0,"",VLOOKUP(A63,[3]CO!$A$3:$F$5327,2,0))</f>
        <v>LOZANO URISTA BRUNO</v>
      </c>
      <c r="D63" s="29"/>
      <c r="E63" s="29"/>
      <c r="F63" s="29"/>
      <c r="G63" s="30" t="str">
        <f>IF(A63=0,"",VLOOKUP(A63,[3]CO!$A$3:$F$5327,3,0))</f>
        <v>PEON</v>
      </c>
      <c r="H63" s="29"/>
      <c r="I63" s="31"/>
      <c r="J63" s="31"/>
      <c r="K63" s="31"/>
      <c r="L63" s="31">
        <v>1.359</v>
      </c>
      <c r="M63" s="32">
        <f t="shared" si="57"/>
        <v>1.359</v>
      </c>
      <c r="N63" s="32">
        <f>IF(B63=0,"",IF(H63="M",HLOOKUP(B63,$Y$12:$DT$13,2),IF(A63=0,"",VLOOKUP(A63,[3]CO!$A$3:$F$5327,4,0))))</f>
        <v>440</v>
      </c>
      <c r="O63" s="32">
        <f t="shared" si="58"/>
        <v>597.96</v>
      </c>
      <c r="P63" s="33">
        <v>7</v>
      </c>
      <c r="Q63" s="34">
        <f t="shared" si="59"/>
        <v>597.96</v>
      </c>
      <c r="R63" s="35">
        <f t="shared" si="60"/>
        <v>597.96</v>
      </c>
      <c r="S63" s="122">
        <v>1</v>
      </c>
      <c r="T63" s="53">
        <f>IF(A63=0,"",VLOOKUP(A63,[3]CO!$A$3:$F$5318,5,0))</f>
        <v>0</v>
      </c>
      <c r="U63" s="54">
        <f t="shared" si="61"/>
        <v>0</v>
      </c>
      <c r="V63" s="24"/>
      <c r="W63" s="25"/>
      <c r="X63" s="25"/>
      <c r="Y63" s="64" t="str">
        <f t="shared" si="70"/>
        <v/>
      </c>
      <c r="Z63" s="55" t="str">
        <f t="shared" si="70"/>
        <v/>
      </c>
      <c r="AA63" s="55" t="str">
        <f t="shared" si="70"/>
        <v/>
      </c>
      <c r="AB63" s="55" t="str">
        <f t="shared" si="70"/>
        <v/>
      </c>
      <c r="AC63" s="55" t="str">
        <f t="shared" si="70"/>
        <v/>
      </c>
      <c r="AD63" s="55" t="str">
        <f t="shared" si="70"/>
        <v/>
      </c>
      <c r="AE63" s="55">
        <f t="shared" si="70"/>
        <v>0</v>
      </c>
      <c r="AF63" s="55" t="str">
        <f t="shared" si="70"/>
        <v/>
      </c>
      <c r="AG63" s="55" t="str">
        <f t="shared" si="70"/>
        <v/>
      </c>
      <c r="AH63" s="55" t="str">
        <f t="shared" si="70"/>
        <v/>
      </c>
      <c r="AI63" s="55" t="str">
        <f t="shared" si="70"/>
        <v/>
      </c>
      <c r="AJ63" s="55" t="str">
        <f t="shared" si="70"/>
        <v/>
      </c>
      <c r="AK63" s="55" t="str">
        <f t="shared" si="70"/>
        <v/>
      </c>
      <c r="AL63" s="55" t="str">
        <f t="shared" si="70"/>
        <v/>
      </c>
      <c r="AM63" s="55" t="str">
        <f t="shared" si="70"/>
        <v/>
      </c>
      <c r="AN63" s="55" t="str">
        <f t="shared" si="70"/>
        <v/>
      </c>
      <c r="AO63" s="55" t="str">
        <f t="shared" si="68"/>
        <v/>
      </c>
      <c r="AP63" s="55" t="str">
        <f t="shared" si="68"/>
        <v/>
      </c>
      <c r="AQ63" s="55" t="str">
        <f t="shared" si="68"/>
        <v/>
      </c>
      <c r="AR63" s="55" t="str">
        <f t="shared" si="68"/>
        <v/>
      </c>
      <c r="AS63" s="55" t="str">
        <f t="shared" si="68"/>
        <v/>
      </c>
      <c r="AT63" s="55" t="str">
        <f t="shared" si="68"/>
        <v/>
      </c>
      <c r="AU63" s="55" t="str">
        <f t="shared" si="68"/>
        <v/>
      </c>
      <c r="AV63" s="55" t="str">
        <f t="shared" si="68"/>
        <v/>
      </c>
      <c r="AW63" s="55" t="str">
        <f t="shared" si="68"/>
        <v/>
      </c>
      <c r="AX63" s="55" t="str">
        <f t="shared" si="68"/>
        <v/>
      </c>
      <c r="AY63" s="55" t="str">
        <f t="shared" si="68"/>
        <v/>
      </c>
      <c r="AZ63" s="55" t="str">
        <f t="shared" si="68"/>
        <v/>
      </c>
      <c r="BA63" s="55" t="str">
        <f t="shared" si="68"/>
        <v/>
      </c>
      <c r="BB63" s="55" t="str">
        <f t="shared" si="68"/>
        <v/>
      </c>
      <c r="BC63" s="55" t="str">
        <f t="shared" si="68"/>
        <v/>
      </c>
      <c r="BD63" s="55" t="str">
        <f t="shared" si="70"/>
        <v/>
      </c>
      <c r="BE63" s="55" t="str">
        <f t="shared" si="74"/>
        <v/>
      </c>
      <c r="BF63" s="55" t="str">
        <f t="shared" si="74"/>
        <v/>
      </c>
      <c r="BG63" s="55" t="str">
        <f t="shared" si="74"/>
        <v/>
      </c>
      <c r="BH63" s="55" t="str">
        <f t="shared" si="74"/>
        <v/>
      </c>
      <c r="BI63" s="55" t="str">
        <f t="shared" si="74"/>
        <v/>
      </c>
      <c r="BJ63" s="55" t="str">
        <f t="shared" si="74"/>
        <v/>
      </c>
      <c r="BK63" s="55" t="str">
        <f t="shared" si="74"/>
        <v/>
      </c>
      <c r="BL63" s="55" t="str">
        <f t="shared" si="74"/>
        <v/>
      </c>
      <c r="BM63" s="55" t="str">
        <f t="shared" si="74"/>
        <v/>
      </c>
      <c r="BN63" s="55" t="str">
        <f t="shared" si="74"/>
        <v/>
      </c>
      <c r="BO63" s="55" t="str">
        <f t="shared" si="74"/>
        <v/>
      </c>
      <c r="BP63" s="55" t="str">
        <f t="shared" si="74"/>
        <v/>
      </c>
      <c r="BQ63" s="55" t="str">
        <f t="shared" si="74"/>
        <v/>
      </c>
      <c r="BR63" s="55" t="str">
        <f t="shared" si="74"/>
        <v/>
      </c>
      <c r="BS63" s="55" t="str">
        <f t="shared" si="74"/>
        <v/>
      </c>
      <c r="BT63" s="55" t="str">
        <f t="shared" si="74"/>
        <v/>
      </c>
      <c r="BU63" s="55" t="str">
        <f t="shared" si="74"/>
        <v/>
      </c>
      <c r="BV63" s="55" t="str">
        <f t="shared" si="74"/>
        <v/>
      </c>
      <c r="BW63" s="55" t="str">
        <f t="shared" si="74"/>
        <v/>
      </c>
      <c r="BX63" s="55" t="str">
        <f t="shared" si="74"/>
        <v/>
      </c>
      <c r="BY63" s="55" t="str">
        <f t="shared" si="74"/>
        <v/>
      </c>
      <c r="BZ63" s="55" t="str">
        <f t="shared" si="74"/>
        <v/>
      </c>
      <c r="CA63" s="55" t="str">
        <f t="shared" si="74"/>
        <v/>
      </c>
      <c r="CB63" s="55" t="str">
        <f t="shared" si="74"/>
        <v/>
      </c>
      <c r="CC63" s="55" t="str">
        <f t="shared" si="74"/>
        <v/>
      </c>
      <c r="CD63" s="55" t="str">
        <f t="shared" si="74"/>
        <v/>
      </c>
      <c r="CE63" s="55" t="str">
        <f t="shared" si="74"/>
        <v/>
      </c>
      <c r="CF63" s="55" t="str">
        <f t="shared" si="74"/>
        <v/>
      </c>
      <c r="CG63" s="55" t="str">
        <f t="shared" si="74"/>
        <v/>
      </c>
      <c r="CH63" s="55" t="str">
        <f t="shared" si="74"/>
        <v/>
      </c>
      <c r="CI63" s="55" t="str">
        <f t="shared" si="74"/>
        <v/>
      </c>
      <c r="CJ63" s="55" t="str">
        <f t="shared" ref="CJ63:DT70" si="78">IF($B63=CJ$12,$U63,"")</f>
        <v/>
      </c>
      <c r="CK63" s="55" t="str">
        <f t="shared" si="78"/>
        <v/>
      </c>
      <c r="CL63" s="55" t="str">
        <f t="shared" si="78"/>
        <v/>
      </c>
      <c r="CM63" s="55" t="str">
        <f t="shared" si="78"/>
        <v/>
      </c>
      <c r="CN63" s="55" t="str">
        <f t="shared" si="78"/>
        <v/>
      </c>
      <c r="CO63" s="55" t="str">
        <f t="shared" si="78"/>
        <v/>
      </c>
      <c r="CP63" s="55" t="str">
        <f t="shared" si="78"/>
        <v/>
      </c>
      <c r="CQ63" s="55" t="str">
        <f t="shared" si="78"/>
        <v/>
      </c>
      <c r="CR63" s="55" t="str">
        <f t="shared" si="78"/>
        <v/>
      </c>
      <c r="CS63" s="55" t="str">
        <f t="shared" si="78"/>
        <v/>
      </c>
      <c r="CT63" s="55" t="str">
        <f t="shared" si="78"/>
        <v/>
      </c>
      <c r="CU63" s="55" t="str">
        <f t="shared" si="78"/>
        <v/>
      </c>
      <c r="CV63" s="55" t="str">
        <f t="shared" si="78"/>
        <v/>
      </c>
      <c r="CW63" s="55" t="str">
        <f t="shared" si="78"/>
        <v/>
      </c>
      <c r="CX63" s="55" t="str">
        <f t="shared" si="78"/>
        <v/>
      </c>
      <c r="CY63" s="55" t="str">
        <f t="shared" si="28"/>
        <v/>
      </c>
      <c r="CZ63" s="55" t="str">
        <f t="shared" si="78"/>
        <v/>
      </c>
      <c r="DA63" s="55" t="str">
        <f t="shared" si="78"/>
        <v/>
      </c>
      <c r="DB63" s="55" t="str">
        <f t="shared" si="78"/>
        <v/>
      </c>
      <c r="DC63" s="55" t="str">
        <f t="shared" si="78"/>
        <v/>
      </c>
      <c r="DD63" s="55" t="str">
        <f t="shared" si="78"/>
        <v/>
      </c>
      <c r="DE63" s="55" t="str">
        <f t="shared" si="78"/>
        <v/>
      </c>
      <c r="DF63" s="55" t="str">
        <f t="shared" si="78"/>
        <v/>
      </c>
      <c r="DG63" s="55" t="str">
        <f t="shared" si="78"/>
        <v/>
      </c>
      <c r="DH63" s="55" t="str">
        <f t="shared" si="78"/>
        <v/>
      </c>
      <c r="DI63" s="55" t="str">
        <f t="shared" si="78"/>
        <v/>
      </c>
      <c r="DJ63" s="55" t="str">
        <f t="shared" si="78"/>
        <v/>
      </c>
      <c r="DK63" s="55" t="str">
        <f t="shared" si="78"/>
        <v/>
      </c>
      <c r="DL63" s="55" t="str">
        <f t="shared" si="78"/>
        <v/>
      </c>
      <c r="DM63" s="55" t="str">
        <f t="shared" si="78"/>
        <v/>
      </c>
      <c r="DN63" s="55" t="str">
        <f t="shared" si="78"/>
        <v/>
      </c>
      <c r="DO63" s="55" t="str">
        <f t="shared" si="78"/>
        <v/>
      </c>
      <c r="DP63" s="55" t="str">
        <f t="shared" si="78"/>
        <v/>
      </c>
      <c r="DQ63" s="55" t="str">
        <f t="shared" si="78"/>
        <v/>
      </c>
      <c r="DR63" s="55" t="str">
        <f t="shared" si="78"/>
        <v/>
      </c>
      <c r="DS63" s="55" t="str">
        <f t="shared" si="78"/>
        <v/>
      </c>
      <c r="DT63" s="110" t="str">
        <f t="shared" si="78"/>
        <v/>
      </c>
      <c r="DU63" s="54"/>
      <c r="DV63" s="25"/>
      <c r="DW63" s="61" t="str">
        <f t="shared" si="71"/>
        <v/>
      </c>
      <c r="DX63" s="50" t="str">
        <f t="shared" si="71"/>
        <v/>
      </c>
      <c r="DY63" s="50" t="str">
        <f t="shared" si="71"/>
        <v/>
      </c>
      <c r="DZ63" s="50" t="str">
        <f t="shared" si="71"/>
        <v/>
      </c>
      <c r="EA63" s="50" t="str">
        <f t="shared" si="71"/>
        <v/>
      </c>
      <c r="EB63" s="50" t="str">
        <f t="shared" si="71"/>
        <v/>
      </c>
      <c r="EC63" s="50">
        <f t="shared" si="71"/>
        <v>597.96</v>
      </c>
      <c r="ED63" s="50" t="str">
        <f t="shared" si="71"/>
        <v/>
      </c>
      <c r="EE63" s="50" t="str">
        <f t="shared" si="71"/>
        <v/>
      </c>
      <c r="EF63" s="50" t="str">
        <f t="shared" si="71"/>
        <v/>
      </c>
      <c r="EG63" s="50" t="str">
        <f t="shared" si="71"/>
        <v/>
      </c>
      <c r="EH63" s="50" t="str">
        <f t="shared" si="71"/>
        <v/>
      </c>
      <c r="EI63" s="50" t="str">
        <f t="shared" si="71"/>
        <v/>
      </c>
      <c r="EJ63" s="50" t="str">
        <f t="shared" si="71"/>
        <v/>
      </c>
      <c r="EK63" s="50" t="str">
        <f t="shared" si="71"/>
        <v/>
      </c>
      <c r="EL63" s="50" t="str">
        <f t="shared" si="71"/>
        <v/>
      </c>
      <c r="EM63" s="50" t="str">
        <f t="shared" si="69"/>
        <v/>
      </c>
      <c r="EN63" s="50" t="str">
        <f t="shared" si="69"/>
        <v/>
      </c>
      <c r="EO63" s="50" t="str">
        <f t="shared" si="69"/>
        <v/>
      </c>
      <c r="EP63" s="50" t="str">
        <f t="shared" si="69"/>
        <v/>
      </c>
      <c r="EQ63" s="50" t="str">
        <f t="shared" si="69"/>
        <v/>
      </c>
      <c r="ER63" s="50" t="str">
        <f t="shared" si="69"/>
        <v/>
      </c>
      <c r="ES63" s="50" t="str">
        <f t="shared" si="69"/>
        <v/>
      </c>
      <c r="ET63" s="50" t="str">
        <f t="shared" si="69"/>
        <v/>
      </c>
      <c r="EU63" s="50" t="str">
        <f t="shared" si="69"/>
        <v/>
      </c>
      <c r="EV63" s="50" t="str">
        <f t="shared" si="69"/>
        <v/>
      </c>
      <c r="EW63" s="50" t="str">
        <f t="shared" si="69"/>
        <v/>
      </c>
      <c r="EX63" s="50" t="str">
        <f t="shared" si="69"/>
        <v/>
      </c>
      <c r="EY63" s="50" t="str">
        <f t="shared" si="69"/>
        <v/>
      </c>
      <c r="EZ63" s="50" t="str">
        <f t="shared" si="69"/>
        <v/>
      </c>
      <c r="FA63" s="50" t="str">
        <f t="shared" si="69"/>
        <v/>
      </c>
      <c r="FB63" s="50" t="str">
        <f t="shared" si="71"/>
        <v/>
      </c>
      <c r="FC63" s="50" t="str">
        <f t="shared" si="75"/>
        <v/>
      </c>
      <c r="FD63" s="50" t="str">
        <f t="shared" si="75"/>
        <v/>
      </c>
      <c r="FE63" s="50" t="str">
        <f t="shared" si="75"/>
        <v/>
      </c>
      <c r="FF63" s="50" t="str">
        <f t="shared" si="75"/>
        <v/>
      </c>
      <c r="FG63" s="50" t="str">
        <f t="shared" si="75"/>
        <v/>
      </c>
      <c r="FH63" s="50" t="str">
        <f t="shared" si="75"/>
        <v/>
      </c>
      <c r="FI63" s="50" t="str">
        <f t="shared" si="75"/>
        <v/>
      </c>
      <c r="FJ63" s="50" t="str">
        <f t="shared" si="75"/>
        <v/>
      </c>
      <c r="FK63" s="50" t="str">
        <f t="shared" si="75"/>
        <v/>
      </c>
      <c r="FL63" s="50" t="str">
        <f t="shared" si="75"/>
        <v/>
      </c>
      <c r="FM63" s="50" t="str">
        <f t="shared" si="75"/>
        <v/>
      </c>
      <c r="FN63" s="50" t="str">
        <f t="shared" si="75"/>
        <v/>
      </c>
      <c r="FO63" s="50" t="str">
        <f t="shared" si="75"/>
        <v/>
      </c>
      <c r="FP63" s="50" t="str">
        <f t="shared" si="75"/>
        <v/>
      </c>
      <c r="FQ63" s="50" t="str">
        <f t="shared" si="75"/>
        <v/>
      </c>
      <c r="FR63" s="50" t="str">
        <f t="shared" si="75"/>
        <v/>
      </c>
      <c r="FS63" s="50" t="str">
        <f t="shared" si="75"/>
        <v/>
      </c>
      <c r="FT63" s="50" t="str">
        <f t="shared" si="75"/>
        <v/>
      </c>
      <c r="FU63" s="50" t="str">
        <f t="shared" si="75"/>
        <v/>
      </c>
      <c r="FV63" s="50" t="str">
        <f t="shared" si="75"/>
        <v/>
      </c>
      <c r="FW63" s="50" t="str">
        <f t="shared" si="75"/>
        <v/>
      </c>
      <c r="FX63" s="50" t="str">
        <f t="shared" si="75"/>
        <v/>
      </c>
      <c r="FY63" s="50" t="str">
        <f t="shared" si="75"/>
        <v/>
      </c>
      <c r="FZ63" s="50" t="str">
        <f t="shared" si="75"/>
        <v/>
      </c>
      <c r="GA63" s="50" t="str">
        <f t="shared" si="75"/>
        <v/>
      </c>
      <c r="GB63" s="50" t="str">
        <f t="shared" si="75"/>
        <v/>
      </c>
      <c r="GC63" s="50" t="str">
        <f t="shared" si="75"/>
        <v/>
      </c>
      <c r="GD63" s="50" t="str">
        <f t="shared" si="75"/>
        <v/>
      </c>
      <c r="GE63" s="50" t="str">
        <f t="shared" si="75"/>
        <v/>
      </c>
      <c r="GF63" s="50" t="str">
        <f t="shared" si="75"/>
        <v/>
      </c>
      <c r="GG63" s="50" t="str">
        <f t="shared" si="75"/>
        <v/>
      </c>
      <c r="GH63" s="50" t="str">
        <f t="shared" si="54"/>
        <v/>
      </c>
      <c r="GI63" s="50" t="str">
        <f t="shared" si="54"/>
        <v/>
      </c>
      <c r="GJ63" s="50" t="str">
        <f t="shared" si="54"/>
        <v/>
      </c>
      <c r="GK63" s="50" t="str">
        <f t="shared" si="54"/>
        <v/>
      </c>
      <c r="GL63" s="50" t="str">
        <f t="shared" si="54"/>
        <v/>
      </c>
      <c r="GM63" s="50" t="str">
        <f t="shared" si="54"/>
        <v/>
      </c>
      <c r="GN63" s="50" t="str">
        <f t="shared" si="54"/>
        <v/>
      </c>
      <c r="GO63" s="50" t="str">
        <f t="shared" si="54"/>
        <v/>
      </c>
      <c r="GP63" s="50" t="str">
        <f t="shared" si="54"/>
        <v/>
      </c>
      <c r="GQ63" s="50" t="str">
        <f t="shared" si="54"/>
        <v/>
      </c>
      <c r="GR63" s="50" t="str">
        <f t="shared" si="54"/>
        <v/>
      </c>
      <c r="GS63" s="50" t="str">
        <f t="shared" si="54"/>
        <v/>
      </c>
      <c r="GT63" s="50" t="str">
        <f t="shared" si="54"/>
        <v/>
      </c>
      <c r="GU63" s="50" t="str">
        <f t="shared" ref="GU63:GV63" si="79">IF($B63=GU$12,$O63,"")</f>
        <v/>
      </c>
      <c r="GV63" s="50" t="str">
        <f t="shared" si="79"/>
        <v/>
      </c>
      <c r="GW63" s="50" t="str">
        <f t="shared" si="29"/>
        <v/>
      </c>
      <c r="GX63" s="50" t="str">
        <f t="shared" si="29"/>
        <v/>
      </c>
      <c r="GY63" s="50" t="str">
        <f t="shared" si="29"/>
        <v/>
      </c>
      <c r="GZ63" s="50" t="str">
        <f t="shared" si="29"/>
        <v/>
      </c>
      <c r="HA63" s="50" t="str">
        <f t="shared" si="29"/>
        <v/>
      </c>
      <c r="HB63" s="50" t="str">
        <f t="shared" si="29"/>
        <v/>
      </c>
      <c r="HC63" s="50" t="str">
        <f t="shared" si="29"/>
        <v/>
      </c>
      <c r="HD63" s="50" t="str">
        <f t="shared" si="29"/>
        <v/>
      </c>
      <c r="HE63" s="50" t="str">
        <f t="shared" si="29"/>
        <v/>
      </c>
      <c r="HF63" s="50" t="str">
        <f t="shared" si="29"/>
        <v/>
      </c>
      <c r="HG63" s="50" t="str">
        <f t="shared" si="29"/>
        <v/>
      </c>
      <c r="HH63" s="50" t="str">
        <f t="shared" si="29"/>
        <v/>
      </c>
      <c r="HI63" s="50" t="str">
        <f t="shared" si="29"/>
        <v/>
      </c>
      <c r="HJ63" s="50" t="str">
        <f t="shared" si="29"/>
        <v/>
      </c>
      <c r="HK63" s="50" t="str">
        <f t="shared" si="29"/>
        <v/>
      </c>
      <c r="HL63" s="50" t="str">
        <f t="shared" si="29"/>
        <v/>
      </c>
      <c r="HM63" s="50" t="str">
        <f t="shared" si="76"/>
        <v/>
      </c>
      <c r="HN63" s="50" t="str">
        <f t="shared" si="23"/>
        <v/>
      </c>
      <c r="HO63" s="50" t="str">
        <f t="shared" si="23"/>
        <v/>
      </c>
      <c r="HP63" s="50" t="str">
        <f t="shared" si="23"/>
        <v/>
      </c>
      <c r="HQ63" s="50" t="str">
        <f t="shared" si="23"/>
        <v/>
      </c>
      <c r="HR63" s="116" t="str">
        <f t="shared" si="23"/>
        <v/>
      </c>
    </row>
    <row r="64" spans="1:226" ht="11.15" customHeight="1" x14ac:dyDescent="0.25">
      <c r="A64" s="26"/>
      <c r="B64" s="27"/>
      <c r="C64" s="28" t="str">
        <f>IF(A64=0,"",VLOOKUP(A64,[3]CO!$A$3:$F$5327,2,0))</f>
        <v/>
      </c>
      <c r="D64" s="29" t="s">
        <v>55</v>
      </c>
      <c r="E64" s="29"/>
      <c r="F64" s="29"/>
      <c r="G64" s="30" t="str">
        <f>IF(A64=0,"",VLOOKUP(A64,[3]CO!$A$3:$F$5327,3,0))</f>
        <v/>
      </c>
      <c r="H64" s="29"/>
      <c r="I64" s="31"/>
      <c r="J64" s="31"/>
      <c r="K64" s="31"/>
      <c r="L64" s="31"/>
      <c r="M64" s="32" t="str">
        <f t="shared" si="57"/>
        <v/>
      </c>
      <c r="N64" s="32" t="str">
        <f>IF(B64=0,"",IF(H64="M",HLOOKUP(B64,$Y$12:$DT$13,2),IF(A64=0,"",VLOOKUP(A64,[3]CO!$A$3:$F$5327,4,0))))</f>
        <v/>
      </c>
      <c r="O64" s="32" t="str">
        <f t="shared" si="58"/>
        <v/>
      </c>
      <c r="P64" s="33"/>
      <c r="Q64" s="34" t="str">
        <f t="shared" si="59"/>
        <v/>
      </c>
      <c r="R64" s="35" t="str">
        <f t="shared" si="60"/>
        <v/>
      </c>
      <c r="S64" s="122"/>
      <c r="T64" s="53" t="str">
        <f>IF(A64=0,"",VLOOKUP(A64,[3]CO!$A$3:$F$5318,5,0))</f>
        <v/>
      </c>
      <c r="U64" s="54">
        <f t="shared" si="61"/>
        <v>0</v>
      </c>
      <c r="V64" s="24"/>
      <c r="W64" s="25"/>
      <c r="X64" s="25"/>
      <c r="Y64" s="64" t="str">
        <f t="shared" si="70"/>
        <v/>
      </c>
      <c r="Z64" s="55" t="str">
        <f t="shared" si="70"/>
        <v/>
      </c>
      <c r="AA64" s="55" t="str">
        <f t="shared" si="70"/>
        <v/>
      </c>
      <c r="AB64" s="55" t="str">
        <f t="shared" si="70"/>
        <v/>
      </c>
      <c r="AC64" s="55" t="str">
        <f t="shared" si="70"/>
        <v/>
      </c>
      <c r="AD64" s="55" t="str">
        <f t="shared" si="70"/>
        <v/>
      </c>
      <c r="AE64" s="55" t="str">
        <f t="shared" si="70"/>
        <v/>
      </c>
      <c r="AF64" s="55" t="str">
        <f t="shared" si="70"/>
        <v/>
      </c>
      <c r="AG64" s="55" t="str">
        <f t="shared" si="70"/>
        <v/>
      </c>
      <c r="AH64" s="55" t="str">
        <f t="shared" si="70"/>
        <v/>
      </c>
      <c r="AI64" s="55" t="str">
        <f t="shared" si="70"/>
        <v/>
      </c>
      <c r="AJ64" s="55" t="str">
        <f t="shared" si="70"/>
        <v/>
      </c>
      <c r="AK64" s="55" t="str">
        <f t="shared" si="70"/>
        <v/>
      </c>
      <c r="AL64" s="55" t="str">
        <f t="shared" si="70"/>
        <v/>
      </c>
      <c r="AM64" s="55" t="str">
        <f t="shared" si="70"/>
        <v/>
      </c>
      <c r="AN64" s="55" t="str">
        <f t="shared" si="70"/>
        <v/>
      </c>
      <c r="AO64" s="55" t="str">
        <f t="shared" si="68"/>
        <v/>
      </c>
      <c r="AP64" s="55" t="str">
        <f t="shared" si="68"/>
        <v/>
      </c>
      <c r="AQ64" s="55" t="str">
        <f t="shared" si="68"/>
        <v/>
      </c>
      <c r="AR64" s="55" t="str">
        <f t="shared" si="68"/>
        <v/>
      </c>
      <c r="AS64" s="55" t="str">
        <f t="shared" si="68"/>
        <v/>
      </c>
      <c r="AT64" s="55" t="str">
        <f t="shared" si="68"/>
        <v/>
      </c>
      <c r="AU64" s="55" t="str">
        <f t="shared" si="68"/>
        <v/>
      </c>
      <c r="AV64" s="55" t="str">
        <f t="shared" si="68"/>
        <v/>
      </c>
      <c r="AW64" s="55" t="str">
        <f t="shared" si="68"/>
        <v/>
      </c>
      <c r="AX64" s="55" t="str">
        <f t="shared" si="68"/>
        <v/>
      </c>
      <c r="AY64" s="55" t="str">
        <f t="shared" si="68"/>
        <v/>
      </c>
      <c r="AZ64" s="55" t="str">
        <f t="shared" si="68"/>
        <v/>
      </c>
      <c r="BA64" s="55" t="str">
        <f t="shared" si="68"/>
        <v/>
      </c>
      <c r="BB64" s="55" t="str">
        <f t="shared" si="68"/>
        <v/>
      </c>
      <c r="BC64" s="55" t="str">
        <f t="shared" si="68"/>
        <v/>
      </c>
      <c r="BD64" s="55" t="str">
        <f t="shared" si="70"/>
        <v/>
      </c>
      <c r="BE64" s="55" t="str">
        <f t="shared" si="74"/>
        <v/>
      </c>
      <c r="BF64" s="55" t="str">
        <f t="shared" si="74"/>
        <v/>
      </c>
      <c r="BG64" s="55" t="str">
        <f t="shared" si="74"/>
        <v/>
      </c>
      <c r="BH64" s="55" t="str">
        <f t="shared" si="74"/>
        <v/>
      </c>
      <c r="BI64" s="55" t="str">
        <f t="shared" si="74"/>
        <v/>
      </c>
      <c r="BJ64" s="55" t="str">
        <f t="shared" si="74"/>
        <v/>
      </c>
      <c r="BK64" s="55" t="str">
        <f t="shared" si="74"/>
        <v/>
      </c>
      <c r="BL64" s="55" t="str">
        <f t="shared" si="74"/>
        <v/>
      </c>
      <c r="BM64" s="55" t="str">
        <f t="shared" si="74"/>
        <v/>
      </c>
      <c r="BN64" s="55" t="str">
        <f t="shared" si="74"/>
        <v/>
      </c>
      <c r="BO64" s="55" t="str">
        <f t="shared" si="74"/>
        <v/>
      </c>
      <c r="BP64" s="55" t="str">
        <f t="shared" si="74"/>
        <v/>
      </c>
      <c r="BQ64" s="55" t="str">
        <f t="shared" si="74"/>
        <v/>
      </c>
      <c r="BR64" s="55" t="str">
        <f t="shared" si="74"/>
        <v/>
      </c>
      <c r="BS64" s="55" t="str">
        <f t="shared" si="74"/>
        <v/>
      </c>
      <c r="BT64" s="55" t="str">
        <f t="shared" si="74"/>
        <v/>
      </c>
      <c r="BU64" s="55" t="str">
        <f t="shared" si="74"/>
        <v/>
      </c>
      <c r="BV64" s="55" t="str">
        <f t="shared" si="74"/>
        <v/>
      </c>
      <c r="BW64" s="55" t="str">
        <f t="shared" si="74"/>
        <v/>
      </c>
      <c r="BX64" s="55" t="str">
        <f t="shared" si="74"/>
        <v/>
      </c>
      <c r="BY64" s="55" t="str">
        <f t="shared" si="74"/>
        <v/>
      </c>
      <c r="BZ64" s="55" t="str">
        <f t="shared" si="74"/>
        <v/>
      </c>
      <c r="CA64" s="55" t="str">
        <f t="shared" si="74"/>
        <v/>
      </c>
      <c r="CB64" s="55" t="str">
        <f t="shared" si="74"/>
        <v/>
      </c>
      <c r="CC64" s="55" t="str">
        <f t="shared" si="74"/>
        <v/>
      </c>
      <c r="CD64" s="55" t="str">
        <f t="shared" si="74"/>
        <v/>
      </c>
      <c r="CE64" s="55" t="str">
        <f t="shared" si="74"/>
        <v/>
      </c>
      <c r="CF64" s="55" t="str">
        <f t="shared" si="74"/>
        <v/>
      </c>
      <c r="CG64" s="55" t="str">
        <f t="shared" si="74"/>
        <v/>
      </c>
      <c r="CH64" s="55" t="str">
        <f t="shared" si="74"/>
        <v/>
      </c>
      <c r="CI64" s="55" t="str">
        <f t="shared" si="74"/>
        <v/>
      </c>
      <c r="CJ64" s="55" t="str">
        <f t="shared" si="78"/>
        <v/>
      </c>
      <c r="CK64" s="55" t="str">
        <f t="shared" si="78"/>
        <v/>
      </c>
      <c r="CL64" s="55" t="str">
        <f t="shared" si="78"/>
        <v/>
      </c>
      <c r="CM64" s="55" t="str">
        <f t="shared" si="78"/>
        <v/>
      </c>
      <c r="CN64" s="55" t="str">
        <f t="shared" si="78"/>
        <v/>
      </c>
      <c r="CO64" s="55" t="str">
        <f t="shared" si="78"/>
        <v/>
      </c>
      <c r="CP64" s="55" t="str">
        <f t="shared" si="78"/>
        <v/>
      </c>
      <c r="CQ64" s="55" t="str">
        <f t="shared" si="78"/>
        <v/>
      </c>
      <c r="CR64" s="55" t="str">
        <f t="shared" si="78"/>
        <v/>
      </c>
      <c r="CS64" s="55" t="str">
        <f t="shared" si="78"/>
        <v/>
      </c>
      <c r="CT64" s="55" t="str">
        <f t="shared" si="78"/>
        <v/>
      </c>
      <c r="CU64" s="55" t="str">
        <f t="shared" si="78"/>
        <v/>
      </c>
      <c r="CV64" s="55" t="str">
        <f t="shared" si="78"/>
        <v/>
      </c>
      <c r="CW64" s="55" t="str">
        <f t="shared" si="78"/>
        <v/>
      </c>
      <c r="CX64" s="55" t="str">
        <f t="shared" si="78"/>
        <v/>
      </c>
      <c r="CY64" s="55" t="str">
        <f t="shared" si="28"/>
        <v/>
      </c>
      <c r="CZ64" s="55" t="str">
        <f t="shared" si="78"/>
        <v/>
      </c>
      <c r="DA64" s="55" t="str">
        <f t="shared" si="78"/>
        <v/>
      </c>
      <c r="DB64" s="55" t="str">
        <f t="shared" si="78"/>
        <v/>
      </c>
      <c r="DC64" s="55" t="str">
        <f t="shared" si="78"/>
        <v/>
      </c>
      <c r="DD64" s="55" t="str">
        <f t="shared" si="78"/>
        <v/>
      </c>
      <c r="DE64" s="55" t="str">
        <f t="shared" si="78"/>
        <v/>
      </c>
      <c r="DF64" s="55" t="str">
        <f t="shared" si="78"/>
        <v/>
      </c>
      <c r="DG64" s="55" t="str">
        <f t="shared" si="78"/>
        <v/>
      </c>
      <c r="DH64" s="55" t="str">
        <f t="shared" si="78"/>
        <v/>
      </c>
      <c r="DI64" s="55" t="str">
        <f t="shared" si="78"/>
        <v/>
      </c>
      <c r="DJ64" s="55" t="str">
        <f t="shared" si="78"/>
        <v/>
      </c>
      <c r="DK64" s="55" t="str">
        <f t="shared" si="78"/>
        <v/>
      </c>
      <c r="DL64" s="55" t="str">
        <f t="shared" si="78"/>
        <v/>
      </c>
      <c r="DM64" s="55" t="str">
        <f t="shared" si="78"/>
        <v/>
      </c>
      <c r="DN64" s="55" t="str">
        <f t="shared" si="78"/>
        <v/>
      </c>
      <c r="DO64" s="55" t="str">
        <f t="shared" si="78"/>
        <v/>
      </c>
      <c r="DP64" s="55" t="str">
        <f t="shared" si="78"/>
        <v/>
      </c>
      <c r="DQ64" s="55" t="str">
        <f t="shared" si="78"/>
        <v/>
      </c>
      <c r="DR64" s="55" t="str">
        <f t="shared" si="78"/>
        <v/>
      </c>
      <c r="DS64" s="55" t="str">
        <f t="shared" si="78"/>
        <v/>
      </c>
      <c r="DT64" s="110" t="str">
        <f t="shared" si="78"/>
        <v/>
      </c>
      <c r="DU64" s="54"/>
      <c r="DV64" s="25"/>
      <c r="DW64" s="61" t="str">
        <f t="shared" si="71"/>
        <v/>
      </c>
      <c r="DX64" s="50" t="str">
        <f t="shared" si="71"/>
        <v/>
      </c>
      <c r="DY64" s="50" t="str">
        <f t="shared" si="71"/>
        <v/>
      </c>
      <c r="DZ64" s="50" t="str">
        <f t="shared" si="71"/>
        <v/>
      </c>
      <c r="EA64" s="50" t="str">
        <f t="shared" si="71"/>
        <v/>
      </c>
      <c r="EB64" s="50" t="str">
        <f t="shared" si="71"/>
        <v/>
      </c>
      <c r="EC64" s="50" t="str">
        <f t="shared" si="71"/>
        <v/>
      </c>
      <c r="ED64" s="50" t="str">
        <f t="shared" si="71"/>
        <v/>
      </c>
      <c r="EE64" s="50" t="str">
        <f t="shared" si="71"/>
        <v/>
      </c>
      <c r="EF64" s="50" t="str">
        <f t="shared" si="71"/>
        <v/>
      </c>
      <c r="EG64" s="50" t="str">
        <f t="shared" si="71"/>
        <v/>
      </c>
      <c r="EH64" s="50" t="str">
        <f t="shared" si="71"/>
        <v/>
      </c>
      <c r="EI64" s="50" t="str">
        <f t="shared" si="71"/>
        <v/>
      </c>
      <c r="EJ64" s="50" t="str">
        <f t="shared" si="71"/>
        <v/>
      </c>
      <c r="EK64" s="50" t="str">
        <f t="shared" si="71"/>
        <v/>
      </c>
      <c r="EL64" s="50" t="str">
        <f t="shared" si="71"/>
        <v/>
      </c>
      <c r="EM64" s="50" t="str">
        <f t="shared" si="69"/>
        <v/>
      </c>
      <c r="EN64" s="50" t="str">
        <f t="shared" si="69"/>
        <v/>
      </c>
      <c r="EO64" s="50" t="str">
        <f t="shared" si="69"/>
        <v/>
      </c>
      <c r="EP64" s="50" t="str">
        <f t="shared" si="69"/>
        <v/>
      </c>
      <c r="EQ64" s="50" t="str">
        <f t="shared" si="69"/>
        <v/>
      </c>
      <c r="ER64" s="50" t="str">
        <f t="shared" si="69"/>
        <v/>
      </c>
      <c r="ES64" s="50" t="str">
        <f t="shared" si="69"/>
        <v/>
      </c>
      <c r="ET64" s="50" t="str">
        <f t="shared" si="69"/>
        <v/>
      </c>
      <c r="EU64" s="50" t="str">
        <f t="shared" si="69"/>
        <v/>
      </c>
      <c r="EV64" s="50" t="str">
        <f t="shared" si="69"/>
        <v/>
      </c>
      <c r="EW64" s="50" t="str">
        <f t="shared" si="69"/>
        <v/>
      </c>
      <c r="EX64" s="50" t="str">
        <f t="shared" si="69"/>
        <v/>
      </c>
      <c r="EY64" s="50" t="str">
        <f t="shared" si="69"/>
        <v/>
      </c>
      <c r="EZ64" s="50" t="str">
        <f t="shared" si="69"/>
        <v/>
      </c>
      <c r="FA64" s="50" t="str">
        <f t="shared" si="69"/>
        <v/>
      </c>
      <c r="FB64" s="50" t="str">
        <f t="shared" si="71"/>
        <v/>
      </c>
      <c r="FC64" s="50" t="str">
        <f t="shared" si="75"/>
        <v/>
      </c>
      <c r="FD64" s="50" t="str">
        <f t="shared" si="75"/>
        <v/>
      </c>
      <c r="FE64" s="50" t="str">
        <f t="shared" si="75"/>
        <v/>
      </c>
      <c r="FF64" s="50" t="str">
        <f t="shared" si="75"/>
        <v/>
      </c>
      <c r="FG64" s="50" t="str">
        <f t="shared" si="75"/>
        <v/>
      </c>
      <c r="FH64" s="50" t="str">
        <f t="shared" si="75"/>
        <v/>
      </c>
      <c r="FI64" s="50" t="str">
        <f t="shared" si="75"/>
        <v/>
      </c>
      <c r="FJ64" s="50" t="str">
        <f t="shared" si="75"/>
        <v/>
      </c>
      <c r="FK64" s="50" t="str">
        <f t="shared" si="75"/>
        <v/>
      </c>
      <c r="FL64" s="50" t="str">
        <f t="shared" si="75"/>
        <v/>
      </c>
      <c r="FM64" s="50" t="str">
        <f t="shared" si="75"/>
        <v/>
      </c>
      <c r="FN64" s="50" t="str">
        <f t="shared" si="75"/>
        <v/>
      </c>
      <c r="FO64" s="50" t="str">
        <f t="shared" si="75"/>
        <v/>
      </c>
      <c r="FP64" s="50" t="str">
        <f t="shared" si="75"/>
        <v/>
      </c>
      <c r="FQ64" s="50" t="str">
        <f t="shared" si="75"/>
        <v/>
      </c>
      <c r="FR64" s="50" t="str">
        <f t="shared" si="75"/>
        <v/>
      </c>
      <c r="FS64" s="50" t="str">
        <f t="shared" si="75"/>
        <v/>
      </c>
      <c r="FT64" s="50" t="str">
        <f t="shared" si="75"/>
        <v/>
      </c>
      <c r="FU64" s="50" t="str">
        <f t="shared" si="75"/>
        <v/>
      </c>
      <c r="FV64" s="50" t="str">
        <f t="shared" si="75"/>
        <v/>
      </c>
      <c r="FW64" s="50" t="str">
        <f t="shared" si="75"/>
        <v/>
      </c>
      <c r="FX64" s="50" t="str">
        <f t="shared" si="75"/>
        <v/>
      </c>
      <c r="FY64" s="50" t="str">
        <f t="shared" si="75"/>
        <v/>
      </c>
      <c r="FZ64" s="50" t="str">
        <f t="shared" si="75"/>
        <v/>
      </c>
      <c r="GA64" s="50" t="str">
        <f t="shared" si="75"/>
        <v/>
      </c>
      <c r="GB64" s="50" t="str">
        <f t="shared" si="75"/>
        <v/>
      </c>
      <c r="GC64" s="50" t="str">
        <f t="shared" si="75"/>
        <v/>
      </c>
      <c r="GD64" s="50" t="str">
        <f t="shared" si="75"/>
        <v/>
      </c>
      <c r="GE64" s="50" t="str">
        <f t="shared" si="75"/>
        <v/>
      </c>
      <c r="GF64" s="50" t="str">
        <f t="shared" si="75"/>
        <v/>
      </c>
      <c r="GG64" s="50" t="str">
        <f t="shared" si="75"/>
        <v/>
      </c>
      <c r="GH64" s="50" t="str">
        <f t="shared" ref="GH64:GW72" si="80">IF($B64=GH$12,$O64,"")</f>
        <v/>
      </c>
      <c r="GI64" s="50" t="str">
        <f t="shared" si="80"/>
        <v/>
      </c>
      <c r="GJ64" s="50" t="str">
        <f t="shared" si="80"/>
        <v/>
      </c>
      <c r="GK64" s="50" t="str">
        <f t="shared" si="80"/>
        <v/>
      </c>
      <c r="GL64" s="50" t="str">
        <f t="shared" si="80"/>
        <v/>
      </c>
      <c r="GM64" s="50" t="str">
        <f t="shared" si="80"/>
        <v/>
      </c>
      <c r="GN64" s="50" t="str">
        <f t="shared" si="80"/>
        <v/>
      </c>
      <c r="GO64" s="50" t="str">
        <f t="shared" si="80"/>
        <v/>
      </c>
      <c r="GP64" s="50" t="str">
        <f t="shared" si="80"/>
        <v/>
      </c>
      <c r="GQ64" s="50" t="str">
        <f t="shared" si="80"/>
        <v/>
      </c>
      <c r="GR64" s="50" t="str">
        <f t="shared" si="80"/>
        <v/>
      </c>
      <c r="GS64" s="50" t="str">
        <f t="shared" si="80"/>
        <v/>
      </c>
      <c r="GT64" s="50" t="str">
        <f t="shared" si="80"/>
        <v/>
      </c>
      <c r="GU64" s="50" t="str">
        <f t="shared" si="80"/>
        <v/>
      </c>
      <c r="GV64" s="50" t="str">
        <f t="shared" si="80"/>
        <v/>
      </c>
      <c r="GW64" s="50" t="str">
        <f t="shared" si="29"/>
        <v/>
      </c>
      <c r="GX64" s="50" t="str">
        <f t="shared" si="29"/>
        <v/>
      </c>
      <c r="GY64" s="50" t="str">
        <f t="shared" si="29"/>
        <v/>
      </c>
      <c r="GZ64" s="50" t="str">
        <f t="shared" si="29"/>
        <v/>
      </c>
      <c r="HA64" s="50" t="str">
        <f t="shared" si="29"/>
        <v/>
      </c>
      <c r="HB64" s="50" t="str">
        <f t="shared" si="29"/>
        <v/>
      </c>
      <c r="HC64" s="50" t="str">
        <f t="shared" si="29"/>
        <v/>
      </c>
      <c r="HD64" s="50" t="str">
        <f t="shared" si="29"/>
        <v/>
      </c>
      <c r="HE64" s="50" t="str">
        <f t="shared" si="29"/>
        <v/>
      </c>
      <c r="HF64" s="50" t="str">
        <f t="shared" si="29"/>
        <v/>
      </c>
      <c r="HG64" s="50" t="str">
        <f t="shared" si="29"/>
        <v/>
      </c>
      <c r="HH64" s="50" t="str">
        <f t="shared" si="29"/>
        <v/>
      </c>
      <c r="HI64" s="50" t="str">
        <f t="shared" si="29"/>
        <v/>
      </c>
      <c r="HJ64" s="50" t="str">
        <f t="shared" si="29"/>
        <v/>
      </c>
      <c r="HK64" s="50" t="str">
        <f t="shared" si="29"/>
        <v/>
      </c>
      <c r="HL64" s="50" t="str">
        <f t="shared" si="29"/>
        <v/>
      </c>
      <c r="HM64" s="50" t="str">
        <f t="shared" si="76"/>
        <v/>
      </c>
      <c r="HN64" s="50" t="str">
        <f t="shared" si="23"/>
        <v/>
      </c>
      <c r="HO64" s="50" t="str">
        <f t="shared" si="23"/>
        <v/>
      </c>
      <c r="HP64" s="50" t="str">
        <f t="shared" si="23"/>
        <v/>
      </c>
      <c r="HQ64" s="50" t="str">
        <f t="shared" si="23"/>
        <v/>
      </c>
      <c r="HR64" s="116" t="str">
        <f t="shared" si="23"/>
        <v/>
      </c>
    </row>
    <row r="65" spans="1:226" ht="11.15" customHeight="1" x14ac:dyDescent="0.25">
      <c r="A65" s="26"/>
      <c r="B65" s="27"/>
      <c r="C65" s="28" t="str">
        <f>IF(A65=0,"",VLOOKUP(A65,[3]CO!$A$3:$F$5327,2,0))</f>
        <v/>
      </c>
      <c r="D65" s="29"/>
      <c r="E65" s="29"/>
      <c r="F65" s="29"/>
      <c r="G65" s="30" t="str">
        <f>IF(A65=0,"",VLOOKUP(A65,[3]CO!$A$3:$F$5327,3,0))</f>
        <v/>
      </c>
      <c r="H65" s="29"/>
      <c r="I65" s="31"/>
      <c r="J65" s="31"/>
      <c r="K65" s="31"/>
      <c r="L65" s="31"/>
      <c r="M65" s="32" t="str">
        <f t="shared" si="57"/>
        <v/>
      </c>
      <c r="N65" s="32" t="str">
        <f>IF(B65=0,"",IF(H65="M",HLOOKUP(B65,$Y$12:$DT$13,2),IF(A65=0,"",VLOOKUP(A65,[3]CO!$A$3:$F$5327,4,0))))</f>
        <v/>
      </c>
      <c r="O65" s="32" t="str">
        <f t="shared" si="58"/>
        <v/>
      </c>
      <c r="P65" s="33"/>
      <c r="Q65" s="34" t="str">
        <f t="shared" si="59"/>
        <v/>
      </c>
      <c r="R65" s="35" t="str">
        <f t="shared" si="60"/>
        <v/>
      </c>
      <c r="S65" s="122"/>
      <c r="T65" s="53" t="str">
        <f>IF(A65=0,"",VLOOKUP(A65,[3]CO!$A$3:$F$5318,5,0))</f>
        <v/>
      </c>
      <c r="U65" s="54">
        <f t="shared" si="61"/>
        <v>0</v>
      </c>
      <c r="V65" s="24"/>
      <c r="W65" s="25"/>
      <c r="X65" s="25"/>
      <c r="Y65" s="64" t="str">
        <f t="shared" si="70"/>
        <v/>
      </c>
      <c r="Z65" s="55" t="str">
        <f t="shared" si="70"/>
        <v/>
      </c>
      <c r="AA65" s="55" t="str">
        <f t="shared" si="70"/>
        <v/>
      </c>
      <c r="AB65" s="55" t="str">
        <f t="shared" si="70"/>
        <v/>
      </c>
      <c r="AC65" s="55" t="str">
        <f t="shared" si="70"/>
        <v/>
      </c>
      <c r="AD65" s="55" t="str">
        <f t="shared" si="70"/>
        <v/>
      </c>
      <c r="AE65" s="55" t="str">
        <f t="shared" si="70"/>
        <v/>
      </c>
      <c r="AF65" s="55" t="str">
        <f t="shared" si="70"/>
        <v/>
      </c>
      <c r="AG65" s="55" t="str">
        <f t="shared" si="70"/>
        <v/>
      </c>
      <c r="AH65" s="55" t="str">
        <f t="shared" si="70"/>
        <v/>
      </c>
      <c r="AI65" s="55" t="str">
        <f t="shared" si="70"/>
        <v/>
      </c>
      <c r="AJ65" s="55" t="str">
        <f t="shared" si="70"/>
        <v/>
      </c>
      <c r="AK65" s="55" t="str">
        <f t="shared" si="70"/>
        <v/>
      </c>
      <c r="AL65" s="55" t="str">
        <f t="shared" si="70"/>
        <v/>
      </c>
      <c r="AM65" s="55" t="str">
        <f t="shared" si="70"/>
        <v/>
      </c>
      <c r="AN65" s="55" t="str">
        <f t="shared" si="70"/>
        <v/>
      </c>
      <c r="AO65" s="55" t="str">
        <f t="shared" si="68"/>
        <v/>
      </c>
      <c r="AP65" s="55" t="str">
        <f t="shared" si="68"/>
        <v/>
      </c>
      <c r="AQ65" s="55" t="str">
        <f t="shared" si="68"/>
        <v/>
      </c>
      <c r="AR65" s="55" t="str">
        <f t="shared" si="68"/>
        <v/>
      </c>
      <c r="AS65" s="55" t="str">
        <f t="shared" si="68"/>
        <v/>
      </c>
      <c r="AT65" s="55" t="str">
        <f t="shared" si="68"/>
        <v/>
      </c>
      <c r="AU65" s="55" t="str">
        <f t="shared" si="68"/>
        <v/>
      </c>
      <c r="AV65" s="55" t="str">
        <f t="shared" si="68"/>
        <v/>
      </c>
      <c r="AW65" s="55" t="str">
        <f t="shared" si="68"/>
        <v/>
      </c>
      <c r="AX65" s="55" t="str">
        <f t="shared" si="68"/>
        <v/>
      </c>
      <c r="AY65" s="55" t="str">
        <f t="shared" si="68"/>
        <v/>
      </c>
      <c r="AZ65" s="55" t="str">
        <f t="shared" si="68"/>
        <v/>
      </c>
      <c r="BA65" s="55" t="str">
        <f t="shared" si="68"/>
        <v/>
      </c>
      <c r="BB65" s="55" t="str">
        <f t="shared" si="68"/>
        <v/>
      </c>
      <c r="BC65" s="55" t="str">
        <f t="shared" si="68"/>
        <v/>
      </c>
      <c r="BD65" s="55" t="str">
        <f t="shared" si="70"/>
        <v/>
      </c>
      <c r="BE65" s="55" t="str">
        <f t="shared" si="74"/>
        <v/>
      </c>
      <c r="BF65" s="55" t="str">
        <f t="shared" si="74"/>
        <v/>
      </c>
      <c r="BG65" s="55" t="str">
        <f t="shared" si="74"/>
        <v/>
      </c>
      <c r="BH65" s="55" t="str">
        <f t="shared" si="74"/>
        <v/>
      </c>
      <c r="BI65" s="55" t="str">
        <f t="shared" si="74"/>
        <v/>
      </c>
      <c r="BJ65" s="55" t="str">
        <f t="shared" si="74"/>
        <v/>
      </c>
      <c r="BK65" s="55" t="str">
        <f t="shared" si="74"/>
        <v/>
      </c>
      <c r="BL65" s="55" t="str">
        <f t="shared" si="74"/>
        <v/>
      </c>
      <c r="BM65" s="55" t="str">
        <f t="shared" si="74"/>
        <v/>
      </c>
      <c r="BN65" s="55" t="str">
        <f t="shared" si="74"/>
        <v/>
      </c>
      <c r="BO65" s="55" t="str">
        <f t="shared" si="74"/>
        <v/>
      </c>
      <c r="BP65" s="55" t="str">
        <f t="shared" si="74"/>
        <v/>
      </c>
      <c r="BQ65" s="55" t="str">
        <f t="shared" si="74"/>
        <v/>
      </c>
      <c r="BR65" s="55" t="str">
        <f t="shared" si="74"/>
        <v/>
      </c>
      <c r="BS65" s="55" t="str">
        <f t="shared" si="74"/>
        <v/>
      </c>
      <c r="BT65" s="55" t="str">
        <f t="shared" si="74"/>
        <v/>
      </c>
      <c r="BU65" s="55" t="str">
        <f t="shared" si="74"/>
        <v/>
      </c>
      <c r="BV65" s="55" t="str">
        <f t="shared" si="74"/>
        <v/>
      </c>
      <c r="BW65" s="55" t="str">
        <f t="shared" si="74"/>
        <v/>
      </c>
      <c r="BX65" s="55" t="str">
        <f t="shared" si="74"/>
        <v/>
      </c>
      <c r="BY65" s="55" t="str">
        <f t="shared" si="74"/>
        <v/>
      </c>
      <c r="BZ65" s="55" t="str">
        <f t="shared" si="74"/>
        <v/>
      </c>
      <c r="CA65" s="55" t="str">
        <f t="shared" si="74"/>
        <v/>
      </c>
      <c r="CB65" s="55" t="str">
        <f t="shared" si="74"/>
        <v/>
      </c>
      <c r="CC65" s="55" t="str">
        <f t="shared" si="74"/>
        <v/>
      </c>
      <c r="CD65" s="55" t="str">
        <f t="shared" si="74"/>
        <v/>
      </c>
      <c r="CE65" s="55" t="str">
        <f t="shared" si="74"/>
        <v/>
      </c>
      <c r="CF65" s="55" t="str">
        <f t="shared" si="74"/>
        <v/>
      </c>
      <c r="CG65" s="55" t="str">
        <f t="shared" si="74"/>
        <v/>
      </c>
      <c r="CH65" s="55" t="str">
        <f t="shared" si="74"/>
        <v/>
      </c>
      <c r="CI65" s="55" t="str">
        <f t="shared" si="74"/>
        <v/>
      </c>
      <c r="CJ65" s="55" t="str">
        <f t="shared" si="78"/>
        <v/>
      </c>
      <c r="CK65" s="55" t="str">
        <f t="shared" si="78"/>
        <v/>
      </c>
      <c r="CL65" s="55" t="str">
        <f t="shared" si="78"/>
        <v/>
      </c>
      <c r="CM65" s="55" t="str">
        <f t="shared" si="78"/>
        <v/>
      </c>
      <c r="CN65" s="55" t="str">
        <f t="shared" si="78"/>
        <v/>
      </c>
      <c r="CO65" s="55" t="str">
        <f t="shared" si="78"/>
        <v/>
      </c>
      <c r="CP65" s="55" t="str">
        <f t="shared" si="78"/>
        <v/>
      </c>
      <c r="CQ65" s="55" t="str">
        <f t="shared" si="78"/>
        <v/>
      </c>
      <c r="CR65" s="55" t="str">
        <f t="shared" si="78"/>
        <v/>
      </c>
      <c r="CS65" s="55" t="str">
        <f t="shared" si="78"/>
        <v/>
      </c>
      <c r="CT65" s="55" t="str">
        <f t="shared" si="78"/>
        <v/>
      </c>
      <c r="CU65" s="55" t="str">
        <f t="shared" si="78"/>
        <v/>
      </c>
      <c r="CV65" s="55" t="str">
        <f t="shared" si="78"/>
        <v/>
      </c>
      <c r="CW65" s="55" t="str">
        <f t="shared" si="78"/>
        <v/>
      </c>
      <c r="CX65" s="55" t="str">
        <f t="shared" si="78"/>
        <v/>
      </c>
      <c r="CY65" s="55" t="str">
        <f t="shared" si="28"/>
        <v/>
      </c>
      <c r="CZ65" s="55" t="str">
        <f t="shared" si="78"/>
        <v/>
      </c>
      <c r="DA65" s="55" t="str">
        <f t="shared" si="78"/>
        <v/>
      </c>
      <c r="DB65" s="55" t="str">
        <f t="shared" si="78"/>
        <v/>
      </c>
      <c r="DC65" s="55" t="str">
        <f t="shared" si="78"/>
        <v/>
      </c>
      <c r="DD65" s="55" t="str">
        <f t="shared" si="78"/>
        <v/>
      </c>
      <c r="DE65" s="55" t="str">
        <f t="shared" si="78"/>
        <v/>
      </c>
      <c r="DF65" s="55" t="str">
        <f t="shared" si="78"/>
        <v/>
      </c>
      <c r="DG65" s="55" t="str">
        <f t="shared" si="78"/>
        <v/>
      </c>
      <c r="DH65" s="55" t="str">
        <f t="shared" si="78"/>
        <v/>
      </c>
      <c r="DI65" s="55" t="str">
        <f t="shared" si="78"/>
        <v/>
      </c>
      <c r="DJ65" s="55" t="str">
        <f t="shared" si="78"/>
        <v/>
      </c>
      <c r="DK65" s="55" t="str">
        <f t="shared" si="78"/>
        <v/>
      </c>
      <c r="DL65" s="55" t="str">
        <f t="shared" si="78"/>
        <v/>
      </c>
      <c r="DM65" s="55" t="str">
        <f t="shared" si="78"/>
        <v/>
      </c>
      <c r="DN65" s="55" t="str">
        <f t="shared" si="78"/>
        <v/>
      </c>
      <c r="DO65" s="55" t="str">
        <f t="shared" si="78"/>
        <v/>
      </c>
      <c r="DP65" s="55" t="str">
        <f t="shared" si="78"/>
        <v/>
      </c>
      <c r="DQ65" s="55" t="str">
        <f t="shared" si="78"/>
        <v/>
      </c>
      <c r="DR65" s="55" t="str">
        <f t="shared" si="78"/>
        <v/>
      </c>
      <c r="DS65" s="55" t="str">
        <f t="shared" si="78"/>
        <v/>
      </c>
      <c r="DT65" s="110" t="str">
        <f t="shared" si="78"/>
        <v/>
      </c>
      <c r="DU65" s="54"/>
      <c r="DV65" s="25"/>
      <c r="DW65" s="61" t="str">
        <f t="shared" si="71"/>
        <v/>
      </c>
      <c r="DX65" s="50" t="str">
        <f t="shared" si="71"/>
        <v/>
      </c>
      <c r="DY65" s="50" t="str">
        <f t="shared" si="71"/>
        <v/>
      </c>
      <c r="DZ65" s="50" t="str">
        <f t="shared" si="71"/>
        <v/>
      </c>
      <c r="EA65" s="50" t="str">
        <f t="shared" si="71"/>
        <v/>
      </c>
      <c r="EB65" s="50" t="str">
        <f t="shared" si="71"/>
        <v/>
      </c>
      <c r="EC65" s="50" t="str">
        <f t="shared" si="71"/>
        <v/>
      </c>
      <c r="ED65" s="50" t="str">
        <f t="shared" si="71"/>
        <v/>
      </c>
      <c r="EE65" s="50" t="str">
        <f t="shared" si="71"/>
        <v/>
      </c>
      <c r="EF65" s="50" t="str">
        <f t="shared" si="71"/>
        <v/>
      </c>
      <c r="EG65" s="50" t="str">
        <f t="shared" si="71"/>
        <v/>
      </c>
      <c r="EH65" s="50" t="str">
        <f t="shared" si="71"/>
        <v/>
      </c>
      <c r="EI65" s="50" t="str">
        <f t="shared" si="71"/>
        <v/>
      </c>
      <c r="EJ65" s="50" t="str">
        <f t="shared" si="71"/>
        <v/>
      </c>
      <c r="EK65" s="50" t="str">
        <f t="shared" si="71"/>
        <v/>
      </c>
      <c r="EL65" s="50" t="str">
        <f t="shared" si="71"/>
        <v/>
      </c>
      <c r="EM65" s="50" t="str">
        <f t="shared" si="69"/>
        <v/>
      </c>
      <c r="EN65" s="50" t="str">
        <f t="shared" si="69"/>
        <v/>
      </c>
      <c r="EO65" s="50" t="str">
        <f t="shared" si="69"/>
        <v/>
      </c>
      <c r="EP65" s="50" t="str">
        <f t="shared" si="69"/>
        <v/>
      </c>
      <c r="EQ65" s="50" t="str">
        <f t="shared" si="69"/>
        <v/>
      </c>
      <c r="ER65" s="50" t="str">
        <f t="shared" si="69"/>
        <v/>
      </c>
      <c r="ES65" s="50" t="str">
        <f t="shared" si="69"/>
        <v/>
      </c>
      <c r="ET65" s="50" t="str">
        <f t="shared" si="69"/>
        <v/>
      </c>
      <c r="EU65" s="50" t="str">
        <f t="shared" si="69"/>
        <v/>
      </c>
      <c r="EV65" s="50" t="str">
        <f t="shared" si="69"/>
        <v/>
      </c>
      <c r="EW65" s="50" t="str">
        <f t="shared" si="69"/>
        <v/>
      </c>
      <c r="EX65" s="50" t="str">
        <f t="shared" si="69"/>
        <v/>
      </c>
      <c r="EY65" s="50" t="str">
        <f t="shared" si="69"/>
        <v/>
      </c>
      <c r="EZ65" s="50" t="str">
        <f t="shared" si="69"/>
        <v/>
      </c>
      <c r="FA65" s="50" t="str">
        <f t="shared" si="69"/>
        <v/>
      </c>
      <c r="FB65" s="50" t="str">
        <f t="shared" si="71"/>
        <v/>
      </c>
      <c r="FC65" s="50" t="str">
        <f t="shared" si="75"/>
        <v/>
      </c>
      <c r="FD65" s="50" t="str">
        <f t="shared" si="75"/>
        <v/>
      </c>
      <c r="FE65" s="50" t="str">
        <f t="shared" si="75"/>
        <v/>
      </c>
      <c r="FF65" s="50" t="str">
        <f t="shared" si="75"/>
        <v/>
      </c>
      <c r="FG65" s="50" t="str">
        <f t="shared" si="75"/>
        <v/>
      </c>
      <c r="FH65" s="50" t="str">
        <f t="shared" si="75"/>
        <v/>
      </c>
      <c r="FI65" s="50" t="str">
        <f t="shared" si="75"/>
        <v/>
      </c>
      <c r="FJ65" s="50" t="str">
        <f t="shared" si="75"/>
        <v/>
      </c>
      <c r="FK65" s="50" t="str">
        <f t="shared" si="75"/>
        <v/>
      </c>
      <c r="FL65" s="50" t="str">
        <f t="shared" si="75"/>
        <v/>
      </c>
      <c r="FM65" s="50" t="str">
        <f t="shared" si="75"/>
        <v/>
      </c>
      <c r="FN65" s="50" t="str">
        <f t="shared" si="75"/>
        <v/>
      </c>
      <c r="FO65" s="50" t="str">
        <f t="shared" si="75"/>
        <v/>
      </c>
      <c r="FP65" s="50" t="str">
        <f t="shared" si="75"/>
        <v/>
      </c>
      <c r="FQ65" s="50" t="str">
        <f t="shared" si="75"/>
        <v/>
      </c>
      <c r="FR65" s="50" t="str">
        <f t="shared" si="75"/>
        <v/>
      </c>
      <c r="FS65" s="50" t="str">
        <f t="shared" si="75"/>
        <v/>
      </c>
      <c r="FT65" s="50" t="str">
        <f t="shared" si="75"/>
        <v/>
      </c>
      <c r="FU65" s="50" t="str">
        <f t="shared" si="75"/>
        <v/>
      </c>
      <c r="FV65" s="50" t="str">
        <f t="shared" si="75"/>
        <v/>
      </c>
      <c r="FW65" s="50" t="str">
        <f t="shared" si="75"/>
        <v/>
      </c>
      <c r="FX65" s="50" t="str">
        <f t="shared" si="75"/>
        <v/>
      </c>
      <c r="FY65" s="50" t="str">
        <f t="shared" si="75"/>
        <v/>
      </c>
      <c r="FZ65" s="50" t="str">
        <f t="shared" si="75"/>
        <v/>
      </c>
      <c r="GA65" s="50" t="str">
        <f t="shared" si="75"/>
        <v/>
      </c>
      <c r="GB65" s="50" t="str">
        <f t="shared" si="75"/>
        <v/>
      </c>
      <c r="GC65" s="50" t="str">
        <f t="shared" si="75"/>
        <v/>
      </c>
      <c r="GD65" s="50" t="str">
        <f t="shared" si="75"/>
        <v/>
      </c>
      <c r="GE65" s="50" t="str">
        <f t="shared" si="75"/>
        <v/>
      </c>
      <c r="GF65" s="50" t="str">
        <f t="shared" si="75"/>
        <v/>
      </c>
      <c r="GG65" s="50" t="str">
        <f t="shared" si="75"/>
        <v/>
      </c>
      <c r="GH65" s="50" t="str">
        <f t="shared" si="80"/>
        <v/>
      </c>
      <c r="GI65" s="50" t="str">
        <f t="shared" si="80"/>
        <v/>
      </c>
      <c r="GJ65" s="50" t="str">
        <f t="shared" si="80"/>
        <v/>
      </c>
      <c r="GK65" s="50" t="str">
        <f t="shared" si="80"/>
        <v/>
      </c>
      <c r="GL65" s="50" t="str">
        <f t="shared" si="80"/>
        <v/>
      </c>
      <c r="GM65" s="50" t="str">
        <f t="shared" si="80"/>
        <v/>
      </c>
      <c r="GN65" s="50" t="str">
        <f t="shared" si="80"/>
        <v/>
      </c>
      <c r="GO65" s="50" t="str">
        <f t="shared" si="80"/>
        <v/>
      </c>
      <c r="GP65" s="50" t="str">
        <f t="shared" si="80"/>
        <v/>
      </c>
      <c r="GQ65" s="50" t="str">
        <f t="shared" si="80"/>
        <v/>
      </c>
      <c r="GR65" s="50" t="str">
        <f t="shared" si="80"/>
        <v/>
      </c>
      <c r="GS65" s="50" t="str">
        <f t="shared" si="80"/>
        <v/>
      </c>
      <c r="GT65" s="50" t="str">
        <f t="shared" si="80"/>
        <v/>
      </c>
      <c r="GU65" s="50" t="str">
        <f t="shared" si="80"/>
        <v/>
      </c>
      <c r="GV65" s="50" t="str">
        <f t="shared" si="80"/>
        <v/>
      </c>
      <c r="GW65" s="50" t="str">
        <f t="shared" si="29"/>
        <v/>
      </c>
      <c r="GX65" s="50" t="str">
        <f t="shared" si="29"/>
        <v/>
      </c>
      <c r="GY65" s="50" t="str">
        <f t="shared" si="29"/>
        <v/>
      </c>
      <c r="GZ65" s="50" t="str">
        <f t="shared" si="29"/>
        <v/>
      </c>
      <c r="HA65" s="50" t="str">
        <f t="shared" si="29"/>
        <v/>
      </c>
      <c r="HB65" s="50" t="str">
        <f t="shared" si="29"/>
        <v/>
      </c>
      <c r="HC65" s="50" t="str">
        <f t="shared" si="29"/>
        <v/>
      </c>
      <c r="HD65" s="50" t="str">
        <f t="shared" si="29"/>
        <v/>
      </c>
      <c r="HE65" s="50" t="str">
        <f t="shared" si="29"/>
        <v/>
      </c>
      <c r="HF65" s="50" t="str">
        <f t="shared" si="29"/>
        <v/>
      </c>
      <c r="HG65" s="50" t="str">
        <f t="shared" si="29"/>
        <v/>
      </c>
      <c r="HH65" s="50" t="str">
        <f t="shared" si="29"/>
        <v/>
      </c>
      <c r="HI65" s="50" t="str">
        <f t="shared" si="29"/>
        <v/>
      </c>
      <c r="HJ65" s="50" t="str">
        <f t="shared" si="29"/>
        <v/>
      </c>
      <c r="HK65" s="50" t="str">
        <f t="shared" si="29"/>
        <v/>
      </c>
      <c r="HL65" s="50" t="str">
        <f t="shared" si="29"/>
        <v/>
      </c>
      <c r="HM65" s="50" t="str">
        <f t="shared" si="76"/>
        <v/>
      </c>
      <c r="HN65" s="50" t="str">
        <f t="shared" si="23"/>
        <v/>
      </c>
      <c r="HO65" s="50" t="str">
        <f t="shared" si="23"/>
        <v/>
      </c>
      <c r="HP65" s="50" t="str">
        <f t="shared" si="23"/>
        <v/>
      </c>
      <c r="HQ65" s="50" t="str">
        <f t="shared" si="23"/>
        <v/>
      </c>
      <c r="HR65" s="116" t="str">
        <f t="shared" si="23"/>
        <v/>
      </c>
    </row>
    <row r="66" spans="1:226" ht="11.15" customHeight="1" x14ac:dyDescent="0.25">
      <c r="A66" s="26">
        <v>3608</v>
      </c>
      <c r="B66" s="27">
        <v>8</v>
      </c>
      <c r="C66" s="28" t="str">
        <f>IF(A66=0,"",VLOOKUP(A66,[3]CO!$A$3:$F$5327,2,0))</f>
        <v>LOZANO URISTA BRUNO</v>
      </c>
      <c r="D66" s="29"/>
      <c r="E66" s="29"/>
      <c r="F66" s="29"/>
      <c r="G66" s="30" t="str">
        <f>IF(A66=0,"",VLOOKUP(A66,[3]CO!$A$3:$F$5327,3,0))</f>
        <v>PEON</v>
      </c>
      <c r="H66" s="29"/>
      <c r="I66" s="31"/>
      <c r="J66" s="31"/>
      <c r="K66" s="31"/>
      <c r="L66" s="31">
        <v>1.359</v>
      </c>
      <c r="M66" s="32">
        <f t="shared" si="57"/>
        <v>1.359</v>
      </c>
      <c r="N66" s="32">
        <f>IF(B66=0,"",IF(H66="M",HLOOKUP(B66,$Y$12:$DT$13,2),IF(A66=0,"",VLOOKUP(A66,[3]CO!$A$3:$F$5327,4,0))))</f>
        <v>440</v>
      </c>
      <c r="O66" s="32">
        <f t="shared" si="58"/>
        <v>597.96</v>
      </c>
      <c r="P66" s="33">
        <v>8</v>
      </c>
      <c r="Q66" s="34">
        <f t="shared" si="59"/>
        <v>597.96</v>
      </c>
      <c r="R66" s="35">
        <f t="shared" si="60"/>
        <v>597.96</v>
      </c>
      <c r="S66" s="122">
        <v>1</v>
      </c>
      <c r="T66" s="53">
        <f>IF(A66=0,"",VLOOKUP(A66,[3]CO!$A$3:$F$5318,5,0))</f>
        <v>0</v>
      </c>
      <c r="U66" s="54">
        <f t="shared" si="61"/>
        <v>0</v>
      </c>
      <c r="V66" s="24"/>
      <c r="W66" s="25"/>
      <c r="X66" s="25"/>
      <c r="Y66" s="64" t="str">
        <f t="shared" si="70"/>
        <v/>
      </c>
      <c r="Z66" s="55" t="str">
        <f t="shared" si="70"/>
        <v/>
      </c>
      <c r="AA66" s="55" t="str">
        <f t="shared" si="70"/>
        <v/>
      </c>
      <c r="AB66" s="55" t="str">
        <f t="shared" si="70"/>
        <v/>
      </c>
      <c r="AC66" s="55" t="str">
        <f t="shared" si="70"/>
        <v/>
      </c>
      <c r="AD66" s="55" t="str">
        <f t="shared" si="70"/>
        <v/>
      </c>
      <c r="AE66" s="55" t="str">
        <f t="shared" si="70"/>
        <v/>
      </c>
      <c r="AF66" s="55">
        <f t="shared" si="70"/>
        <v>0</v>
      </c>
      <c r="AG66" s="55" t="str">
        <f t="shared" si="70"/>
        <v/>
      </c>
      <c r="AH66" s="55" t="str">
        <f t="shared" si="70"/>
        <v/>
      </c>
      <c r="AI66" s="55" t="str">
        <f t="shared" si="70"/>
        <v/>
      </c>
      <c r="AJ66" s="55" t="str">
        <f t="shared" si="70"/>
        <v/>
      </c>
      <c r="AK66" s="55" t="str">
        <f t="shared" si="70"/>
        <v/>
      </c>
      <c r="AL66" s="55" t="str">
        <f t="shared" si="70"/>
        <v/>
      </c>
      <c r="AM66" s="55" t="str">
        <f t="shared" si="70"/>
        <v/>
      </c>
      <c r="AN66" s="55" t="str">
        <f t="shared" si="70"/>
        <v/>
      </c>
      <c r="AO66" s="55" t="str">
        <f t="shared" si="68"/>
        <v/>
      </c>
      <c r="AP66" s="55" t="str">
        <f t="shared" si="68"/>
        <v/>
      </c>
      <c r="AQ66" s="55" t="str">
        <f t="shared" si="68"/>
        <v/>
      </c>
      <c r="AR66" s="55" t="str">
        <f t="shared" si="68"/>
        <v/>
      </c>
      <c r="AS66" s="55" t="str">
        <f t="shared" si="68"/>
        <v/>
      </c>
      <c r="AT66" s="55" t="str">
        <f t="shared" si="68"/>
        <v/>
      </c>
      <c r="AU66" s="55" t="str">
        <f t="shared" si="68"/>
        <v/>
      </c>
      <c r="AV66" s="55" t="str">
        <f t="shared" si="68"/>
        <v/>
      </c>
      <c r="AW66" s="55" t="str">
        <f t="shared" si="68"/>
        <v/>
      </c>
      <c r="AX66" s="55" t="str">
        <f t="shared" si="68"/>
        <v/>
      </c>
      <c r="AY66" s="55" t="str">
        <f t="shared" si="68"/>
        <v/>
      </c>
      <c r="AZ66" s="55" t="str">
        <f t="shared" si="68"/>
        <v/>
      </c>
      <c r="BA66" s="55" t="str">
        <f t="shared" si="68"/>
        <v/>
      </c>
      <c r="BB66" s="55" t="str">
        <f t="shared" si="68"/>
        <v/>
      </c>
      <c r="BC66" s="55" t="str">
        <f t="shared" si="68"/>
        <v/>
      </c>
      <c r="BD66" s="55" t="str">
        <f t="shared" si="70"/>
        <v/>
      </c>
      <c r="BE66" s="55" t="str">
        <f t="shared" si="74"/>
        <v/>
      </c>
      <c r="BF66" s="55" t="str">
        <f t="shared" si="74"/>
        <v/>
      </c>
      <c r="BG66" s="55" t="str">
        <f t="shared" si="74"/>
        <v/>
      </c>
      <c r="BH66" s="55" t="str">
        <f t="shared" si="74"/>
        <v/>
      </c>
      <c r="BI66" s="55" t="str">
        <f t="shared" si="74"/>
        <v/>
      </c>
      <c r="BJ66" s="55" t="str">
        <f t="shared" si="74"/>
        <v/>
      </c>
      <c r="BK66" s="55" t="str">
        <f t="shared" si="74"/>
        <v/>
      </c>
      <c r="BL66" s="55" t="str">
        <f t="shared" si="74"/>
        <v/>
      </c>
      <c r="BM66" s="55" t="str">
        <f t="shared" si="74"/>
        <v/>
      </c>
      <c r="BN66" s="55" t="str">
        <f t="shared" si="74"/>
        <v/>
      </c>
      <c r="BO66" s="55" t="str">
        <f t="shared" si="74"/>
        <v/>
      </c>
      <c r="BP66" s="55" t="str">
        <f t="shared" si="74"/>
        <v/>
      </c>
      <c r="BQ66" s="55" t="str">
        <f t="shared" si="74"/>
        <v/>
      </c>
      <c r="BR66" s="55" t="str">
        <f t="shared" si="74"/>
        <v/>
      </c>
      <c r="BS66" s="55" t="str">
        <f t="shared" si="74"/>
        <v/>
      </c>
      <c r="BT66" s="55" t="str">
        <f t="shared" si="74"/>
        <v/>
      </c>
      <c r="BU66" s="55" t="str">
        <f t="shared" si="74"/>
        <v/>
      </c>
      <c r="BV66" s="55" t="str">
        <f t="shared" si="74"/>
        <v/>
      </c>
      <c r="BW66" s="55" t="str">
        <f t="shared" si="74"/>
        <v/>
      </c>
      <c r="BX66" s="55" t="str">
        <f t="shared" si="74"/>
        <v/>
      </c>
      <c r="BY66" s="55" t="str">
        <f t="shared" si="74"/>
        <v/>
      </c>
      <c r="BZ66" s="55" t="str">
        <f t="shared" si="74"/>
        <v/>
      </c>
      <c r="CA66" s="55" t="str">
        <f t="shared" si="74"/>
        <v/>
      </c>
      <c r="CB66" s="55" t="str">
        <f t="shared" si="74"/>
        <v/>
      </c>
      <c r="CC66" s="55" t="str">
        <f t="shared" si="74"/>
        <v/>
      </c>
      <c r="CD66" s="55" t="str">
        <f t="shared" si="74"/>
        <v/>
      </c>
      <c r="CE66" s="55" t="str">
        <f t="shared" si="74"/>
        <v/>
      </c>
      <c r="CF66" s="55" t="str">
        <f t="shared" si="74"/>
        <v/>
      </c>
      <c r="CG66" s="55" t="str">
        <f t="shared" si="74"/>
        <v/>
      </c>
      <c r="CH66" s="55" t="str">
        <f t="shared" si="74"/>
        <v/>
      </c>
      <c r="CI66" s="55" t="str">
        <f t="shared" si="74"/>
        <v/>
      </c>
      <c r="CJ66" s="55" t="str">
        <f t="shared" si="78"/>
        <v/>
      </c>
      <c r="CK66" s="55" t="str">
        <f t="shared" si="78"/>
        <v/>
      </c>
      <c r="CL66" s="55" t="str">
        <f t="shared" si="78"/>
        <v/>
      </c>
      <c r="CM66" s="55" t="str">
        <f t="shared" si="78"/>
        <v/>
      </c>
      <c r="CN66" s="55" t="str">
        <f t="shared" si="78"/>
        <v/>
      </c>
      <c r="CO66" s="55" t="str">
        <f t="shared" si="78"/>
        <v/>
      </c>
      <c r="CP66" s="55" t="str">
        <f t="shared" si="78"/>
        <v/>
      </c>
      <c r="CQ66" s="55" t="str">
        <f t="shared" si="78"/>
        <v/>
      </c>
      <c r="CR66" s="55" t="str">
        <f t="shared" si="78"/>
        <v/>
      </c>
      <c r="CS66" s="55" t="str">
        <f t="shared" si="78"/>
        <v/>
      </c>
      <c r="CT66" s="55" t="str">
        <f t="shared" si="78"/>
        <v/>
      </c>
      <c r="CU66" s="55" t="str">
        <f t="shared" si="78"/>
        <v/>
      </c>
      <c r="CV66" s="55" t="str">
        <f t="shared" si="78"/>
        <v/>
      </c>
      <c r="CW66" s="55" t="str">
        <f t="shared" si="78"/>
        <v/>
      </c>
      <c r="CX66" s="55" t="str">
        <f t="shared" si="78"/>
        <v/>
      </c>
      <c r="CY66" s="55" t="str">
        <f t="shared" si="28"/>
        <v/>
      </c>
      <c r="CZ66" s="55" t="str">
        <f t="shared" si="78"/>
        <v/>
      </c>
      <c r="DA66" s="55" t="str">
        <f t="shared" si="78"/>
        <v/>
      </c>
      <c r="DB66" s="55" t="str">
        <f t="shared" si="78"/>
        <v/>
      </c>
      <c r="DC66" s="55" t="str">
        <f t="shared" si="78"/>
        <v/>
      </c>
      <c r="DD66" s="55" t="str">
        <f t="shared" si="78"/>
        <v/>
      </c>
      <c r="DE66" s="55" t="str">
        <f t="shared" si="78"/>
        <v/>
      </c>
      <c r="DF66" s="55" t="str">
        <f t="shared" si="78"/>
        <v/>
      </c>
      <c r="DG66" s="55" t="str">
        <f t="shared" si="78"/>
        <v/>
      </c>
      <c r="DH66" s="55" t="str">
        <f t="shared" si="78"/>
        <v/>
      </c>
      <c r="DI66" s="55" t="str">
        <f t="shared" si="78"/>
        <v/>
      </c>
      <c r="DJ66" s="55" t="str">
        <f t="shared" si="78"/>
        <v/>
      </c>
      <c r="DK66" s="55" t="str">
        <f t="shared" si="78"/>
        <v/>
      </c>
      <c r="DL66" s="55" t="str">
        <f t="shared" si="78"/>
        <v/>
      </c>
      <c r="DM66" s="55" t="str">
        <f t="shared" si="78"/>
        <v/>
      </c>
      <c r="DN66" s="55" t="str">
        <f t="shared" si="78"/>
        <v/>
      </c>
      <c r="DO66" s="55" t="str">
        <f t="shared" si="78"/>
        <v/>
      </c>
      <c r="DP66" s="55" t="str">
        <f t="shared" si="78"/>
        <v/>
      </c>
      <c r="DQ66" s="55" t="str">
        <f t="shared" si="78"/>
        <v/>
      </c>
      <c r="DR66" s="55" t="str">
        <f t="shared" si="78"/>
        <v/>
      </c>
      <c r="DS66" s="55" t="str">
        <f t="shared" si="78"/>
        <v/>
      </c>
      <c r="DT66" s="110" t="str">
        <f t="shared" si="78"/>
        <v/>
      </c>
      <c r="DU66" s="54"/>
      <c r="DV66" s="25"/>
      <c r="DW66" s="61" t="str">
        <f t="shared" si="71"/>
        <v/>
      </c>
      <c r="DX66" s="50" t="str">
        <f t="shared" si="71"/>
        <v/>
      </c>
      <c r="DY66" s="50" t="str">
        <f t="shared" si="71"/>
        <v/>
      </c>
      <c r="DZ66" s="50" t="str">
        <f t="shared" si="71"/>
        <v/>
      </c>
      <c r="EA66" s="50" t="str">
        <f t="shared" si="71"/>
        <v/>
      </c>
      <c r="EB66" s="50" t="str">
        <f t="shared" si="71"/>
        <v/>
      </c>
      <c r="EC66" s="50" t="str">
        <f t="shared" si="71"/>
        <v/>
      </c>
      <c r="ED66" s="50">
        <f t="shared" si="71"/>
        <v>597.96</v>
      </c>
      <c r="EE66" s="50" t="str">
        <f t="shared" si="71"/>
        <v/>
      </c>
      <c r="EF66" s="50" t="str">
        <f t="shared" si="71"/>
        <v/>
      </c>
      <c r="EG66" s="50" t="str">
        <f t="shared" si="71"/>
        <v/>
      </c>
      <c r="EH66" s="50" t="str">
        <f t="shared" si="71"/>
        <v/>
      </c>
      <c r="EI66" s="50" t="str">
        <f t="shared" si="71"/>
        <v/>
      </c>
      <c r="EJ66" s="50" t="str">
        <f t="shared" si="71"/>
        <v/>
      </c>
      <c r="EK66" s="50" t="str">
        <f t="shared" si="71"/>
        <v/>
      </c>
      <c r="EL66" s="50" t="str">
        <f t="shared" si="71"/>
        <v/>
      </c>
      <c r="EM66" s="50" t="str">
        <f t="shared" si="69"/>
        <v/>
      </c>
      <c r="EN66" s="50" t="str">
        <f t="shared" si="69"/>
        <v/>
      </c>
      <c r="EO66" s="50" t="str">
        <f t="shared" si="69"/>
        <v/>
      </c>
      <c r="EP66" s="50" t="str">
        <f t="shared" si="69"/>
        <v/>
      </c>
      <c r="EQ66" s="50" t="str">
        <f t="shared" si="69"/>
        <v/>
      </c>
      <c r="ER66" s="50" t="str">
        <f t="shared" si="69"/>
        <v/>
      </c>
      <c r="ES66" s="50" t="str">
        <f t="shared" si="69"/>
        <v/>
      </c>
      <c r="ET66" s="50" t="str">
        <f t="shared" si="69"/>
        <v/>
      </c>
      <c r="EU66" s="50" t="str">
        <f t="shared" si="69"/>
        <v/>
      </c>
      <c r="EV66" s="50" t="str">
        <f t="shared" si="69"/>
        <v/>
      </c>
      <c r="EW66" s="50" t="str">
        <f t="shared" si="69"/>
        <v/>
      </c>
      <c r="EX66" s="50" t="str">
        <f t="shared" si="69"/>
        <v/>
      </c>
      <c r="EY66" s="50" t="str">
        <f t="shared" si="69"/>
        <v/>
      </c>
      <c r="EZ66" s="50" t="str">
        <f t="shared" si="69"/>
        <v/>
      </c>
      <c r="FA66" s="50" t="str">
        <f t="shared" si="69"/>
        <v/>
      </c>
      <c r="FB66" s="50" t="str">
        <f t="shared" si="71"/>
        <v/>
      </c>
      <c r="FC66" s="50" t="str">
        <f t="shared" si="75"/>
        <v/>
      </c>
      <c r="FD66" s="50" t="str">
        <f t="shared" si="75"/>
        <v/>
      </c>
      <c r="FE66" s="50" t="str">
        <f t="shared" si="75"/>
        <v/>
      </c>
      <c r="FF66" s="50" t="str">
        <f t="shared" si="75"/>
        <v/>
      </c>
      <c r="FG66" s="50" t="str">
        <f t="shared" si="75"/>
        <v/>
      </c>
      <c r="FH66" s="50" t="str">
        <f t="shared" si="75"/>
        <v/>
      </c>
      <c r="FI66" s="50" t="str">
        <f t="shared" si="75"/>
        <v/>
      </c>
      <c r="FJ66" s="50" t="str">
        <f t="shared" si="75"/>
        <v/>
      </c>
      <c r="FK66" s="50" t="str">
        <f t="shared" si="75"/>
        <v/>
      </c>
      <c r="FL66" s="50" t="str">
        <f t="shared" si="75"/>
        <v/>
      </c>
      <c r="FM66" s="50" t="str">
        <f t="shared" si="75"/>
        <v/>
      </c>
      <c r="FN66" s="50" t="str">
        <f t="shared" si="75"/>
        <v/>
      </c>
      <c r="FO66" s="50" t="str">
        <f t="shared" si="75"/>
        <v/>
      </c>
      <c r="FP66" s="50" t="str">
        <f t="shared" si="75"/>
        <v/>
      </c>
      <c r="FQ66" s="50" t="str">
        <f t="shared" si="75"/>
        <v/>
      </c>
      <c r="FR66" s="50" t="str">
        <f t="shared" si="75"/>
        <v/>
      </c>
      <c r="FS66" s="50" t="str">
        <f t="shared" si="75"/>
        <v/>
      </c>
      <c r="FT66" s="50" t="str">
        <f t="shared" si="75"/>
        <v/>
      </c>
      <c r="FU66" s="50" t="str">
        <f t="shared" si="75"/>
        <v/>
      </c>
      <c r="FV66" s="50" t="str">
        <f t="shared" si="75"/>
        <v/>
      </c>
      <c r="FW66" s="50" t="str">
        <f t="shared" si="75"/>
        <v/>
      </c>
      <c r="FX66" s="50" t="str">
        <f t="shared" si="75"/>
        <v/>
      </c>
      <c r="FY66" s="50" t="str">
        <f t="shared" si="75"/>
        <v/>
      </c>
      <c r="FZ66" s="50" t="str">
        <f t="shared" si="75"/>
        <v/>
      </c>
      <c r="GA66" s="50" t="str">
        <f t="shared" si="75"/>
        <v/>
      </c>
      <c r="GB66" s="50" t="str">
        <f t="shared" si="75"/>
        <v/>
      </c>
      <c r="GC66" s="50" t="str">
        <f t="shared" si="75"/>
        <v/>
      </c>
      <c r="GD66" s="50" t="str">
        <f t="shared" si="75"/>
        <v/>
      </c>
      <c r="GE66" s="50" t="str">
        <f t="shared" si="75"/>
        <v/>
      </c>
      <c r="GF66" s="50" t="str">
        <f t="shared" si="75"/>
        <v/>
      </c>
      <c r="GG66" s="50" t="str">
        <f t="shared" si="75"/>
        <v/>
      </c>
      <c r="GH66" s="50" t="str">
        <f t="shared" si="80"/>
        <v/>
      </c>
      <c r="GI66" s="50" t="str">
        <f t="shared" si="80"/>
        <v/>
      </c>
      <c r="GJ66" s="50" t="str">
        <f t="shared" si="80"/>
        <v/>
      </c>
      <c r="GK66" s="50" t="str">
        <f t="shared" si="80"/>
        <v/>
      </c>
      <c r="GL66" s="50" t="str">
        <f t="shared" si="80"/>
        <v/>
      </c>
      <c r="GM66" s="50" t="str">
        <f t="shared" si="80"/>
        <v/>
      </c>
      <c r="GN66" s="50" t="str">
        <f t="shared" si="80"/>
        <v/>
      </c>
      <c r="GO66" s="50" t="str">
        <f t="shared" si="80"/>
        <v/>
      </c>
      <c r="GP66" s="50" t="str">
        <f t="shared" si="80"/>
        <v/>
      </c>
      <c r="GQ66" s="50" t="str">
        <f t="shared" si="80"/>
        <v/>
      </c>
      <c r="GR66" s="50" t="str">
        <f t="shared" si="80"/>
        <v/>
      </c>
      <c r="GS66" s="50" t="str">
        <f t="shared" si="80"/>
        <v/>
      </c>
      <c r="GT66" s="50" t="str">
        <f t="shared" si="80"/>
        <v/>
      </c>
      <c r="GU66" s="50" t="str">
        <f t="shared" si="80"/>
        <v/>
      </c>
      <c r="GV66" s="50" t="str">
        <f t="shared" si="80"/>
        <v/>
      </c>
      <c r="GW66" s="50" t="str">
        <f t="shared" si="29"/>
        <v/>
      </c>
      <c r="GX66" s="50" t="str">
        <f t="shared" si="29"/>
        <v/>
      </c>
      <c r="GY66" s="50" t="str">
        <f t="shared" si="29"/>
        <v/>
      </c>
      <c r="GZ66" s="50" t="str">
        <f t="shared" si="29"/>
        <v/>
      </c>
      <c r="HA66" s="50" t="str">
        <f t="shared" si="29"/>
        <v/>
      </c>
      <c r="HB66" s="50" t="str">
        <f t="shared" si="29"/>
        <v/>
      </c>
      <c r="HC66" s="50" t="str">
        <f t="shared" si="29"/>
        <v/>
      </c>
      <c r="HD66" s="50" t="str">
        <f t="shared" si="29"/>
        <v/>
      </c>
      <c r="HE66" s="50" t="str">
        <f t="shared" si="29"/>
        <v/>
      </c>
      <c r="HF66" s="50" t="str">
        <f t="shared" si="29"/>
        <v/>
      </c>
      <c r="HG66" s="50" t="str">
        <f t="shared" si="29"/>
        <v/>
      </c>
      <c r="HH66" s="50" t="str">
        <f t="shared" si="29"/>
        <v/>
      </c>
      <c r="HI66" s="50" t="str">
        <f t="shared" si="29"/>
        <v/>
      </c>
      <c r="HJ66" s="50" t="str">
        <f t="shared" si="29"/>
        <v/>
      </c>
      <c r="HK66" s="50" t="str">
        <f t="shared" si="29"/>
        <v/>
      </c>
      <c r="HL66" s="50" t="str">
        <f t="shared" si="29"/>
        <v/>
      </c>
      <c r="HM66" s="50" t="str">
        <f t="shared" si="76"/>
        <v/>
      </c>
      <c r="HN66" s="50" t="str">
        <f t="shared" si="23"/>
        <v/>
      </c>
      <c r="HO66" s="50" t="str">
        <f t="shared" si="23"/>
        <v/>
      </c>
      <c r="HP66" s="50" t="str">
        <f t="shared" si="23"/>
        <v/>
      </c>
      <c r="HQ66" s="50" t="str">
        <f t="shared" si="23"/>
        <v/>
      </c>
      <c r="HR66" s="116" t="str">
        <f t="shared" si="23"/>
        <v/>
      </c>
    </row>
    <row r="67" spans="1:226" ht="11.15" customHeight="1" x14ac:dyDescent="0.25">
      <c r="A67" s="26"/>
      <c r="B67" s="27"/>
      <c r="C67" s="28" t="str">
        <f>IF(A67=0,"",VLOOKUP(A67,[3]CO!$A$3:$F$5327,2,0))</f>
        <v/>
      </c>
      <c r="D67" s="29" t="s">
        <v>55</v>
      </c>
      <c r="E67" s="29"/>
      <c r="F67" s="29"/>
      <c r="G67" s="30" t="str">
        <f>IF(A67=0,"",VLOOKUP(A67,[3]CO!$A$3:$F$5327,3,0))</f>
        <v/>
      </c>
      <c r="H67" s="29"/>
      <c r="I67" s="31"/>
      <c r="J67" s="31"/>
      <c r="K67" s="31"/>
      <c r="L67" s="31"/>
      <c r="M67" s="32" t="str">
        <f t="shared" si="57"/>
        <v/>
      </c>
      <c r="N67" s="32" t="str">
        <f>IF(B67=0,"",IF(H67="M",HLOOKUP(B67,$Y$12:$DT$13,2),IF(A67=0,"",VLOOKUP(A67,[3]CO!$A$3:$F$5327,4,0))))</f>
        <v/>
      </c>
      <c r="O67" s="32" t="str">
        <f t="shared" si="58"/>
        <v/>
      </c>
      <c r="P67" s="33"/>
      <c r="Q67" s="34" t="str">
        <f t="shared" si="59"/>
        <v/>
      </c>
      <c r="R67" s="35" t="str">
        <f t="shared" si="60"/>
        <v/>
      </c>
      <c r="S67" s="122"/>
      <c r="T67" s="53" t="str">
        <f>IF(A67=0,"",VLOOKUP(A67,[3]CO!$A$3:$F$5318,5,0))</f>
        <v/>
      </c>
      <c r="U67" s="54">
        <f t="shared" si="61"/>
        <v>0</v>
      </c>
      <c r="V67" s="24"/>
      <c r="W67" s="25"/>
      <c r="X67" s="25"/>
      <c r="Y67" s="64" t="str">
        <f t="shared" si="70"/>
        <v/>
      </c>
      <c r="Z67" s="55" t="str">
        <f t="shared" si="70"/>
        <v/>
      </c>
      <c r="AA67" s="55" t="str">
        <f t="shared" si="70"/>
        <v/>
      </c>
      <c r="AB67" s="55" t="str">
        <f t="shared" si="70"/>
        <v/>
      </c>
      <c r="AC67" s="55" t="str">
        <f t="shared" si="70"/>
        <v/>
      </c>
      <c r="AD67" s="55" t="str">
        <f t="shared" si="70"/>
        <v/>
      </c>
      <c r="AE67" s="55" t="str">
        <f t="shared" si="70"/>
        <v/>
      </c>
      <c r="AF67" s="55" t="str">
        <f t="shared" si="70"/>
        <v/>
      </c>
      <c r="AG67" s="55" t="str">
        <f t="shared" si="70"/>
        <v/>
      </c>
      <c r="AH67" s="55" t="str">
        <f t="shared" si="70"/>
        <v/>
      </c>
      <c r="AI67" s="55" t="str">
        <f t="shared" si="70"/>
        <v/>
      </c>
      <c r="AJ67" s="55" t="str">
        <f t="shared" si="70"/>
        <v/>
      </c>
      <c r="AK67" s="55" t="str">
        <f t="shared" si="70"/>
        <v/>
      </c>
      <c r="AL67" s="55" t="str">
        <f t="shared" si="70"/>
        <v/>
      </c>
      <c r="AM67" s="55" t="str">
        <f t="shared" si="70"/>
        <v/>
      </c>
      <c r="AN67" s="55" t="str">
        <f t="shared" si="70"/>
        <v/>
      </c>
      <c r="AO67" s="55" t="str">
        <f t="shared" si="68"/>
        <v/>
      </c>
      <c r="AP67" s="55" t="str">
        <f t="shared" si="68"/>
        <v/>
      </c>
      <c r="AQ67" s="55" t="str">
        <f t="shared" si="68"/>
        <v/>
      </c>
      <c r="AR67" s="55" t="str">
        <f t="shared" si="68"/>
        <v/>
      </c>
      <c r="AS67" s="55" t="str">
        <f t="shared" si="68"/>
        <v/>
      </c>
      <c r="AT67" s="55" t="str">
        <f t="shared" si="68"/>
        <v/>
      </c>
      <c r="AU67" s="55" t="str">
        <f t="shared" si="68"/>
        <v/>
      </c>
      <c r="AV67" s="55" t="str">
        <f t="shared" si="68"/>
        <v/>
      </c>
      <c r="AW67" s="55" t="str">
        <f t="shared" si="68"/>
        <v/>
      </c>
      <c r="AX67" s="55" t="str">
        <f t="shared" si="68"/>
        <v/>
      </c>
      <c r="AY67" s="55" t="str">
        <f t="shared" si="68"/>
        <v/>
      </c>
      <c r="AZ67" s="55" t="str">
        <f t="shared" si="68"/>
        <v/>
      </c>
      <c r="BA67" s="55" t="str">
        <f t="shared" si="68"/>
        <v/>
      </c>
      <c r="BB67" s="55" t="str">
        <f t="shared" si="68"/>
        <v/>
      </c>
      <c r="BC67" s="55" t="str">
        <f t="shared" si="68"/>
        <v/>
      </c>
      <c r="BD67" s="55" t="str">
        <f t="shared" si="70"/>
        <v/>
      </c>
      <c r="BE67" s="55" t="str">
        <f t="shared" si="74"/>
        <v/>
      </c>
      <c r="BF67" s="55" t="str">
        <f t="shared" si="74"/>
        <v/>
      </c>
      <c r="BG67" s="55" t="str">
        <f t="shared" si="74"/>
        <v/>
      </c>
      <c r="BH67" s="55" t="str">
        <f t="shared" si="74"/>
        <v/>
      </c>
      <c r="BI67" s="55" t="str">
        <f t="shared" si="74"/>
        <v/>
      </c>
      <c r="BJ67" s="55" t="str">
        <f t="shared" si="74"/>
        <v/>
      </c>
      <c r="BK67" s="55" t="str">
        <f t="shared" si="74"/>
        <v/>
      </c>
      <c r="BL67" s="55" t="str">
        <f t="shared" si="74"/>
        <v/>
      </c>
      <c r="BM67" s="55" t="str">
        <f t="shared" si="74"/>
        <v/>
      </c>
      <c r="BN67" s="55" t="str">
        <f t="shared" si="74"/>
        <v/>
      </c>
      <c r="BO67" s="55" t="str">
        <f t="shared" si="74"/>
        <v/>
      </c>
      <c r="BP67" s="55" t="str">
        <f t="shared" si="74"/>
        <v/>
      </c>
      <c r="BQ67" s="55" t="str">
        <f t="shared" si="74"/>
        <v/>
      </c>
      <c r="BR67" s="55" t="str">
        <f t="shared" si="74"/>
        <v/>
      </c>
      <c r="BS67" s="55" t="str">
        <f t="shared" si="74"/>
        <v/>
      </c>
      <c r="BT67" s="55" t="str">
        <f t="shared" si="74"/>
        <v/>
      </c>
      <c r="BU67" s="55" t="str">
        <f t="shared" si="74"/>
        <v/>
      </c>
      <c r="BV67" s="55" t="str">
        <f t="shared" si="74"/>
        <v/>
      </c>
      <c r="BW67" s="55" t="str">
        <f t="shared" si="74"/>
        <v/>
      </c>
      <c r="BX67" s="55" t="str">
        <f t="shared" si="74"/>
        <v/>
      </c>
      <c r="BY67" s="55" t="str">
        <f t="shared" si="74"/>
        <v/>
      </c>
      <c r="BZ67" s="55" t="str">
        <f t="shared" si="74"/>
        <v/>
      </c>
      <c r="CA67" s="55" t="str">
        <f t="shared" si="74"/>
        <v/>
      </c>
      <c r="CB67" s="55" t="str">
        <f t="shared" si="74"/>
        <v/>
      </c>
      <c r="CC67" s="55" t="str">
        <f t="shared" si="74"/>
        <v/>
      </c>
      <c r="CD67" s="55" t="str">
        <f t="shared" si="74"/>
        <v/>
      </c>
      <c r="CE67" s="55" t="str">
        <f t="shared" si="74"/>
        <v/>
      </c>
      <c r="CF67" s="55" t="str">
        <f t="shared" si="74"/>
        <v/>
      </c>
      <c r="CG67" s="55" t="str">
        <f t="shared" si="74"/>
        <v/>
      </c>
      <c r="CH67" s="55" t="str">
        <f t="shared" si="74"/>
        <v/>
      </c>
      <c r="CI67" s="55" t="str">
        <f t="shared" si="74"/>
        <v/>
      </c>
      <c r="CJ67" s="55" t="str">
        <f t="shared" si="78"/>
        <v/>
      </c>
      <c r="CK67" s="55" t="str">
        <f t="shared" si="78"/>
        <v/>
      </c>
      <c r="CL67" s="55" t="str">
        <f t="shared" si="78"/>
        <v/>
      </c>
      <c r="CM67" s="55" t="str">
        <f t="shared" si="78"/>
        <v/>
      </c>
      <c r="CN67" s="55" t="str">
        <f t="shared" si="78"/>
        <v/>
      </c>
      <c r="CO67" s="55" t="str">
        <f t="shared" si="78"/>
        <v/>
      </c>
      <c r="CP67" s="55" t="str">
        <f t="shared" si="78"/>
        <v/>
      </c>
      <c r="CQ67" s="55" t="str">
        <f t="shared" si="78"/>
        <v/>
      </c>
      <c r="CR67" s="55" t="str">
        <f t="shared" si="78"/>
        <v/>
      </c>
      <c r="CS67" s="55" t="str">
        <f t="shared" si="78"/>
        <v/>
      </c>
      <c r="CT67" s="55" t="str">
        <f t="shared" si="78"/>
        <v/>
      </c>
      <c r="CU67" s="55" t="str">
        <f t="shared" si="78"/>
        <v/>
      </c>
      <c r="CV67" s="55" t="str">
        <f t="shared" si="78"/>
        <v/>
      </c>
      <c r="CW67" s="55" t="str">
        <f t="shared" si="78"/>
        <v/>
      </c>
      <c r="CX67" s="55" t="str">
        <f t="shared" si="78"/>
        <v/>
      </c>
      <c r="CY67" s="55" t="str">
        <f t="shared" si="28"/>
        <v/>
      </c>
      <c r="CZ67" s="55" t="str">
        <f t="shared" si="78"/>
        <v/>
      </c>
      <c r="DA67" s="55" t="str">
        <f t="shared" si="78"/>
        <v/>
      </c>
      <c r="DB67" s="55" t="str">
        <f t="shared" si="78"/>
        <v/>
      </c>
      <c r="DC67" s="55" t="str">
        <f t="shared" si="78"/>
        <v/>
      </c>
      <c r="DD67" s="55" t="str">
        <f t="shared" si="78"/>
        <v/>
      </c>
      <c r="DE67" s="55" t="str">
        <f t="shared" si="78"/>
        <v/>
      </c>
      <c r="DF67" s="55" t="str">
        <f t="shared" si="78"/>
        <v/>
      </c>
      <c r="DG67" s="55" t="str">
        <f t="shared" si="78"/>
        <v/>
      </c>
      <c r="DH67" s="55" t="str">
        <f t="shared" si="78"/>
        <v/>
      </c>
      <c r="DI67" s="55" t="str">
        <f t="shared" si="78"/>
        <v/>
      </c>
      <c r="DJ67" s="55" t="str">
        <f t="shared" si="78"/>
        <v/>
      </c>
      <c r="DK67" s="55" t="str">
        <f t="shared" si="78"/>
        <v/>
      </c>
      <c r="DL67" s="55" t="str">
        <f t="shared" si="78"/>
        <v/>
      </c>
      <c r="DM67" s="55" t="str">
        <f t="shared" si="78"/>
        <v/>
      </c>
      <c r="DN67" s="55" t="str">
        <f t="shared" si="78"/>
        <v/>
      </c>
      <c r="DO67" s="55" t="str">
        <f t="shared" si="78"/>
        <v/>
      </c>
      <c r="DP67" s="55" t="str">
        <f t="shared" si="78"/>
        <v/>
      </c>
      <c r="DQ67" s="55" t="str">
        <f t="shared" si="78"/>
        <v/>
      </c>
      <c r="DR67" s="55" t="str">
        <f t="shared" si="78"/>
        <v/>
      </c>
      <c r="DS67" s="55" t="str">
        <f t="shared" si="78"/>
        <v/>
      </c>
      <c r="DT67" s="110" t="str">
        <f t="shared" si="78"/>
        <v/>
      </c>
      <c r="DU67" s="54"/>
      <c r="DV67" s="25"/>
      <c r="DW67" s="61" t="str">
        <f t="shared" si="71"/>
        <v/>
      </c>
      <c r="DX67" s="50" t="str">
        <f t="shared" si="71"/>
        <v/>
      </c>
      <c r="DY67" s="50" t="str">
        <f t="shared" si="71"/>
        <v/>
      </c>
      <c r="DZ67" s="50" t="str">
        <f t="shared" si="71"/>
        <v/>
      </c>
      <c r="EA67" s="50" t="str">
        <f t="shared" si="71"/>
        <v/>
      </c>
      <c r="EB67" s="50" t="str">
        <f t="shared" si="71"/>
        <v/>
      </c>
      <c r="EC67" s="50" t="str">
        <f t="shared" si="71"/>
        <v/>
      </c>
      <c r="ED67" s="50" t="str">
        <f t="shared" si="71"/>
        <v/>
      </c>
      <c r="EE67" s="50" t="str">
        <f t="shared" si="71"/>
        <v/>
      </c>
      <c r="EF67" s="50" t="str">
        <f t="shared" si="71"/>
        <v/>
      </c>
      <c r="EG67" s="50" t="str">
        <f t="shared" si="71"/>
        <v/>
      </c>
      <c r="EH67" s="50" t="str">
        <f t="shared" si="71"/>
        <v/>
      </c>
      <c r="EI67" s="50" t="str">
        <f t="shared" si="71"/>
        <v/>
      </c>
      <c r="EJ67" s="50" t="str">
        <f t="shared" si="71"/>
        <v/>
      </c>
      <c r="EK67" s="50" t="str">
        <f t="shared" si="71"/>
        <v/>
      </c>
      <c r="EL67" s="50" t="str">
        <f t="shared" si="71"/>
        <v/>
      </c>
      <c r="EM67" s="50" t="str">
        <f t="shared" si="69"/>
        <v/>
      </c>
      <c r="EN67" s="50" t="str">
        <f t="shared" si="69"/>
        <v/>
      </c>
      <c r="EO67" s="50" t="str">
        <f t="shared" si="69"/>
        <v/>
      </c>
      <c r="EP67" s="50" t="str">
        <f t="shared" si="69"/>
        <v/>
      </c>
      <c r="EQ67" s="50" t="str">
        <f t="shared" si="69"/>
        <v/>
      </c>
      <c r="ER67" s="50" t="str">
        <f t="shared" si="69"/>
        <v/>
      </c>
      <c r="ES67" s="50" t="str">
        <f t="shared" si="69"/>
        <v/>
      </c>
      <c r="ET67" s="50" t="str">
        <f t="shared" si="69"/>
        <v/>
      </c>
      <c r="EU67" s="50" t="str">
        <f t="shared" si="69"/>
        <v/>
      </c>
      <c r="EV67" s="50" t="str">
        <f t="shared" si="69"/>
        <v/>
      </c>
      <c r="EW67" s="50" t="str">
        <f t="shared" si="69"/>
        <v/>
      </c>
      <c r="EX67" s="50" t="str">
        <f t="shared" si="69"/>
        <v/>
      </c>
      <c r="EY67" s="50" t="str">
        <f t="shared" si="69"/>
        <v/>
      </c>
      <c r="EZ67" s="50" t="str">
        <f t="shared" si="69"/>
        <v/>
      </c>
      <c r="FA67" s="50" t="str">
        <f t="shared" si="69"/>
        <v/>
      </c>
      <c r="FB67" s="50" t="str">
        <f t="shared" si="71"/>
        <v/>
      </c>
      <c r="FC67" s="50" t="str">
        <f t="shared" si="75"/>
        <v/>
      </c>
      <c r="FD67" s="50" t="str">
        <f t="shared" si="75"/>
        <v/>
      </c>
      <c r="FE67" s="50" t="str">
        <f t="shared" si="75"/>
        <v/>
      </c>
      <c r="FF67" s="50" t="str">
        <f t="shared" si="75"/>
        <v/>
      </c>
      <c r="FG67" s="50" t="str">
        <f t="shared" si="75"/>
        <v/>
      </c>
      <c r="FH67" s="50" t="str">
        <f t="shared" si="75"/>
        <v/>
      </c>
      <c r="FI67" s="50" t="str">
        <f t="shared" si="75"/>
        <v/>
      </c>
      <c r="FJ67" s="50" t="str">
        <f t="shared" si="75"/>
        <v/>
      </c>
      <c r="FK67" s="50" t="str">
        <f t="shared" si="75"/>
        <v/>
      </c>
      <c r="FL67" s="50" t="str">
        <f t="shared" si="75"/>
        <v/>
      </c>
      <c r="FM67" s="50" t="str">
        <f t="shared" si="75"/>
        <v/>
      </c>
      <c r="FN67" s="50" t="str">
        <f t="shared" si="75"/>
        <v/>
      </c>
      <c r="FO67" s="50" t="str">
        <f t="shared" si="75"/>
        <v/>
      </c>
      <c r="FP67" s="50" t="str">
        <f t="shared" si="75"/>
        <v/>
      </c>
      <c r="FQ67" s="50" t="str">
        <f t="shared" si="75"/>
        <v/>
      </c>
      <c r="FR67" s="50" t="str">
        <f t="shared" si="75"/>
        <v/>
      </c>
      <c r="FS67" s="50" t="str">
        <f t="shared" si="75"/>
        <v/>
      </c>
      <c r="FT67" s="50" t="str">
        <f t="shared" si="75"/>
        <v/>
      </c>
      <c r="FU67" s="50" t="str">
        <f t="shared" si="75"/>
        <v/>
      </c>
      <c r="FV67" s="50" t="str">
        <f t="shared" si="75"/>
        <v/>
      </c>
      <c r="FW67" s="50" t="str">
        <f t="shared" si="75"/>
        <v/>
      </c>
      <c r="FX67" s="50" t="str">
        <f t="shared" si="75"/>
        <v/>
      </c>
      <c r="FY67" s="50" t="str">
        <f t="shared" si="75"/>
        <v/>
      </c>
      <c r="FZ67" s="50" t="str">
        <f t="shared" si="75"/>
        <v/>
      </c>
      <c r="GA67" s="50" t="str">
        <f t="shared" si="75"/>
        <v/>
      </c>
      <c r="GB67" s="50" t="str">
        <f t="shared" si="75"/>
        <v/>
      </c>
      <c r="GC67" s="50" t="str">
        <f t="shared" si="75"/>
        <v/>
      </c>
      <c r="GD67" s="50" t="str">
        <f t="shared" si="75"/>
        <v/>
      </c>
      <c r="GE67" s="50" t="str">
        <f t="shared" si="75"/>
        <v/>
      </c>
      <c r="GF67" s="50" t="str">
        <f t="shared" si="75"/>
        <v/>
      </c>
      <c r="GG67" s="50" t="str">
        <f t="shared" si="75"/>
        <v/>
      </c>
      <c r="GH67" s="50" t="str">
        <f t="shared" si="80"/>
        <v/>
      </c>
      <c r="GI67" s="50" t="str">
        <f t="shared" si="80"/>
        <v/>
      </c>
      <c r="GJ67" s="50" t="str">
        <f t="shared" si="80"/>
        <v/>
      </c>
      <c r="GK67" s="50" t="str">
        <f t="shared" si="80"/>
        <v/>
      </c>
      <c r="GL67" s="50" t="str">
        <f t="shared" si="80"/>
        <v/>
      </c>
      <c r="GM67" s="50" t="str">
        <f t="shared" si="80"/>
        <v/>
      </c>
      <c r="GN67" s="50" t="str">
        <f t="shared" si="80"/>
        <v/>
      </c>
      <c r="GO67" s="50" t="str">
        <f t="shared" si="80"/>
        <v/>
      </c>
      <c r="GP67" s="50" t="str">
        <f t="shared" si="80"/>
        <v/>
      </c>
      <c r="GQ67" s="50" t="str">
        <f t="shared" si="80"/>
        <v/>
      </c>
      <c r="GR67" s="50" t="str">
        <f t="shared" si="80"/>
        <v/>
      </c>
      <c r="GS67" s="50" t="str">
        <f t="shared" si="80"/>
        <v/>
      </c>
      <c r="GT67" s="50" t="str">
        <f t="shared" si="80"/>
        <v/>
      </c>
      <c r="GU67" s="50" t="str">
        <f t="shared" si="80"/>
        <v/>
      </c>
      <c r="GV67" s="50" t="str">
        <f t="shared" si="80"/>
        <v/>
      </c>
      <c r="GW67" s="50" t="str">
        <f t="shared" si="29"/>
        <v/>
      </c>
      <c r="GX67" s="50" t="str">
        <f t="shared" si="29"/>
        <v/>
      </c>
      <c r="GY67" s="50" t="str">
        <f t="shared" si="29"/>
        <v/>
      </c>
      <c r="GZ67" s="50" t="str">
        <f t="shared" si="29"/>
        <v/>
      </c>
      <c r="HA67" s="50" t="str">
        <f t="shared" si="29"/>
        <v/>
      </c>
      <c r="HB67" s="50" t="str">
        <f t="shared" si="29"/>
        <v/>
      </c>
      <c r="HC67" s="50" t="str">
        <f t="shared" si="29"/>
        <v/>
      </c>
      <c r="HD67" s="50" t="str">
        <f t="shared" si="29"/>
        <v/>
      </c>
      <c r="HE67" s="50" t="str">
        <f t="shared" si="29"/>
        <v/>
      </c>
      <c r="HF67" s="50" t="str">
        <f t="shared" si="29"/>
        <v/>
      </c>
      <c r="HG67" s="50" t="str">
        <f t="shared" si="29"/>
        <v/>
      </c>
      <c r="HH67" s="50" t="str">
        <f t="shared" si="29"/>
        <v/>
      </c>
      <c r="HI67" s="50" t="str">
        <f t="shared" si="29"/>
        <v/>
      </c>
      <c r="HJ67" s="50" t="str">
        <f t="shared" si="29"/>
        <v/>
      </c>
      <c r="HK67" s="50" t="str">
        <f t="shared" si="29"/>
        <v/>
      </c>
      <c r="HL67" s="50" t="str">
        <f t="shared" si="29"/>
        <v/>
      </c>
      <c r="HM67" s="50" t="str">
        <f t="shared" si="76"/>
        <v/>
      </c>
      <c r="HN67" s="50" t="str">
        <f t="shared" si="23"/>
        <v/>
      </c>
      <c r="HO67" s="50" t="str">
        <f t="shared" si="23"/>
        <v/>
      </c>
      <c r="HP67" s="50" t="str">
        <f t="shared" si="23"/>
        <v/>
      </c>
      <c r="HQ67" s="50" t="str">
        <f t="shared" si="23"/>
        <v/>
      </c>
      <c r="HR67" s="116" t="str">
        <f t="shared" si="23"/>
        <v/>
      </c>
    </row>
    <row r="68" spans="1:226" ht="11.15" customHeight="1" x14ac:dyDescent="0.25">
      <c r="A68" s="26"/>
      <c r="B68" s="27"/>
      <c r="C68" s="28" t="str">
        <f>IF(A68=0,"",VLOOKUP(A68,[3]CO!$A$3:$F$5327,2,0))</f>
        <v/>
      </c>
      <c r="D68" s="29"/>
      <c r="E68" s="29"/>
      <c r="F68" s="29"/>
      <c r="G68" s="30" t="str">
        <f>IF(A68=0,"",VLOOKUP(A68,[3]CO!$A$3:$F$5327,3,0))</f>
        <v/>
      </c>
      <c r="H68" s="29"/>
      <c r="I68" s="31"/>
      <c r="J68" s="31"/>
      <c r="K68" s="31"/>
      <c r="L68" s="31"/>
      <c r="M68" s="32" t="str">
        <f t="shared" si="57"/>
        <v/>
      </c>
      <c r="N68" s="32" t="str">
        <f>IF(B68=0,"",IF(H68="M",HLOOKUP(B68,$Y$12:$DT$13,2),IF(A68=0,"",VLOOKUP(A68,[3]CO!$A$3:$F$5327,4,0))))</f>
        <v/>
      </c>
      <c r="O68" s="32" t="str">
        <f t="shared" si="58"/>
        <v/>
      </c>
      <c r="P68" s="33"/>
      <c r="Q68" s="34" t="str">
        <f t="shared" si="59"/>
        <v/>
      </c>
      <c r="R68" s="35" t="str">
        <f t="shared" si="60"/>
        <v/>
      </c>
      <c r="S68" s="122"/>
      <c r="T68" s="53" t="str">
        <f>IF(A68=0,"",VLOOKUP(A68,[3]CO!$A$3:$F$5318,5,0))</f>
        <v/>
      </c>
      <c r="U68" s="54">
        <f t="shared" si="61"/>
        <v>0</v>
      </c>
      <c r="V68" s="24"/>
      <c r="W68" s="25"/>
      <c r="X68" s="25"/>
      <c r="Y68" s="64" t="str">
        <f t="shared" si="70"/>
        <v/>
      </c>
      <c r="Z68" s="55" t="str">
        <f t="shared" si="70"/>
        <v/>
      </c>
      <c r="AA68" s="55" t="str">
        <f t="shared" si="70"/>
        <v/>
      </c>
      <c r="AB68" s="55" t="str">
        <f t="shared" si="70"/>
        <v/>
      </c>
      <c r="AC68" s="55" t="str">
        <f t="shared" si="70"/>
        <v/>
      </c>
      <c r="AD68" s="55" t="str">
        <f t="shared" si="70"/>
        <v/>
      </c>
      <c r="AE68" s="55" t="str">
        <f t="shared" si="70"/>
        <v/>
      </c>
      <c r="AF68" s="55" t="str">
        <f t="shared" si="70"/>
        <v/>
      </c>
      <c r="AG68" s="55" t="str">
        <f t="shared" si="70"/>
        <v/>
      </c>
      <c r="AH68" s="55" t="str">
        <f t="shared" si="70"/>
        <v/>
      </c>
      <c r="AI68" s="55" t="str">
        <f t="shared" si="70"/>
        <v/>
      </c>
      <c r="AJ68" s="55" t="str">
        <f t="shared" si="70"/>
        <v/>
      </c>
      <c r="AK68" s="55" t="str">
        <f t="shared" si="70"/>
        <v/>
      </c>
      <c r="AL68" s="55" t="str">
        <f t="shared" si="70"/>
        <v/>
      </c>
      <c r="AM68" s="55" t="str">
        <f t="shared" si="70"/>
        <v/>
      </c>
      <c r="AN68" s="55" t="str">
        <f t="shared" si="70"/>
        <v/>
      </c>
      <c r="AO68" s="55" t="str">
        <f t="shared" si="68"/>
        <v/>
      </c>
      <c r="AP68" s="55" t="str">
        <f t="shared" si="68"/>
        <v/>
      </c>
      <c r="AQ68" s="55" t="str">
        <f t="shared" si="68"/>
        <v/>
      </c>
      <c r="AR68" s="55" t="str">
        <f t="shared" si="68"/>
        <v/>
      </c>
      <c r="AS68" s="55" t="str">
        <f t="shared" si="68"/>
        <v/>
      </c>
      <c r="AT68" s="55" t="str">
        <f t="shared" si="68"/>
        <v/>
      </c>
      <c r="AU68" s="55" t="str">
        <f t="shared" si="68"/>
        <v/>
      </c>
      <c r="AV68" s="55" t="str">
        <f t="shared" si="68"/>
        <v/>
      </c>
      <c r="AW68" s="55" t="str">
        <f t="shared" si="68"/>
        <v/>
      </c>
      <c r="AX68" s="55" t="str">
        <f t="shared" si="68"/>
        <v/>
      </c>
      <c r="AY68" s="55" t="str">
        <f t="shared" si="68"/>
        <v/>
      </c>
      <c r="AZ68" s="55" t="str">
        <f t="shared" si="68"/>
        <v/>
      </c>
      <c r="BA68" s="55" t="str">
        <f t="shared" si="68"/>
        <v/>
      </c>
      <c r="BB68" s="55" t="str">
        <f t="shared" si="68"/>
        <v/>
      </c>
      <c r="BC68" s="55" t="str">
        <f t="shared" si="68"/>
        <v/>
      </c>
      <c r="BD68" s="55" t="str">
        <f t="shared" si="70"/>
        <v/>
      </c>
      <c r="BE68" s="55" t="str">
        <f t="shared" si="74"/>
        <v/>
      </c>
      <c r="BF68" s="55" t="str">
        <f t="shared" si="74"/>
        <v/>
      </c>
      <c r="BG68" s="55" t="str">
        <f t="shared" si="74"/>
        <v/>
      </c>
      <c r="BH68" s="55" t="str">
        <f t="shared" si="74"/>
        <v/>
      </c>
      <c r="BI68" s="55" t="str">
        <f t="shared" si="74"/>
        <v/>
      </c>
      <c r="BJ68" s="55" t="str">
        <f t="shared" si="74"/>
        <v/>
      </c>
      <c r="BK68" s="55" t="str">
        <f t="shared" si="74"/>
        <v/>
      </c>
      <c r="BL68" s="55" t="str">
        <f t="shared" si="74"/>
        <v/>
      </c>
      <c r="BM68" s="55" t="str">
        <f t="shared" si="74"/>
        <v/>
      </c>
      <c r="BN68" s="55" t="str">
        <f t="shared" si="74"/>
        <v/>
      </c>
      <c r="BO68" s="55" t="str">
        <f t="shared" si="74"/>
        <v/>
      </c>
      <c r="BP68" s="55" t="str">
        <f t="shared" si="74"/>
        <v/>
      </c>
      <c r="BQ68" s="55" t="str">
        <f t="shared" si="74"/>
        <v/>
      </c>
      <c r="BR68" s="55" t="str">
        <f t="shared" si="74"/>
        <v/>
      </c>
      <c r="BS68" s="55" t="str">
        <f t="shared" si="74"/>
        <v/>
      </c>
      <c r="BT68" s="55" t="str">
        <f t="shared" si="74"/>
        <v/>
      </c>
      <c r="BU68" s="55" t="str">
        <f t="shared" si="74"/>
        <v/>
      </c>
      <c r="BV68" s="55" t="str">
        <f t="shared" si="74"/>
        <v/>
      </c>
      <c r="BW68" s="55" t="str">
        <f t="shared" si="74"/>
        <v/>
      </c>
      <c r="BX68" s="55" t="str">
        <f t="shared" si="74"/>
        <v/>
      </c>
      <c r="BY68" s="55" t="str">
        <f t="shared" si="74"/>
        <v/>
      </c>
      <c r="BZ68" s="55" t="str">
        <f t="shared" si="74"/>
        <v/>
      </c>
      <c r="CA68" s="55" t="str">
        <f t="shared" si="74"/>
        <v/>
      </c>
      <c r="CB68" s="55" t="str">
        <f t="shared" si="74"/>
        <v/>
      </c>
      <c r="CC68" s="55" t="str">
        <f t="shared" si="74"/>
        <v/>
      </c>
      <c r="CD68" s="55" t="str">
        <f t="shared" si="74"/>
        <v/>
      </c>
      <c r="CE68" s="55" t="str">
        <f t="shared" si="74"/>
        <v/>
      </c>
      <c r="CF68" s="55" t="str">
        <f t="shared" si="74"/>
        <v/>
      </c>
      <c r="CG68" s="55" t="str">
        <f t="shared" si="74"/>
        <v/>
      </c>
      <c r="CH68" s="55" t="str">
        <f t="shared" si="74"/>
        <v/>
      </c>
      <c r="CI68" s="55" t="str">
        <f t="shared" si="74"/>
        <v/>
      </c>
      <c r="CJ68" s="55" t="str">
        <f t="shared" si="78"/>
        <v/>
      </c>
      <c r="CK68" s="55" t="str">
        <f t="shared" si="78"/>
        <v/>
      </c>
      <c r="CL68" s="55" t="str">
        <f t="shared" si="78"/>
        <v/>
      </c>
      <c r="CM68" s="55" t="str">
        <f t="shared" si="78"/>
        <v/>
      </c>
      <c r="CN68" s="55" t="str">
        <f t="shared" si="78"/>
        <v/>
      </c>
      <c r="CO68" s="55" t="str">
        <f t="shared" si="78"/>
        <v/>
      </c>
      <c r="CP68" s="55" t="str">
        <f t="shared" si="78"/>
        <v/>
      </c>
      <c r="CQ68" s="55" t="str">
        <f t="shared" si="78"/>
        <v/>
      </c>
      <c r="CR68" s="55" t="str">
        <f t="shared" si="78"/>
        <v/>
      </c>
      <c r="CS68" s="55" t="str">
        <f t="shared" si="78"/>
        <v/>
      </c>
      <c r="CT68" s="55" t="str">
        <f t="shared" si="78"/>
        <v/>
      </c>
      <c r="CU68" s="55" t="str">
        <f t="shared" si="78"/>
        <v/>
      </c>
      <c r="CV68" s="55" t="str">
        <f t="shared" si="78"/>
        <v/>
      </c>
      <c r="CW68" s="55" t="str">
        <f t="shared" si="78"/>
        <v/>
      </c>
      <c r="CX68" s="55" t="str">
        <f t="shared" si="78"/>
        <v/>
      </c>
      <c r="CY68" s="55" t="str">
        <f t="shared" si="28"/>
        <v/>
      </c>
      <c r="CZ68" s="55" t="str">
        <f t="shared" si="78"/>
        <v/>
      </c>
      <c r="DA68" s="55" t="str">
        <f t="shared" si="78"/>
        <v/>
      </c>
      <c r="DB68" s="55" t="str">
        <f t="shared" si="78"/>
        <v/>
      </c>
      <c r="DC68" s="55" t="str">
        <f t="shared" si="78"/>
        <v/>
      </c>
      <c r="DD68" s="55" t="str">
        <f t="shared" si="78"/>
        <v/>
      </c>
      <c r="DE68" s="55" t="str">
        <f t="shared" si="78"/>
        <v/>
      </c>
      <c r="DF68" s="55" t="str">
        <f t="shared" si="78"/>
        <v/>
      </c>
      <c r="DG68" s="55" t="str">
        <f t="shared" si="78"/>
        <v/>
      </c>
      <c r="DH68" s="55" t="str">
        <f t="shared" si="78"/>
        <v/>
      </c>
      <c r="DI68" s="55" t="str">
        <f t="shared" si="78"/>
        <v/>
      </c>
      <c r="DJ68" s="55" t="str">
        <f t="shared" si="78"/>
        <v/>
      </c>
      <c r="DK68" s="55" t="str">
        <f t="shared" si="78"/>
        <v/>
      </c>
      <c r="DL68" s="55" t="str">
        <f t="shared" si="78"/>
        <v/>
      </c>
      <c r="DM68" s="55" t="str">
        <f t="shared" si="78"/>
        <v/>
      </c>
      <c r="DN68" s="55" t="str">
        <f t="shared" si="78"/>
        <v/>
      </c>
      <c r="DO68" s="55" t="str">
        <f t="shared" si="78"/>
        <v/>
      </c>
      <c r="DP68" s="55" t="str">
        <f t="shared" si="78"/>
        <v/>
      </c>
      <c r="DQ68" s="55" t="str">
        <f t="shared" si="78"/>
        <v/>
      </c>
      <c r="DR68" s="55" t="str">
        <f t="shared" si="78"/>
        <v/>
      </c>
      <c r="DS68" s="55" t="str">
        <f t="shared" si="78"/>
        <v/>
      </c>
      <c r="DT68" s="110" t="str">
        <f t="shared" si="78"/>
        <v/>
      </c>
      <c r="DU68" s="54"/>
      <c r="DV68" s="25"/>
      <c r="DW68" s="61" t="str">
        <f t="shared" si="71"/>
        <v/>
      </c>
      <c r="DX68" s="50" t="str">
        <f t="shared" si="71"/>
        <v/>
      </c>
      <c r="DY68" s="50" t="str">
        <f t="shared" si="71"/>
        <v/>
      </c>
      <c r="DZ68" s="50" t="str">
        <f t="shared" si="71"/>
        <v/>
      </c>
      <c r="EA68" s="50" t="str">
        <f t="shared" si="71"/>
        <v/>
      </c>
      <c r="EB68" s="50" t="str">
        <f t="shared" si="71"/>
        <v/>
      </c>
      <c r="EC68" s="50" t="str">
        <f t="shared" si="71"/>
        <v/>
      </c>
      <c r="ED68" s="50" t="str">
        <f t="shared" si="71"/>
        <v/>
      </c>
      <c r="EE68" s="50" t="str">
        <f t="shared" si="71"/>
        <v/>
      </c>
      <c r="EF68" s="50" t="str">
        <f t="shared" si="71"/>
        <v/>
      </c>
      <c r="EG68" s="50" t="str">
        <f t="shared" si="71"/>
        <v/>
      </c>
      <c r="EH68" s="50" t="str">
        <f t="shared" si="71"/>
        <v/>
      </c>
      <c r="EI68" s="50" t="str">
        <f t="shared" si="71"/>
        <v/>
      </c>
      <c r="EJ68" s="50" t="str">
        <f t="shared" si="71"/>
        <v/>
      </c>
      <c r="EK68" s="50" t="str">
        <f t="shared" si="71"/>
        <v/>
      </c>
      <c r="EL68" s="50" t="str">
        <f t="shared" si="71"/>
        <v/>
      </c>
      <c r="EM68" s="50" t="str">
        <f t="shared" si="69"/>
        <v/>
      </c>
      <c r="EN68" s="50" t="str">
        <f t="shared" si="69"/>
        <v/>
      </c>
      <c r="EO68" s="50" t="str">
        <f t="shared" si="69"/>
        <v/>
      </c>
      <c r="EP68" s="50" t="str">
        <f t="shared" si="69"/>
        <v/>
      </c>
      <c r="EQ68" s="50" t="str">
        <f t="shared" si="69"/>
        <v/>
      </c>
      <c r="ER68" s="50" t="str">
        <f t="shared" si="69"/>
        <v/>
      </c>
      <c r="ES68" s="50" t="str">
        <f t="shared" si="69"/>
        <v/>
      </c>
      <c r="ET68" s="50" t="str">
        <f t="shared" si="69"/>
        <v/>
      </c>
      <c r="EU68" s="50" t="str">
        <f t="shared" si="69"/>
        <v/>
      </c>
      <c r="EV68" s="50" t="str">
        <f t="shared" si="69"/>
        <v/>
      </c>
      <c r="EW68" s="50" t="str">
        <f t="shared" si="69"/>
        <v/>
      </c>
      <c r="EX68" s="50" t="str">
        <f t="shared" si="69"/>
        <v/>
      </c>
      <c r="EY68" s="50" t="str">
        <f t="shared" si="69"/>
        <v/>
      </c>
      <c r="EZ68" s="50" t="str">
        <f t="shared" si="69"/>
        <v/>
      </c>
      <c r="FA68" s="50" t="str">
        <f t="shared" si="69"/>
        <v/>
      </c>
      <c r="FB68" s="50" t="str">
        <f t="shared" si="71"/>
        <v/>
      </c>
      <c r="FC68" s="50" t="str">
        <f t="shared" si="75"/>
        <v/>
      </c>
      <c r="FD68" s="50" t="str">
        <f t="shared" si="75"/>
        <v/>
      </c>
      <c r="FE68" s="50" t="str">
        <f t="shared" si="75"/>
        <v/>
      </c>
      <c r="FF68" s="50" t="str">
        <f t="shared" si="75"/>
        <v/>
      </c>
      <c r="FG68" s="50" t="str">
        <f t="shared" si="75"/>
        <v/>
      </c>
      <c r="FH68" s="50" t="str">
        <f t="shared" si="75"/>
        <v/>
      </c>
      <c r="FI68" s="50" t="str">
        <f t="shared" si="75"/>
        <v/>
      </c>
      <c r="FJ68" s="50" t="str">
        <f t="shared" si="75"/>
        <v/>
      </c>
      <c r="FK68" s="50" t="str">
        <f t="shared" si="75"/>
        <v/>
      </c>
      <c r="FL68" s="50" t="str">
        <f t="shared" si="75"/>
        <v/>
      </c>
      <c r="FM68" s="50" t="str">
        <f t="shared" si="75"/>
        <v/>
      </c>
      <c r="FN68" s="50" t="str">
        <f t="shared" si="75"/>
        <v/>
      </c>
      <c r="FO68" s="50" t="str">
        <f t="shared" si="75"/>
        <v/>
      </c>
      <c r="FP68" s="50" t="str">
        <f t="shared" si="75"/>
        <v/>
      </c>
      <c r="FQ68" s="50" t="str">
        <f t="shared" si="75"/>
        <v/>
      </c>
      <c r="FR68" s="50" t="str">
        <f t="shared" si="75"/>
        <v/>
      </c>
      <c r="FS68" s="50" t="str">
        <f t="shared" si="75"/>
        <v/>
      </c>
      <c r="FT68" s="50" t="str">
        <f t="shared" si="75"/>
        <v/>
      </c>
      <c r="FU68" s="50" t="str">
        <f t="shared" si="75"/>
        <v/>
      </c>
      <c r="FV68" s="50" t="str">
        <f t="shared" si="75"/>
        <v/>
      </c>
      <c r="FW68" s="50" t="str">
        <f t="shared" si="75"/>
        <v/>
      </c>
      <c r="FX68" s="50" t="str">
        <f t="shared" si="75"/>
        <v/>
      </c>
      <c r="FY68" s="50" t="str">
        <f t="shared" si="75"/>
        <v/>
      </c>
      <c r="FZ68" s="50" t="str">
        <f t="shared" si="75"/>
        <v/>
      </c>
      <c r="GA68" s="50" t="str">
        <f t="shared" si="75"/>
        <v/>
      </c>
      <c r="GB68" s="50" t="str">
        <f t="shared" si="75"/>
        <v/>
      </c>
      <c r="GC68" s="50" t="str">
        <f t="shared" si="75"/>
        <v/>
      </c>
      <c r="GD68" s="50" t="str">
        <f t="shared" si="75"/>
        <v/>
      </c>
      <c r="GE68" s="50" t="str">
        <f t="shared" si="75"/>
        <v/>
      </c>
      <c r="GF68" s="50" t="str">
        <f t="shared" si="75"/>
        <v/>
      </c>
      <c r="GG68" s="50" t="str">
        <f t="shared" si="75"/>
        <v/>
      </c>
      <c r="GH68" s="50" t="str">
        <f t="shared" si="80"/>
        <v/>
      </c>
      <c r="GI68" s="50" t="str">
        <f t="shared" si="80"/>
        <v/>
      </c>
      <c r="GJ68" s="50" t="str">
        <f t="shared" si="80"/>
        <v/>
      </c>
      <c r="GK68" s="50" t="str">
        <f t="shared" si="80"/>
        <v/>
      </c>
      <c r="GL68" s="50" t="str">
        <f t="shared" si="80"/>
        <v/>
      </c>
      <c r="GM68" s="50" t="str">
        <f t="shared" si="80"/>
        <v/>
      </c>
      <c r="GN68" s="50" t="str">
        <f t="shared" si="80"/>
        <v/>
      </c>
      <c r="GO68" s="50" t="str">
        <f t="shared" si="80"/>
        <v/>
      </c>
      <c r="GP68" s="50" t="str">
        <f t="shared" si="80"/>
        <v/>
      </c>
      <c r="GQ68" s="50" t="str">
        <f t="shared" si="80"/>
        <v/>
      </c>
      <c r="GR68" s="50" t="str">
        <f t="shared" si="80"/>
        <v/>
      </c>
      <c r="GS68" s="50" t="str">
        <f t="shared" si="80"/>
        <v/>
      </c>
      <c r="GT68" s="50" t="str">
        <f t="shared" si="80"/>
        <v/>
      </c>
      <c r="GU68" s="50" t="str">
        <f t="shared" si="80"/>
        <v/>
      </c>
      <c r="GV68" s="50" t="str">
        <f t="shared" si="80"/>
        <v/>
      </c>
      <c r="GW68" s="50" t="str">
        <f t="shared" si="29"/>
        <v/>
      </c>
      <c r="GX68" s="50" t="str">
        <f t="shared" si="29"/>
        <v/>
      </c>
      <c r="GY68" s="50" t="str">
        <f t="shared" si="29"/>
        <v/>
      </c>
      <c r="GZ68" s="50" t="str">
        <f t="shared" si="29"/>
        <v/>
      </c>
      <c r="HA68" s="50" t="str">
        <f t="shared" si="29"/>
        <v/>
      </c>
      <c r="HB68" s="50" t="str">
        <f t="shared" si="29"/>
        <v/>
      </c>
      <c r="HC68" s="50" t="str">
        <f t="shared" si="29"/>
        <v/>
      </c>
      <c r="HD68" s="50" t="str">
        <f t="shared" si="29"/>
        <v/>
      </c>
      <c r="HE68" s="50" t="str">
        <f t="shared" si="29"/>
        <v/>
      </c>
      <c r="HF68" s="50" t="str">
        <f t="shared" si="29"/>
        <v/>
      </c>
      <c r="HG68" s="50" t="str">
        <f t="shared" si="29"/>
        <v/>
      </c>
      <c r="HH68" s="50" t="str">
        <f t="shared" si="29"/>
        <v/>
      </c>
      <c r="HI68" s="50" t="str">
        <f t="shared" si="29"/>
        <v/>
      </c>
      <c r="HJ68" s="50" t="str">
        <f t="shared" si="29"/>
        <v/>
      </c>
      <c r="HK68" s="50" t="str">
        <f t="shared" ref="HK68:HM68" si="81">IF($B68=HK$12,$O68,"")</f>
        <v/>
      </c>
      <c r="HL68" s="50" t="str">
        <f t="shared" si="81"/>
        <v/>
      </c>
      <c r="HM68" s="50" t="str">
        <f t="shared" si="81"/>
        <v/>
      </c>
      <c r="HN68" s="50" t="str">
        <f t="shared" si="23"/>
        <v/>
      </c>
      <c r="HO68" s="50" t="str">
        <f t="shared" si="23"/>
        <v/>
      </c>
      <c r="HP68" s="50" t="str">
        <f t="shared" si="23"/>
        <v/>
      </c>
      <c r="HQ68" s="50" t="str">
        <f t="shared" si="23"/>
        <v/>
      </c>
      <c r="HR68" s="116" t="str">
        <f t="shared" si="23"/>
        <v/>
      </c>
    </row>
    <row r="69" spans="1:226" ht="11.15" customHeight="1" x14ac:dyDescent="0.25">
      <c r="A69" s="26">
        <v>3608</v>
      </c>
      <c r="B69" s="27">
        <v>9</v>
      </c>
      <c r="C69" s="28" t="str">
        <f>IF(A69=0,"",VLOOKUP(A69,[3]CO!$A$3:$F$5327,2,0))</f>
        <v>LOZANO URISTA BRUNO</v>
      </c>
      <c r="D69" s="29"/>
      <c r="E69" s="29"/>
      <c r="F69" s="29"/>
      <c r="G69" s="30" t="str">
        <f>IF(A69=0,"",VLOOKUP(A69,[3]CO!$A$3:$F$5327,3,0))</f>
        <v>PEON</v>
      </c>
      <c r="H69" s="29"/>
      <c r="I69" s="31"/>
      <c r="J69" s="31"/>
      <c r="K69" s="31"/>
      <c r="L69" s="31">
        <v>1.359</v>
      </c>
      <c r="M69" s="32">
        <f t="shared" si="57"/>
        <v>1.359</v>
      </c>
      <c r="N69" s="32">
        <f>IF(B69=0,"",IF(H69="M",HLOOKUP(B69,$Y$12:$DT$13,2),IF(A69=0,"",VLOOKUP(A69,[3]CO!$A$3:$F$5327,4,0))))</f>
        <v>440</v>
      </c>
      <c r="O69" s="32">
        <f t="shared" si="58"/>
        <v>597.96</v>
      </c>
      <c r="P69" s="33">
        <v>9</v>
      </c>
      <c r="Q69" s="34">
        <f t="shared" si="59"/>
        <v>597.96</v>
      </c>
      <c r="R69" s="35">
        <f t="shared" si="60"/>
        <v>597.96</v>
      </c>
      <c r="S69" s="122">
        <v>1</v>
      </c>
      <c r="T69" s="53">
        <f>IF(A69=0,"",VLOOKUP(A69,[3]CO!$A$3:$F$5318,5,0))</f>
        <v>0</v>
      </c>
      <c r="U69" s="54">
        <f t="shared" si="61"/>
        <v>0</v>
      </c>
      <c r="V69" s="24"/>
      <c r="W69" s="25"/>
      <c r="X69" s="25"/>
      <c r="Y69" s="64" t="str">
        <f t="shared" si="70"/>
        <v/>
      </c>
      <c r="Z69" s="55" t="str">
        <f t="shared" si="70"/>
        <v/>
      </c>
      <c r="AA69" s="55" t="str">
        <f t="shared" si="70"/>
        <v/>
      </c>
      <c r="AB69" s="55" t="str">
        <f t="shared" si="70"/>
        <v/>
      </c>
      <c r="AC69" s="55" t="str">
        <f t="shared" si="70"/>
        <v/>
      </c>
      <c r="AD69" s="55" t="str">
        <f t="shared" si="70"/>
        <v/>
      </c>
      <c r="AE69" s="55" t="str">
        <f t="shared" si="70"/>
        <v/>
      </c>
      <c r="AF69" s="55" t="str">
        <f t="shared" si="70"/>
        <v/>
      </c>
      <c r="AG69" s="55">
        <f t="shared" si="70"/>
        <v>0</v>
      </c>
      <c r="AH69" s="55" t="str">
        <f t="shared" si="70"/>
        <v/>
      </c>
      <c r="AI69" s="55" t="str">
        <f t="shared" si="70"/>
        <v/>
      </c>
      <c r="AJ69" s="55" t="str">
        <f t="shared" si="70"/>
        <v/>
      </c>
      <c r="AK69" s="55" t="str">
        <f t="shared" si="70"/>
        <v/>
      </c>
      <c r="AL69" s="55" t="str">
        <f t="shared" si="70"/>
        <v/>
      </c>
      <c r="AM69" s="55" t="str">
        <f t="shared" si="70"/>
        <v/>
      </c>
      <c r="AN69" s="55" t="str">
        <f t="shared" si="70"/>
        <v/>
      </c>
      <c r="AO69" s="55" t="str">
        <f t="shared" si="68"/>
        <v/>
      </c>
      <c r="AP69" s="55" t="str">
        <f t="shared" si="68"/>
        <v/>
      </c>
      <c r="AQ69" s="55" t="str">
        <f t="shared" si="68"/>
        <v/>
      </c>
      <c r="AR69" s="55" t="str">
        <f t="shared" si="68"/>
        <v/>
      </c>
      <c r="AS69" s="55" t="str">
        <f t="shared" si="68"/>
        <v/>
      </c>
      <c r="AT69" s="55" t="str">
        <f t="shared" si="68"/>
        <v/>
      </c>
      <c r="AU69" s="55" t="str">
        <f t="shared" si="68"/>
        <v/>
      </c>
      <c r="AV69" s="55" t="str">
        <f t="shared" si="68"/>
        <v/>
      </c>
      <c r="AW69" s="55" t="str">
        <f t="shared" si="68"/>
        <v/>
      </c>
      <c r="AX69" s="55" t="str">
        <f t="shared" si="68"/>
        <v/>
      </c>
      <c r="AY69" s="55" t="str">
        <f t="shared" si="68"/>
        <v/>
      </c>
      <c r="AZ69" s="55" t="str">
        <f t="shared" si="68"/>
        <v/>
      </c>
      <c r="BA69" s="55" t="str">
        <f t="shared" si="68"/>
        <v/>
      </c>
      <c r="BB69" s="55" t="str">
        <f t="shared" si="68"/>
        <v/>
      </c>
      <c r="BC69" s="55" t="str">
        <f t="shared" si="68"/>
        <v/>
      </c>
      <c r="BD69" s="55" t="str">
        <f t="shared" si="70"/>
        <v/>
      </c>
      <c r="BE69" s="55" t="str">
        <f t="shared" si="74"/>
        <v/>
      </c>
      <c r="BF69" s="55" t="str">
        <f t="shared" si="74"/>
        <v/>
      </c>
      <c r="BG69" s="55" t="str">
        <f t="shared" si="74"/>
        <v/>
      </c>
      <c r="BH69" s="55" t="str">
        <f t="shared" si="74"/>
        <v/>
      </c>
      <c r="BI69" s="55" t="str">
        <f t="shared" si="74"/>
        <v/>
      </c>
      <c r="BJ69" s="55" t="str">
        <f t="shared" si="74"/>
        <v/>
      </c>
      <c r="BK69" s="55" t="str">
        <f t="shared" si="74"/>
        <v/>
      </c>
      <c r="BL69" s="55" t="str">
        <f t="shared" ref="BL69:CI69" si="82">IF($B69=BL$12,$U69,"")</f>
        <v/>
      </c>
      <c r="BM69" s="55" t="str">
        <f t="shared" si="82"/>
        <v/>
      </c>
      <c r="BN69" s="55" t="str">
        <f t="shared" si="82"/>
        <v/>
      </c>
      <c r="BO69" s="55" t="str">
        <f t="shared" si="82"/>
        <v/>
      </c>
      <c r="BP69" s="55" t="str">
        <f t="shared" si="82"/>
        <v/>
      </c>
      <c r="BQ69" s="55" t="str">
        <f t="shared" si="82"/>
        <v/>
      </c>
      <c r="BR69" s="55" t="str">
        <f t="shared" si="82"/>
        <v/>
      </c>
      <c r="BS69" s="55" t="str">
        <f t="shared" si="82"/>
        <v/>
      </c>
      <c r="BT69" s="55" t="str">
        <f t="shared" si="82"/>
        <v/>
      </c>
      <c r="BU69" s="55" t="str">
        <f t="shared" si="82"/>
        <v/>
      </c>
      <c r="BV69" s="55" t="str">
        <f t="shared" si="82"/>
        <v/>
      </c>
      <c r="BW69" s="55" t="str">
        <f t="shared" si="82"/>
        <v/>
      </c>
      <c r="BX69" s="55" t="str">
        <f t="shared" si="82"/>
        <v/>
      </c>
      <c r="BY69" s="55" t="str">
        <f t="shared" si="82"/>
        <v/>
      </c>
      <c r="BZ69" s="55" t="str">
        <f t="shared" si="82"/>
        <v/>
      </c>
      <c r="CA69" s="55" t="str">
        <f t="shared" si="82"/>
        <v/>
      </c>
      <c r="CB69" s="55" t="str">
        <f t="shared" si="82"/>
        <v/>
      </c>
      <c r="CC69" s="55" t="str">
        <f t="shared" si="82"/>
        <v/>
      </c>
      <c r="CD69" s="55" t="str">
        <f t="shared" si="82"/>
        <v/>
      </c>
      <c r="CE69" s="55" t="str">
        <f t="shared" si="82"/>
        <v/>
      </c>
      <c r="CF69" s="55" t="str">
        <f t="shared" si="82"/>
        <v/>
      </c>
      <c r="CG69" s="55" t="str">
        <f t="shared" si="82"/>
        <v/>
      </c>
      <c r="CH69" s="55" t="str">
        <f t="shared" si="82"/>
        <v/>
      </c>
      <c r="CI69" s="55" t="str">
        <f t="shared" si="82"/>
        <v/>
      </c>
      <c r="CJ69" s="55" t="str">
        <f t="shared" si="78"/>
        <v/>
      </c>
      <c r="CK69" s="55" t="str">
        <f t="shared" si="78"/>
        <v/>
      </c>
      <c r="CL69" s="55" t="str">
        <f t="shared" si="78"/>
        <v/>
      </c>
      <c r="CM69" s="55" t="str">
        <f t="shared" si="78"/>
        <v/>
      </c>
      <c r="CN69" s="55" t="str">
        <f t="shared" si="78"/>
        <v/>
      </c>
      <c r="CO69" s="55" t="str">
        <f t="shared" si="78"/>
        <v/>
      </c>
      <c r="CP69" s="55" t="str">
        <f t="shared" si="78"/>
        <v/>
      </c>
      <c r="CQ69" s="55" t="str">
        <f t="shared" si="78"/>
        <v/>
      </c>
      <c r="CR69" s="55" t="str">
        <f t="shared" si="78"/>
        <v/>
      </c>
      <c r="CS69" s="55" t="str">
        <f t="shared" si="78"/>
        <v/>
      </c>
      <c r="CT69" s="55" t="str">
        <f t="shared" si="78"/>
        <v/>
      </c>
      <c r="CU69" s="55" t="str">
        <f t="shared" si="78"/>
        <v/>
      </c>
      <c r="CV69" s="55" t="str">
        <f t="shared" si="78"/>
        <v/>
      </c>
      <c r="CW69" s="55" t="str">
        <f t="shared" si="78"/>
        <v/>
      </c>
      <c r="CX69" s="55" t="str">
        <f t="shared" si="78"/>
        <v/>
      </c>
      <c r="CY69" s="55" t="str">
        <f t="shared" si="28"/>
        <v/>
      </c>
      <c r="CZ69" s="55" t="str">
        <f t="shared" si="78"/>
        <v/>
      </c>
      <c r="DA69" s="55" t="str">
        <f t="shared" si="78"/>
        <v/>
      </c>
      <c r="DB69" s="55" t="str">
        <f t="shared" si="78"/>
        <v/>
      </c>
      <c r="DC69" s="55" t="str">
        <f t="shared" si="78"/>
        <v/>
      </c>
      <c r="DD69" s="55" t="str">
        <f t="shared" si="78"/>
        <v/>
      </c>
      <c r="DE69" s="55" t="str">
        <f t="shared" si="78"/>
        <v/>
      </c>
      <c r="DF69" s="55" t="str">
        <f t="shared" si="78"/>
        <v/>
      </c>
      <c r="DG69" s="55" t="str">
        <f t="shared" si="78"/>
        <v/>
      </c>
      <c r="DH69" s="55" t="str">
        <f t="shared" si="78"/>
        <v/>
      </c>
      <c r="DI69" s="55" t="str">
        <f t="shared" si="78"/>
        <v/>
      </c>
      <c r="DJ69" s="55" t="str">
        <f t="shared" si="78"/>
        <v/>
      </c>
      <c r="DK69" s="55" t="str">
        <f t="shared" si="78"/>
        <v/>
      </c>
      <c r="DL69" s="55" t="str">
        <f t="shared" si="78"/>
        <v/>
      </c>
      <c r="DM69" s="55" t="str">
        <f t="shared" si="78"/>
        <v/>
      </c>
      <c r="DN69" s="55" t="str">
        <f t="shared" si="78"/>
        <v/>
      </c>
      <c r="DO69" s="55" t="str">
        <f t="shared" si="78"/>
        <v/>
      </c>
      <c r="DP69" s="55" t="str">
        <f t="shared" si="78"/>
        <v/>
      </c>
      <c r="DQ69" s="55" t="str">
        <f t="shared" si="78"/>
        <v/>
      </c>
      <c r="DR69" s="55" t="str">
        <f t="shared" si="78"/>
        <v/>
      </c>
      <c r="DS69" s="55" t="str">
        <f t="shared" si="78"/>
        <v/>
      </c>
      <c r="DT69" s="110" t="str">
        <f t="shared" si="78"/>
        <v/>
      </c>
      <c r="DU69" s="54"/>
      <c r="DV69" s="25"/>
      <c r="DW69" s="61" t="str">
        <f t="shared" si="71"/>
        <v/>
      </c>
      <c r="DX69" s="50" t="str">
        <f t="shared" si="71"/>
        <v/>
      </c>
      <c r="DY69" s="50" t="str">
        <f t="shared" si="71"/>
        <v/>
      </c>
      <c r="DZ69" s="50" t="str">
        <f t="shared" si="71"/>
        <v/>
      </c>
      <c r="EA69" s="50" t="str">
        <f t="shared" si="71"/>
        <v/>
      </c>
      <c r="EB69" s="50" t="str">
        <f t="shared" si="71"/>
        <v/>
      </c>
      <c r="EC69" s="50" t="str">
        <f t="shared" si="71"/>
        <v/>
      </c>
      <c r="ED69" s="50" t="str">
        <f t="shared" si="71"/>
        <v/>
      </c>
      <c r="EE69" s="50">
        <f t="shared" si="71"/>
        <v>597.96</v>
      </c>
      <c r="EF69" s="50" t="str">
        <f t="shared" si="71"/>
        <v/>
      </c>
      <c r="EG69" s="50" t="str">
        <f t="shared" si="71"/>
        <v/>
      </c>
      <c r="EH69" s="50" t="str">
        <f t="shared" si="71"/>
        <v/>
      </c>
      <c r="EI69" s="50" t="str">
        <f t="shared" si="71"/>
        <v/>
      </c>
      <c r="EJ69" s="50" t="str">
        <f t="shared" si="71"/>
        <v/>
      </c>
      <c r="EK69" s="50" t="str">
        <f t="shared" si="71"/>
        <v/>
      </c>
      <c r="EL69" s="50" t="str">
        <f t="shared" si="71"/>
        <v/>
      </c>
      <c r="EM69" s="50" t="str">
        <f t="shared" si="69"/>
        <v/>
      </c>
      <c r="EN69" s="50" t="str">
        <f t="shared" si="69"/>
        <v/>
      </c>
      <c r="EO69" s="50" t="str">
        <f t="shared" si="69"/>
        <v/>
      </c>
      <c r="EP69" s="50" t="str">
        <f t="shared" si="69"/>
        <v/>
      </c>
      <c r="EQ69" s="50" t="str">
        <f t="shared" si="69"/>
        <v/>
      </c>
      <c r="ER69" s="50" t="str">
        <f t="shared" si="69"/>
        <v/>
      </c>
      <c r="ES69" s="50" t="str">
        <f t="shared" si="69"/>
        <v/>
      </c>
      <c r="ET69" s="50" t="str">
        <f t="shared" si="69"/>
        <v/>
      </c>
      <c r="EU69" s="50" t="str">
        <f t="shared" si="69"/>
        <v/>
      </c>
      <c r="EV69" s="50" t="str">
        <f t="shared" si="69"/>
        <v/>
      </c>
      <c r="EW69" s="50" t="str">
        <f t="shared" si="69"/>
        <v/>
      </c>
      <c r="EX69" s="50" t="str">
        <f t="shared" si="69"/>
        <v/>
      </c>
      <c r="EY69" s="50" t="str">
        <f t="shared" si="69"/>
        <v/>
      </c>
      <c r="EZ69" s="50" t="str">
        <f t="shared" si="69"/>
        <v/>
      </c>
      <c r="FA69" s="50" t="str">
        <f t="shared" si="69"/>
        <v/>
      </c>
      <c r="FB69" s="50" t="str">
        <f t="shared" si="71"/>
        <v/>
      </c>
      <c r="FC69" s="50" t="str">
        <f t="shared" si="75"/>
        <v/>
      </c>
      <c r="FD69" s="50" t="str">
        <f t="shared" si="75"/>
        <v/>
      </c>
      <c r="FE69" s="50" t="str">
        <f t="shared" si="75"/>
        <v/>
      </c>
      <c r="FF69" s="50" t="str">
        <f t="shared" si="75"/>
        <v/>
      </c>
      <c r="FG69" s="50" t="str">
        <f t="shared" si="75"/>
        <v/>
      </c>
      <c r="FH69" s="50" t="str">
        <f t="shared" si="75"/>
        <v/>
      </c>
      <c r="FI69" s="50" t="str">
        <f t="shared" si="75"/>
        <v/>
      </c>
      <c r="FJ69" s="50" t="str">
        <f t="shared" ref="FJ69:GG69" si="83">IF($B69=FJ$12,$O69,"")</f>
        <v/>
      </c>
      <c r="FK69" s="50" t="str">
        <f t="shared" si="83"/>
        <v/>
      </c>
      <c r="FL69" s="50" t="str">
        <f t="shared" si="83"/>
        <v/>
      </c>
      <c r="FM69" s="50" t="str">
        <f t="shared" si="83"/>
        <v/>
      </c>
      <c r="FN69" s="50" t="str">
        <f t="shared" si="83"/>
        <v/>
      </c>
      <c r="FO69" s="50" t="str">
        <f t="shared" si="83"/>
        <v/>
      </c>
      <c r="FP69" s="50" t="str">
        <f t="shared" si="83"/>
        <v/>
      </c>
      <c r="FQ69" s="50" t="str">
        <f t="shared" si="83"/>
        <v/>
      </c>
      <c r="FR69" s="50" t="str">
        <f t="shared" si="83"/>
        <v/>
      </c>
      <c r="FS69" s="50" t="str">
        <f t="shared" si="83"/>
        <v/>
      </c>
      <c r="FT69" s="50" t="str">
        <f t="shared" si="83"/>
        <v/>
      </c>
      <c r="FU69" s="50" t="str">
        <f t="shared" si="83"/>
        <v/>
      </c>
      <c r="FV69" s="50" t="str">
        <f t="shared" si="83"/>
        <v/>
      </c>
      <c r="FW69" s="50" t="str">
        <f t="shared" si="83"/>
        <v/>
      </c>
      <c r="FX69" s="50" t="str">
        <f t="shared" si="83"/>
        <v/>
      </c>
      <c r="FY69" s="50" t="str">
        <f t="shared" si="83"/>
        <v/>
      </c>
      <c r="FZ69" s="50" t="str">
        <f t="shared" si="83"/>
        <v/>
      </c>
      <c r="GA69" s="50" t="str">
        <f t="shared" si="83"/>
        <v/>
      </c>
      <c r="GB69" s="50" t="str">
        <f t="shared" si="83"/>
        <v/>
      </c>
      <c r="GC69" s="50" t="str">
        <f t="shared" si="83"/>
        <v/>
      </c>
      <c r="GD69" s="50" t="str">
        <f t="shared" si="83"/>
        <v/>
      </c>
      <c r="GE69" s="50" t="str">
        <f t="shared" si="83"/>
        <v/>
      </c>
      <c r="GF69" s="50" t="str">
        <f t="shared" si="83"/>
        <v/>
      </c>
      <c r="GG69" s="50" t="str">
        <f t="shared" si="83"/>
        <v/>
      </c>
      <c r="GH69" s="50" t="str">
        <f t="shared" si="80"/>
        <v/>
      </c>
      <c r="GI69" s="50" t="str">
        <f t="shared" si="80"/>
        <v/>
      </c>
      <c r="GJ69" s="50" t="str">
        <f t="shared" si="80"/>
        <v/>
      </c>
      <c r="GK69" s="50" t="str">
        <f t="shared" si="80"/>
        <v/>
      </c>
      <c r="GL69" s="50" t="str">
        <f t="shared" si="80"/>
        <v/>
      </c>
      <c r="GM69" s="50" t="str">
        <f t="shared" si="80"/>
        <v/>
      </c>
      <c r="GN69" s="50" t="str">
        <f t="shared" si="80"/>
        <v/>
      </c>
      <c r="GO69" s="50" t="str">
        <f t="shared" si="80"/>
        <v/>
      </c>
      <c r="GP69" s="50" t="str">
        <f t="shared" si="80"/>
        <v/>
      </c>
      <c r="GQ69" s="50" t="str">
        <f t="shared" si="80"/>
        <v/>
      </c>
      <c r="GR69" s="50" t="str">
        <f t="shared" si="80"/>
        <v/>
      </c>
      <c r="GS69" s="50" t="str">
        <f t="shared" si="80"/>
        <v/>
      </c>
      <c r="GT69" s="50" t="str">
        <f t="shared" si="80"/>
        <v/>
      </c>
      <c r="GU69" s="50" t="str">
        <f t="shared" si="80"/>
        <v/>
      </c>
      <c r="GV69" s="50" t="str">
        <f t="shared" si="80"/>
        <v/>
      </c>
      <c r="GW69" s="50" t="str">
        <f t="shared" si="80"/>
        <v/>
      </c>
      <c r="GX69" s="50" t="str">
        <f t="shared" ref="GX69:HM72" si="84">IF($B69=GX$12,$O69,"")</f>
        <v/>
      </c>
      <c r="GY69" s="50" t="str">
        <f t="shared" si="84"/>
        <v/>
      </c>
      <c r="GZ69" s="50" t="str">
        <f t="shared" si="84"/>
        <v/>
      </c>
      <c r="HA69" s="50" t="str">
        <f t="shared" si="84"/>
        <v/>
      </c>
      <c r="HB69" s="50" t="str">
        <f t="shared" si="84"/>
        <v/>
      </c>
      <c r="HC69" s="50" t="str">
        <f t="shared" si="84"/>
        <v/>
      </c>
      <c r="HD69" s="50" t="str">
        <f t="shared" si="84"/>
        <v/>
      </c>
      <c r="HE69" s="50" t="str">
        <f t="shared" si="84"/>
        <v/>
      </c>
      <c r="HF69" s="50" t="str">
        <f t="shared" si="84"/>
        <v/>
      </c>
      <c r="HG69" s="50" t="str">
        <f t="shared" si="84"/>
        <v/>
      </c>
      <c r="HH69" s="50" t="str">
        <f t="shared" si="84"/>
        <v/>
      </c>
      <c r="HI69" s="50" t="str">
        <f t="shared" si="84"/>
        <v/>
      </c>
      <c r="HJ69" s="50" t="str">
        <f t="shared" si="84"/>
        <v/>
      </c>
      <c r="HK69" s="50" t="str">
        <f t="shared" si="84"/>
        <v/>
      </c>
      <c r="HL69" s="50" t="str">
        <f t="shared" si="84"/>
        <v/>
      </c>
      <c r="HM69" s="50" t="str">
        <f t="shared" si="84"/>
        <v/>
      </c>
      <c r="HN69" s="50" t="str">
        <f t="shared" si="23"/>
        <v/>
      </c>
      <c r="HO69" s="50" t="str">
        <f t="shared" si="23"/>
        <v/>
      </c>
      <c r="HP69" s="50" t="str">
        <f t="shared" si="23"/>
        <v/>
      </c>
      <c r="HQ69" s="50" t="str">
        <f t="shared" si="23"/>
        <v/>
      </c>
      <c r="HR69" s="116" t="str">
        <f t="shared" si="23"/>
        <v/>
      </c>
    </row>
    <row r="70" spans="1:226" ht="11.15" customHeight="1" x14ac:dyDescent="0.25">
      <c r="A70" s="26"/>
      <c r="B70" s="27"/>
      <c r="C70" s="28" t="str">
        <f>IF(A70=0,"",VLOOKUP(A70,[3]CO!$A$3:$F$5327,2,0))</f>
        <v/>
      </c>
      <c r="D70" s="29" t="s">
        <v>55</v>
      </c>
      <c r="E70" s="29"/>
      <c r="F70" s="29"/>
      <c r="G70" s="30" t="str">
        <f>IF(A70=0,"",VLOOKUP(A70,[3]CO!$A$3:$F$5327,3,0))</f>
        <v/>
      </c>
      <c r="H70" s="29"/>
      <c r="I70" s="31"/>
      <c r="J70" s="31"/>
      <c r="K70" s="31"/>
      <c r="L70" s="31"/>
      <c r="M70" s="32" t="str">
        <f t="shared" si="57"/>
        <v/>
      </c>
      <c r="N70" s="32" t="str">
        <f>IF(B70=0,"",IF(H70="M",HLOOKUP(B70,$Y$12:$DT$13,2),IF(A70=0,"",VLOOKUP(A70,[3]CO!$A$3:$F$5327,4,0))))</f>
        <v/>
      </c>
      <c r="O70" s="32" t="str">
        <f t="shared" si="58"/>
        <v/>
      </c>
      <c r="P70" s="33"/>
      <c r="Q70" s="34" t="str">
        <f t="shared" si="59"/>
        <v/>
      </c>
      <c r="R70" s="35" t="str">
        <f t="shared" si="60"/>
        <v/>
      </c>
      <c r="S70" s="122"/>
      <c r="T70" s="53" t="str">
        <f>IF(A70=0,"",VLOOKUP(A70,[3]CO!$A$3:$F$5318,5,0))</f>
        <v/>
      </c>
      <c r="U70" s="54">
        <f t="shared" si="61"/>
        <v>0</v>
      </c>
      <c r="V70" s="24"/>
      <c r="W70" s="25"/>
      <c r="X70" s="25"/>
      <c r="Y70" s="64" t="str">
        <f t="shared" si="70"/>
        <v/>
      </c>
      <c r="Z70" s="55" t="str">
        <f t="shared" si="70"/>
        <v/>
      </c>
      <c r="AA70" s="55" t="str">
        <f t="shared" si="70"/>
        <v/>
      </c>
      <c r="AB70" s="55" t="str">
        <f t="shared" si="70"/>
        <v/>
      </c>
      <c r="AC70" s="55" t="str">
        <f t="shared" si="70"/>
        <v/>
      </c>
      <c r="AD70" s="55" t="str">
        <f t="shared" si="70"/>
        <v/>
      </c>
      <c r="AE70" s="55" t="str">
        <f t="shared" si="70"/>
        <v/>
      </c>
      <c r="AF70" s="55" t="str">
        <f t="shared" si="70"/>
        <v/>
      </c>
      <c r="AG70" s="55" t="str">
        <f t="shared" si="70"/>
        <v/>
      </c>
      <c r="AH70" s="55" t="str">
        <f t="shared" si="70"/>
        <v/>
      </c>
      <c r="AI70" s="55" t="str">
        <f t="shared" si="70"/>
        <v/>
      </c>
      <c r="AJ70" s="55" t="str">
        <f t="shared" si="70"/>
        <v/>
      </c>
      <c r="AK70" s="55" t="str">
        <f t="shared" si="70"/>
        <v/>
      </c>
      <c r="AL70" s="55" t="str">
        <f t="shared" si="70"/>
        <v/>
      </c>
      <c r="AM70" s="55" t="str">
        <f t="shared" si="70"/>
        <v/>
      </c>
      <c r="AN70" s="55" t="str">
        <f t="shared" si="70"/>
        <v/>
      </c>
      <c r="AO70" s="55" t="str">
        <f t="shared" si="68"/>
        <v/>
      </c>
      <c r="AP70" s="55" t="str">
        <f t="shared" si="68"/>
        <v/>
      </c>
      <c r="AQ70" s="55" t="str">
        <f t="shared" si="68"/>
        <v/>
      </c>
      <c r="AR70" s="55" t="str">
        <f t="shared" si="68"/>
        <v/>
      </c>
      <c r="AS70" s="55" t="str">
        <f t="shared" si="68"/>
        <v/>
      </c>
      <c r="AT70" s="55" t="str">
        <f t="shared" si="68"/>
        <v/>
      </c>
      <c r="AU70" s="55" t="str">
        <f t="shared" si="68"/>
        <v/>
      </c>
      <c r="AV70" s="55" t="str">
        <f t="shared" si="68"/>
        <v/>
      </c>
      <c r="AW70" s="55" t="str">
        <f t="shared" si="68"/>
        <v/>
      </c>
      <c r="AX70" s="55" t="str">
        <f t="shared" si="68"/>
        <v/>
      </c>
      <c r="AY70" s="55" t="str">
        <f t="shared" si="68"/>
        <v/>
      </c>
      <c r="AZ70" s="55" t="str">
        <f t="shared" si="68"/>
        <v/>
      </c>
      <c r="BA70" s="55" t="str">
        <f t="shared" si="68"/>
        <v/>
      </c>
      <c r="BB70" s="55" t="str">
        <f t="shared" si="68"/>
        <v/>
      </c>
      <c r="BC70" s="55" t="str">
        <f t="shared" si="68"/>
        <v/>
      </c>
      <c r="BD70" s="55" t="str">
        <f t="shared" si="70"/>
        <v/>
      </c>
      <c r="BE70" s="55" t="str">
        <f t="shared" ref="BE70:CI72" si="85">IF($B70=BE$12,$U70,"")</f>
        <v/>
      </c>
      <c r="BF70" s="55" t="str">
        <f t="shared" si="85"/>
        <v/>
      </c>
      <c r="BG70" s="55" t="str">
        <f t="shared" si="85"/>
        <v/>
      </c>
      <c r="BH70" s="55" t="str">
        <f t="shared" si="85"/>
        <v/>
      </c>
      <c r="BI70" s="55" t="str">
        <f t="shared" si="85"/>
        <v/>
      </c>
      <c r="BJ70" s="55" t="str">
        <f t="shared" si="85"/>
        <v/>
      </c>
      <c r="BK70" s="55" t="str">
        <f t="shared" si="85"/>
        <v/>
      </c>
      <c r="BL70" s="55" t="str">
        <f t="shared" si="85"/>
        <v/>
      </c>
      <c r="BM70" s="55" t="str">
        <f t="shared" si="85"/>
        <v/>
      </c>
      <c r="BN70" s="55" t="str">
        <f t="shared" si="85"/>
        <v/>
      </c>
      <c r="BO70" s="55" t="str">
        <f t="shared" si="85"/>
        <v/>
      </c>
      <c r="BP70" s="55" t="str">
        <f t="shared" si="85"/>
        <v/>
      </c>
      <c r="BQ70" s="55" t="str">
        <f t="shared" si="85"/>
        <v/>
      </c>
      <c r="BR70" s="55" t="str">
        <f t="shared" si="85"/>
        <v/>
      </c>
      <c r="BS70" s="55" t="str">
        <f t="shared" si="85"/>
        <v/>
      </c>
      <c r="BT70" s="55" t="str">
        <f t="shared" si="85"/>
        <v/>
      </c>
      <c r="BU70" s="55" t="str">
        <f t="shared" si="85"/>
        <v/>
      </c>
      <c r="BV70" s="55" t="str">
        <f t="shared" si="85"/>
        <v/>
      </c>
      <c r="BW70" s="55" t="str">
        <f t="shared" si="85"/>
        <v/>
      </c>
      <c r="BX70" s="55" t="str">
        <f t="shared" si="85"/>
        <v/>
      </c>
      <c r="BY70" s="55" t="str">
        <f t="shared" si="85"/>
        <v/>
      </c>
      <c r="BZ70" s="55" t="str">
        <f t="shared" si="85"/>
        <v/>
      </c>
      <c r="CA70" s="55" t="str">
        <f t="shared" si="85"/>
        <v/>
      </c>
      <c r="CB70" s="55" t="str">
        <f t="shared" si="85"/>
        <v/>
      </c>
      <c r="CC70" s="55" t="str">
        <f t="shared" si="85"/>
        <v/>
      </c>
      <c r="CD70" s="55" t="str">
        <f t="shared" si="85"/>
        <v/>
      </c>
      <c r="CE70" s="55" t="str">
        <f t="shared" si="85"/>
        <v/>
      </c>
      <c r="CF70" s="55" t="str">
        <f t="shared" si="85"/>
        <v/>
      </c>
      <c r="CG70" s="55" t="str">
        <f t="shared" si="85"/>
        <v/>
      </c>
      <c r="CH70" s="55" t="str">
        <f t="shared" si="85"/>
        <v/>
      </c>
      <c r="CI70" s="55" t="str">
        <f t="shared" si="85"/>
        <v/>
      </c>
      <c r="CJ70" s="55" t="str">
        <f t="shared" si="78"/>
        <v/>
      </c>
      <c r="CK70" s="55" t="str">
        <f t="shared" si="78"/>
        <v/>
      </c>
      <c r="CL70" s="55" t="str">
        <f t="shared" si="78"/>
        <v/>
      </c>
      <c r="CM70" s="55" t="str">
        <f t="shared" ref="CM70:DW70" si="86">IF($B70=CM$12,$U70,"")</f>
        <v/>
      </c>
      <c r="CN70" s="55" t="str">
        <f t="shared" si="86"/>
        <v/>
      </c>
      <c r="CO70" s="55" t="str">
        <f t="shared" si="86"/>
        <v/>
      </c>
      <c r="CP70" s="55" t="str">
        <f t="shared" si="86"/>
        <v/>
      </c>
      <c r="CQ70" s="55" t="str">
        <f t="shared" si="86"/>
        <v/>
      </c>
      <c r="CR70" s="55" t="str">
        <f t="shared" si="86"/>
        <v/>
      </c>
      <c r="CS70" s="55" t="str">
        <f t="shared" si="86"/>
        <v/>
      </c>
      <c r="CT70" s="55" t="str">
        <f t="shared" si="86"/>
        <v/>
      </c>
      <c r="CU70" s="55" t="str">
        <f t="shared" si="86"/>
        <v/>
      </c>
      <c r="CV70" s="55" t="str">
        <f t="shared" si="86"/>
        <v/>
      </c>
      <c r="CW70" s="55" t="str">
        <f t="shared" si="86"/>
        <v/>
      </c>
      <c r="CX70" s="55" t="str">
        <f t="shared" si="86"/>
        <v/>
      </c>
      <c r="CY70" s="55" t="str">
        <f t="shared" si="28"/>
        <v/>
      </c>
      <c r="CZ70" s="55" t="str">
        <f t="shared" si="86"/>
        <v/>
      </c>
      <c r="DA70" s="55" t="str">
        <f t="shared" si="86"/>
        <v/>
      </c>
      <c r="DB70" s="55" t="str">
        <f t="shared" si="86"/>
        <v/>
      </c>
      <c r="DC70" s="55" t="str">
        <f t="shared" si="86"/>
        <v/>
      </c>
      <c r="DD70" s="55" t="str">
        <f t="shared" si="86"/>
        <v/>
      </c>
      <c r="DE70" s="55" t="str">
        <f t="shared" si="86"/>
        <v/>
      </c>
      <c r="DF70" s="55" t="str">
        <f t="shared" si="86"/>
        <v/>
      </c>
      <c r="DG70" s="55" t="str">
        <f t="shared" si="86"/>
        <v/>
      </c>
      <c r="DH70" s="55" t="str">
        <f t="shared" si="86"/>
        <v/>
      </c>
      <c r="DI70" s="55" t="str">
        <f t="shared" si="86"/>
        <v/>
      </c>
      <c r="DJ70" s="55" t="str">
        <f t="shared" si="86"/>
        <v/>
      </c>
      <c r="DK70" s="55" t="str">
        <f t="shared" si="86"/>
        <v/>
      </c>
      <c r="DL70" s="55" t="str">
        <f t="shared" si="86"/>
        <v/>
      </c>
      <c r="DM70" s="55" t="str">
        <f t="shared" si="86"/>
        <v/>
      </c>
      <c r="DN70" s="55" t="str">
        <f t="shared" si="86"/>
        <v/>
      </c>
      <c r="DO70" s="55" t="str">
        <f t="shared" si="86"/>
        <v/>
      </c>
      <c r="DP70" s="55" t="str">
        <f t="shared" si="86"/>
        <v/>
      </c>
      <c r="DQ70" s="55" t="str">
        <f t="shared" si="86"/>
        <v/>
      </c>
      <c r="DR70" s="55" t="str">
        <f t="shared" si="86"/>
        <v/>
      </c>
      <c r="DS70" s="55" t="str">
        <f t="shared" si="86"/>
        <v/>
      </c>
      <c r="DT70" s="110" t="str">
        <f t="shared" si="86"/>
        <v/>
      </c>
      <c r="DU70" s="54"/>
      <c r="DV70" s="25"/>
      <c r="DW70" s="61" t="str">
        <f t="shared" si="71"/>
        <v/>
      </c>
      <c r="DX70" s="50" t="str">
        <f t="shared" si="71"/>
        <v/>
      </c>
      <c r="DY70" s="50" t="str">
        <f t="shared" si="71"/>
        <v/>
      </c>
      <c r="DZ70" s="50" t="str">
        <f t="shared" si="71"/>
        <v/>
      </c>
      <c r="EA70" s="50" t="str">
        <f t="shared" si="71"/>
        <v/>
      </c>
      <c r="EB70" s="50" t="str">
        <f t="shared" si="71"/>
        <v/>
      </c>
      <c r="EC70" s="50" t="str">
        <f t="shared" si="71"/>
        <v/>
      </c>
      <c r="ED70" s="50" t="str">
        <f t="shared" si="71"/>
        <v/>
      </c>
      <c r="EE70" s="50" t="str">
        <f t="shared" si="71"/>
        <v/>
      </c>
      <c r="EF70" s="50" t="str">
        <f t="shared" si="71"/>
        <v/>
      </c>
      <c r="EG70" s="50" t="str">
        <f t="shared" si="71"/>
        <v/>
      </c>
      <c r="EH70" s="50" t="str">
        <f t="shared" si="71"/>
        <v/>
      </c>
      <c r="EI70" s="50" t="str">
        <f t="shared" si="71"/>
        <v/>
      </c>
      <c r="EJ70" s="50" t="str">
        <f t="shared" si="71"/>
        <v/>
      </c>
      <c r="EK70" s="50" t="str">
        <f t="shared" si="71"/>
        <v/>
      </c>
      <c r="EL70" s="50" t="str">
        <f t="shared" si="71"/>
        <v/>
      </c>
      <c r="EM70" s="50" t="str">
        <f t="shared" si="69"/>
        <v/>
      </c>
      <c r="EN70" s="50" t="str">
        <f t="shared" si="69"/>
        <v/>
      </c>
      <c r="EO70" s="50" t="str">
        <f t="shared" si="69"/>
        <v/>
      </c>
      <c r="EP70" s="50" t="str">
        <f t="shared" si="69"/>
        <v/>
      </c>
      <c r="EQ70" s="50" t="str">
        <f t="shared" si="69"/>
        <v/>
      </c>
      <c r="ER70" s="50" t="str">
        <f t="shared" si="69"/>
        <v/>
      </c>
      <c r="ES70" s="50" t="str">
        <f t="shared" si="69"/>
        <v/>
      </c>
      <c r="ET70" s="50" t="str">
        <f t="shared" si="69"/>
        <v/>
      </c>
      <c r="EU70" s="50" t="str">
        <f t="shared" si="69"/>
        <v/>
      </c>
      <c r="EV70" s="50" t="str">
        <f t="shared" si="69"/>
        <v/>
      </c>
      <c r="EW70" s="50" t="str">
        <f t="shared" si="69"/>
        <v/>
      </c>
      <c r="EX70" s="50" t="str">
        <f t="shared" si="69"/>
        <v/>
      </c>
      <c r="EY70" s="50" t="str">
        <f t="shared" si="69"/>
        <v/>
      </c>
      <c r="EZ70" s="50" t="str">
        <f t="shared" si="69"/>
        <v/>
      </c>
      <c r="FA70" s="50" t="str">
        <f t="shared" si="69"/>
        <v/>
      </c>
      <c r="FB70" s="50" t="str">
        <f t="shared" si="71"/>
        <v/>
      </c>
      <c r="FC70" s="50" t="str">
        <f t="shared" ref="FC70:GG72" si="87">IF($B70=FC$12,$O70,"")</f>
        <v/>
      </c>
      <c r="FD70" s="50" t="str">
        <f t="shared" si="87"/>
        <v/>
      </c>
      <c r="FE70" s="50" t="str">
        <f t="shared" si="87"/>
        <v/>
      </c>
      <c r="FF70" s="50" t="str">
        <f t="shared" si="87"/>
        <v/>
      </c>
      <c r="FG70" s="50" t="str">
        <f t="shared" si="87"/>
        <v/>
      </c>
      <c r="FH70" s="50" t="str">
        <f t="shared" si="87"/>
        <v/>
      </c>
      <c r="FI70" s="50" t="str">
        <f t="shared" si="87"/>
        <v/>
      </c>
      <c r="FJ70" s="50" t="str">
        <f t="shared" si="87"/>
        <v/>
      </c>
      <c r="FK70" s="50" t="str">
        <f t="shared" si="87"/>
        <v/>
      </c>
      <c r="FL70" s="50" t="str">
        <f t="shared" si="87"/>
        <v/>
      </c>
      <c r="FM70" s="50" t="str">
        <f t="shared" si="87"/>
        <v/>
      </c>
      <c r="FN70" s="50" t="str">
        <f t="shared" si="87"/>
        <v/>
      </c>
      <c r="FO70" s="50" t="str">
        <f t="shared" si="87"/>
        <v/>
      </c>
      <c r="FP70" s="50" t="str">
        <f t="shared" si="87"/>
        <v/>
      </c>
      <c r="FQ70" s="50" t="str">
        <f t="shared" si="87"/>
        <v/>
      </c>
      <c r="FR70" s="50" t="str">
        <f t="shared" si="87"/>
        <v/>
      </c>
      <c r="FS70" s="50" t="str">
        <f t="shared" si="87"/>
        <v/>
      </c>
      <c r="FT70" s="50" t="str">
        <f t="shared" si="87"/>
        <v/>
      </c>
      <c r="FU70" s="50" t="str">
        <f t="shared" si="87"/>
        <v/>
      </c>
      <c r="FV70" s="50" t="str">
        <f t="shared" si="87"/>
        <v/>
      </c>
      <c r="FW70" s="50" t="str">
        <f t="shared" si="87"/>
        <v/>
      </c>
      <c r="FX70" s="50" t="str">
        <f t="shared" si="87"/>
        <v/>
      </c>
      <c r="FY70" s="50" t="str">
        <f t="shared" si="87"/>
        <v/>
      </c>
      <c r="FZ70" s="50" t="str">
        <f t="shared" si="87"/>
        <v/>
      </c>
      <c r="GA70" s="50" t="str">
        <f t="shared" si="87"/>
        <v/>
      </c>
      <c r="GB70" s="50" t="str">
        <f t="shared" si="87"/>
        <v/>
      </c>
      <c r="GC70" s="50" t="str">
        <f t="shared" si="87"/>
        <v/>
      </c>
      <c r="GD70" s="50" t="str">
        <f t="shared" si="87"/>
        <v/>
      </c>
      <c r="GE70" s="50" t="str">
        <f t="shared" si="87"/>
        <v/>
      </c>
      <c r="GF70" s="50" t="str">
        <f t="shared" si="87"/>
        <v/>
      </c>
      <c r="GG70" s="50" t="str">
        <f t="shared" si="87"/>
        <v/>
      </c>
      <c r="GH70" s="50" t="str">
        <f t="shared" si="80"/>
        <v/>
      </c>
      <c r="GI70" s="50" t="str">
        <f t="shared" si="80"/>
        <v/>
      </c>
      <c r="GJ70" s="50" t="str">
        <f t="shared" si="80"/>
        <v/>
      </c>
      <c r="GK70" s="50" t="str">
        <f t="shared" si="80"/>
        <v/>
      </c>
      <c r="GL70" s="50" t="str">
        <f t="shared" si="80"/>
        <v/>
      </c>
      <c r="GM70" s="50" t="str">
        <f t="shared" si="80"/>
        <v/>
      </c>
      <c r="GN70" s="50" t="str">
        <f t="shared" si="80"/>
        <v/>
      </c>
      <c r="GO70" s="50" t="str">
        <f t="shared" si="80"/>
        <v/>
      </c>
      <c r="GP70" s="50" t="str">
        <f t="shared" si="80"/>
        <v/>
      </c>
      <c r="GQ70" s="50" t="str">
        <f t="shared" si="80"/>
        <v/>
      </c>
      <c r="GR70" s="50" t="str">
        <f t="shared" si="80"/>
        <v/>
      </c>
      <c r="GS70" s="50" t="str">
        <f t="shared" si="80"/>
        <v/>
      </c>
      <c r="GT70" s="50" t="str">
        <f t="shared" si="80"/>
        <v/>
      </c>
      <c r="GU70" s="50" t="str">
        <f t="shared" si="80"/>
        <v/>
      </c>
      <c r="GV70" s="50" t="str">
        <f t="shared" si="80"/>
        <v/>
      </c>
      <c r="GW70" s="50" t="str">
        <f t="shared" si="80"/>
        <v/>
      </c>
      <c r="GX70" s="50" t="str">
        <f t="shared" si="84"/>
        <v/>
      </c>
      <c r="GY70" s="50" t="str">
        <f t="shared" si="84"/>
        <v/>
      </c>
      <c r="GZ70" s="50" t="str">
        <f t="shared" si="84"/>
        <v/>
      </c>
      <c r="HA70" s="50" t="str">
        <f t="shared" si="84"/>
        <v/>
      </c>
      <c r="HB70" s="50" t="str">
        <f t="shared" si="84"/>
        <v/>
      </c>
      <c r="HC70" s="50" t="str">
        <f t="shared" si="84"/>
        <v/>
      </c>
      <c r="HD70" s="50" t="str">
        <f t="shared" si="84"/>
        <v/>
      </c>
      <c r="HE70" s="50" t="str">
        <f t="shared" si="84"/>
        <v/>
      </c>
      <c r="HF70" s="50" t="str">
        <f t="shared" si="84"/>
        <v/>
      </c>
      <c r="HG70" s="50" t="str">
        <f t="shared" si="84"/>
        <v/>
      </c>
      <c r="HH70" s="50" t="str">
        <f t="shared" si="84"/>
        <v/>
      </c>
      <c r="HI70" s="50" t="str">
        <f t="shared" si="84"/>
        <v/>
      </c>
      <c r="HJ70" s="50" t="str">
        <f t="shared" si="84"/>
        <v/>
      </c>
      <c r="HK70" s="50" t="str">
        <f t="shared" si="84"/>
        <v/>
      </c>
      <c r="HL70" s="50" t="str">
        <f t="shared" si="84"/>
        <v/>
      </c>
      <c r="HM70" s="50" t="str">
        <f t="shared" si="84"/>
        <v/>
      </c>
      <c r="HN70" s="50" t="str">
        <f t="shared" si="23"/>
        <v/>
      </c>
      <c r="HO70" s="50" t="str">
        <f t="shared" si="23"/>
        <v/>
      </c>
      <c r="HP70" s="50" t="str">
        <f t="shared" si="23"/>
        <v/>
      </c>
      <c r="HQ70" s="50" t="str">
        <f t="shared" si="23"/>
        <v/>
      </c>
      <c r="HR70" s="116" t="str">
        <f t="shared" si="23"/>
        <v/>
      </c>
    </row>
    <row r="71" spans="1:226" ht="11.15" customHeight="1" x14ac:dyDescent="0.25">
      <c r="A71" s="26"/>
      <c r="B71" s="27"/>
      <c r="C71" s="28" t="str">
        <f>IF(A71=0,"",VLOOKUP(A71,[3]CO!$A$3:$F$5327,2,0))</f>
        <v/>
      </c>
      <c r="D71" s="29"/>
      <c r="E71" s="29"/>
      <c r="F71" s="29"/>
      <c r="G71" s="30" t="str">
        <f>IF(A71=0,"",VLOOKUP(A71,[3]CO!$A$3:$F$5327,3,0))</f>
        <v/>
      </c>
      <c r="H71" s="29"/>
      <c r="I71" s="31"/>
      <c r="J71" s="31"/>
      <c r="K71" s="31"/>
      <c r="L71" s="31"/>
      <c r="M71" s="32" t="str">
        <f t="shared" si="57"/>
        <v/>
      </c>
      <c r="N71" s="32" t="str">
        <f>IF(B71=0,"",IF(H71="M",HLOOKUP(B71,$Y$12:$DT$13,2),IF(A71=0,"",VLOOKUP(A71,[3]CO!$A$3:$F$5327,4,0))))</f>
        <v/>
      </c>
      <c r="O71" s="32" t="str">
        <f t="shared" si="58"/>
        <v/>
      </c>
      <c r="P71" s="33"/>
      <c r="Q71" s="34" t="str">
        <f t="shared" si="59"/>
        <v/>
      </c>
      <c r="R71" s="35" t="str">
        <f t="shared" si="60"/>
        <v/>
      </c>
      <c r="S71" s="122"/>
      <c r="T71" s="53" t="str">
        <f>IF(A71=0,"",VLOOKUP(A71,[3]CO!$A$3:$F$5318,5,0))</f>
        <v/>
      </c>
      <c r="U71" s="54">
        <f t="shared" si="61"/>
        <v>0</v>
      </c>
      <c r="V71" s="24"/>
      <c r="W71" s="25"/>
      <c r="X71" s="25"/>
      <c r="Y71" s="64" t="str">
        <f t="shared" si="70"/>
        <v/>
      </c>
      <c r="Z71" s="55" t="str">
        <f t="shared" si="70"/>
        <v/>
      </c>
      <c r="AA71" s="55" t="str">
        <f t="shared" si="70"/>
        <v/>
      </c>
      <c r="AB71" s="55" t="str">
        <f t="shared" si="70"/>
        <v/>
      </c>
      <c r="AC71" s="55" t="str">
        <f t="shared" si="70"/>
        <v/>
      </c>
      <c r="AD71" s="55" t="str">
        <f t="shared" si="70"/>
        <v/>
      </c>
      <c r="AE71" s="55" t="str">
        <f t="shared" si="70"/>
        <v/>
      </c>
      <c r="AF71" s="55" t="str">
        <f t="shared" si="70"/>
        <v/>
      </c>
      <c r="AG71" s="55" t="str">
        <f t="shared" si="70"/>
        <v/>
      </c>
      <c r="AH71" s="55" t="str">
        <f t="shared" si="70"/>
        <v/>
      </c>
      <c r="AI71" s="55" t="str">
        <f t="shared" si="70"/>
        <v/>
      </c>
      <c r="AJ71" s="55" t="str">
        <f t="shared" si="70"/>
        <v/>
      </c>
      <c r="AK71" s="55" t="str">
        <f t="shared" si="70"/>
        <v/>
      </c>
      <c r="AL71" s="55" t="str">
        <f t="shared" si="70"/>
        <v/>
      </c>
      <c r="AM71" s="55" t="str">
        <f t="shared" si="70"/>
        <v/>
      </c>
      <c r="AN71" s="55" t="str">
        <f t="shared" si="70"/>
        <v/>
      </c>
      <c r="AO71" s="55" t="str">
        <f t="shared" si="68"/>
        <v/>
      </c>
      <c r="AP71" s="55" t="str">
        <f t="shared" si="68"/>
        <v/>
      </c>
      <c r="AQ71" s="55" t="str">
        <f t="shared" si="68"/>
        <v/>
      </c>
      <c r="AR71" s="55" t="str">
        <f t="shared" si="68"/>
        <v/>
      </c>
      <c r="AS71" s="55" t="str">
        <f t="shared" si="68"/>
        <v/>
      </c>
      <c r="AT71" s="55" t="str">
        <f t="shared" si="68"/>
        <v/>
      </c>
      <c r="AU71" s="55" t="str">
        <f t="shared" si="68"/>
        <v/>
      </c>
      <c r="AV71" s="55" t="str">
        <f t="shared" si="68"/>
        <v/>
      </c>
      <c r="AW71" s="55" t="str">
        <f t="shared" si="68"/>
        <v/>
      </c>
      <c r="AX71" s="55" t="str">
        <f t="shared" si="68"/>
        <v/>
      </c>
      <c r="AY71" s="55" t="str">
        <f t="shared" si="68"/>
        <v/>
      </c>
      <c r="AZ71" s="55" t="str">
        <f t="shared" si="68"/>
        <v/>
      </c>
      <c r="BA71" s="55" t="str">
        <f t="shared" si="68"/>
        <v/>
      </c>
      <c r="BB71" s="55" t="str">
        <f t="shared" si="68"/>
        <v/>
      </c>
      <c r="BC71" s="55" t="str">
        <f t="shared" si="68"/>
        <v/>
      </c>
      <c r="BD71" s="55" t="str">
        <f t="shared" si="70"/>
        <v/>
      </c>
      <c r="BE71" s="55" t="str">
        <f t="shared" si="85"/>
        <v/>
      </c>
      <c r="BF71" s="55" t="str">
        <f t="shared" si="85"/>
        <v/>
      </c>
      <c r="BG71" s="55" t="str">
        <f t="shared" si="85"/>
        <v/>
      </c>
      <c r="BH71" s="55" t="str">
        <f t="shared" si="85"/>
        <v/>
      </c>
      <c r="BI71" s="55" t="str">
        <f t="shared" si="85"/>
        <v/>
      </c>
      <c r="BJ71" s="55" t="str">
        <f t="shared" si="85"/>
        <v/>
      </c>
      <c r="BK71" s="55" t="str">
        <f t="shared" si="85"/>
        <v/>
      </c>
      <c r="BL71" s="55" t="str">
        <f t="shared" si="85"/>
        <v/>
      </c>
      <c r="BM71" s="55" t="str">
        <f t="shared" si="85"/>
        <v/>
      </c>
      <c r="BN71" s="55" t="str">
        <f t="shared" si="85"/>
        <v/>
      </c>
      <c r="BO71" s="55" t="str">
        <f t="shared" si="85"/>
        <v/>
      </c>
      <c r="BP71" s="55" t="str">
        <f t="shared" si="85"/>
        <v/>
      </c>
      <c r="BQ71" s="55" t="str">
        <f t="shared" si="85"/>
        <v/>
      </c>
      <c r="BR71" s="55" t="str">
        <f t="shared" si="85"/>
        <v/>
      </c>
      <c r="BS71" s="55" t="str">
        <f t="shared" si="85"/>
        <v/>
      </c>
      <c r="BT71" s="55" t="str">
        <f t="shared" si="85"/>
        <v/>
      </c>
      <c r="BU71" s="55" t="str">
        <f t="shared" si="85"/>
        <v/>
      </c>
      <c r="BV71" s="55" t="str">
        <f t="shared" si="85"/>
        <v/>
      </c>
      <c r="BW71" s="55" t="str">
        <f t="shared" si="85"/>
        <v/>
      </c>
      <c r="BX71" s="55" t="str">
        <f t="shared" si="85"/>
        <v/>
      </c>
      <c r="BY71" s="55" t="str">
        <f t="shared" si="85"/>
        <v/>
      </c>
      <c r="BZ71" s="55" t="str">
        <f t="shared" si="85"/>
        <v/>
      </c>
      <c r="CA71" s="55" t="str">
        <f t="shared" si="85"/>
        <v/>
      </c>
      <c r="CB71" s="55" t="str">
        <f t="shared" si="85"/>
        <v/>
      </c>
      <c r="CC71" s="55" t="str">
        <f t="shared" si="85"/>
        <v/>
      </c>
      <c r="CD71" s="55" t="str">
        <f t="shared" si="85"/>
        <v/>
      </c>
      <c r="CE71" s="55" t="str">
        <f t="shared" si="85"/>
        <v/>
      </c>
      <c r="CF71" s="55" t="str">
        <f t="shared" si="85"/>
        <v/>
      </c>
      <c r="CG71" s="55" t="str">
        <f t="shared" si="85"/>
        <v/>
      </c>
      <c r="CH71" s="55" t="str">
        <f t="shared" si="85"/>
        <v/>
      </c>
      <c r="CI71" s="55" t="str">
        <f t="shared" si="85"/>
        <v/>
      </c>
      <c r="CJ71" s="55" t="str">
        <f t="shared" ref="CJ71:DT72" si="88">IF($B71=CJ$12,$U71,"")</f>
        <v/>
      </c>
      <c r="CK71" s="55" t="str">
        <f t="shared" si="88"/>
        <v/>
      </c>
      <c r="CL71" s="55" t="str">
        <f t="shared" si="88"/>
        <v/>
      </c>
      <c r="CM71" s="55" t="str">
        <f t="shared" si="88"/>
        <v/>
      </c>
      <c r="CN71" s="55" t="str">
        <f t="shared" si="88"/>
        <v/>
      </c>
      <c r="CO71" s="55" t="str">
        <f t="shared" si="88"/>
        <v/>
      </c>
      <c r="CP71" s="55" t="str">
        <f t="shared" si="88"/>
        <v/>
      </c>
      <c r="CQ71" s="55" t="str">
        <f t="shared" si="88"/>
        <v/>
      </c>
      <c r="CR71" s="55" t="str">
        <f t="shared" si="88"/>
        <v/>
      </c>
      <c r="CS71" s="55" t="str">
        <f t="shared" si="88"/>
        <v/>
      </c>
      <c r="CT71" s="55" t="str">
        <f t="shared" si="88"/>
        <v/>
      </c>
      <c r="CU71" s="55" t="str">
        <f t="shared" si="88"/>
        <v/>
      </c>
      <c r="CV71" s="55" t="str">
        <f t="shared" si="88"/>
        <v/>
      </c>
      <c r="CW71" s="55" t="str">
        <f t="shared" si="88"/>
        <v/>
      </c>
      <c r="CX71" s="55" t="str">
        <f t="shared" si="88"/>
        <v/>
      </c>
      <c r="CY71" s="55" t="str">
        <f t="shared" si="28"/>
        <v/>
      </c>
      <c r="CZ71" s="55" t="str">
        <f t="shared" si="88"/>
        <v/>
      </c>
      <c r="DA71" s="55" t="str">
        <f t="shared" si="88"/>
        <v/>
      </c>
      <c r="DB71" s="55" t="str">
        <f t="shared" si="88"/>
        <v/>
      </c>
      <c r="DC71" s="55" t="str">
        <f t="shared" si="88"/>
        <v/>
      </c>
      <c r="DD71" s="55" t="str">
        <f t="shared" si="88"/>
        <v/>
      </c>
      <c r="DE71" s="55" t="str">
        <f t="shared" si="88"/>
        <v/>
      </c>
      <c r="DF71" s="55" t="str">
        <f t="shared" si="88"/>
        <v/>
      </c>
      <c r="DG71" s="55" t="str">
        <f t="shared" si="88"/>
        <v/>
      </c>
      <c r="DH71" s="55" t="str">
        <f t="shared" si="88"/>
        <v/>
      </c>
      <c r="DI71" s="55" t="str">
        <f t="shared" si="88"/>
        <v/>
      </c>
      <c r="DJ71" s="55" t="str">
        <f t="shared" si="88"/>
        <v/>
      </c>
      <c r="DK71" s="55" t="str">
        <f t="shared" si="88"/>
        <v/>
      </c>
      <c r="DL71" s="55" t="str">
        <f t="shared" si="88"/>
        <v/>
      </c>
      <c r="DM71" s="55" t="str">
        <f t="shared" si="88"/>
        <v/>
      </c>
      <c r="DN71" s="55" t="str">
        <f t="shared" si="88"/>
        <v/>
      </c>
      <c r="DO71" s="55" t="str">
        <f t="shared" si="88"/>
        <v/>
      </c>
      <c r="DP71" s="55" t="str">
        <f t="shared" si="88"/>
        <v/>
      </c>
      <c r="DQ71" s="55" t="str">
        <f t="shared" si="88"/>
        <v/>
      </c>
      <c r="DR71" s="55" t="str">
        <f t="shared" si="88"/>
        <v/>
      </c>
      <c r="DS71" s="55" t="str">
        <f t="shared" si="88"/>
        <v/>
      </c>
      <c r="DT71" s="110" t="str">
        <f t="shared" si="88"/>
        <v/>
      </c>
      <c r="DU71" s="54"/>
      <c r="DV71" s="25"/>
      <c r="DW71" s="61" t="str">
        <f t="shared" si="71"/>
        <v/>
      </c>
      <c r="DX71" s="50" t="str">
        <f t="shared" si="71"/>
        <v/>
      </c>
      <c r="DY71" s="50" t="str">
        <f t="shared" si="71"/>
        <v/>
      </c>
      <c r="DZ71" s="50" t="str">
        <f t="shared" si="71"/>
        <v/>
      </c>
      <c r="EA71" s="50" t="str">
        <f t="shared" si="71"/>
        <v/>
      </c>
      <c r="EB71" s="50" t="str">
        <f t="shared" si="71"/>
        <v/>
      </c>
      <c r="EC71" s="50" t="str">
        <f t="shared" si="71"/>
        <v/>
      </c>
      <c r="ED71" s="50" t="str">
        <f t="shared" si="71"/>
        <v/>
      </c>
      <c r="EE71" s="50" t="str">
        <f t="shared" si="71"/>
        <v/>
      </c>
      <c r="EF71" s="50" t="str">
        <f t="shared" si="71"/>
        <v/>
      </c>
      <c r="EG71" s="50" t="str">
        <f t="shared" si="71"/>
        <v/>
      </c>
      <c r="EH71" s="50" t="str">
        <f t="shared" si="71"/>
        <v/>
      </c>
      <c r="EI71" s="50" t="str">
        <f t="shared" si="71"/>
        <v/>
      </c>
      <c r="EJ71" s="50" t="str">
        <f t="shared" si="71"/>
        <v/>
      </c>
      <c r="EK71" s="50" t="str">
        <f t="shared" si="71"/>
        <v/>
      </c>
      <c r="EL71" s="50" t="str">
        <f t="shared" si="71"/>
        <v/>
      </c>
      <c r="EM71" s="50" t="str">
        <f t="shared" si="69"/>
        <v/>
      </c>
      <c r="EN71" s="50" t="str">
        <f t="shared" si="69"/>
        <v/>
      </c>
      <c r="EO71" s="50" t="str">
        <f t="shared" si="69"/>
        <v/>
      </c>
      <c r="EP71" s="50" t="str">
        <f t="shared" si="69"/>
        <v/>
      </c>
      <c r="EQ71" s="50" t="str">
        <f t="shared" si="69"/>
        <v/>
      </c>
      <c r="ER71" s="50" t="str">
        <f t="shared" si="69"/>
        <v/>
      </c>
      <c r="ES71" s="50" t="str">
        <f t="shared" si="69"/>
        <v/>
      </c>
      <c r="ET71" s="50" t="str">
        <f t="shared" si="69"/>
        <v/>
      </c>
      <c r="EU71" s="50" t="str">
        <f t="shared" si="69"/>
        <v/>
      </c>
      <c r="EV71" s="50" t="str">
        <f t="shared" si="69"/>
        <v/>
      </c>
      <c r="EW71" s="50" t="str">
        <f t="shared" si="69"/>
        <v/>
      </c>
      <c r="EX71" s="50" t="str">
        <f t="shared" si="69"/>
        <v/>
      </c>
      <c r="EY71" s="50" t="str">
        <f t="shared" si="69"/>
        <v/>
      </c>
      <c r="EZ71" s="50" t="str">
        <f t="shared" si="69"/>
        <v/>
      </c>
      <c r="FA71" s="50" t="str">
        <f t="shared" si="69"/>
        <v/>
      </c>
      <c r="FB71" s="50" t="str">
        <f t="shared" si="71"/>
        <v/>
      </c>
      <c r="FC71" s="50" t="str">
        <f t="shared" si="87"/>
        <v/>
      </c>
      <c r="FD71" s="50" t="str">
        <f t="shared" si="87"/>
        <v/>
      </c>
      <c r="FE71" s="50" t="str">
        <f t="shared" si="87"/>
        <v/>
      </c>
      <c r="FF71" s="50" t="str">
        <f t="shared" si="87"/>
        <v/>
      </c>
      <c r="FG71" s="50" t="str">
        <f t="shared" si="87"/>
        <v/>
      </c>
      <c r="FH71" s="50" t="str">
        <f t="shared" si="87"/>
        <v/>
      </c>
      <c r="FI71" s="50" t="str">
        <f t="shared" si="87"/>
        <v/>
      </c>
      <c r="FJ71" s="50" t="str">
        <f t="shared" si="87"/>
        <v/>
      </c>
      <c r="FK71" s="50" t="str">
        <f t="shared" si="87"/>
        <v/>
      </c>
      <c r="FL71" s="50" t="str">
        <f t="shared" si="87"/>
        <v/>
      </c>
      <c r="FM71" s="50" t="str">
        <f t="shared" si="87"/>
        <v/>
      </c>
      <c r="FN71" s="50" t="str">
        <f t="shared" si="87"/>
        <v/>
      </c>
      <c r="FO71" s="50" t="str">
        <f t="shared" si="87"/>
        <v/>
      </c>
      <c r="FP71" s="50" t="str">
        <f t="shared" si="87"/>
        <v/>
      </c>
      <c r="FQ71" s="50" t="str">
        <f t="shared" si="87"/>
        <v/>
      </c>
      <c r="FR71" s="50" t="str">
        <f t="shared" si="87"/>
        <v/>
      </c>
      <c r="FS71" s="50" t="str">
        <f t="shared" si="87"/>
        <v/>
      </c>
      <c r="FT71" s="50" t="str">
        <f t="shared" si="87"/>
        <v/>
      </c>
      <c r="FU71" s="50" t="str">
        <f t="shared" si="87"/>
        <v/>
      </c>
      <c r="FV71" s="50" t="str">
        <f t="shared" si="87"/>
        <v/>
      </c>
      <c r="FW71" s="50" t="str">
        <f t="shared" si="87"/>
        <v/>
      </c>
      <c r="FX71" s="50" t="str">
        <f t="shared" si="87"/>
        <v/>
      </c>
      <c r="FY71" s="50" t="str">
        <f t="shared" si="87"/>
        <v/>
      </c>
      <c r="FZ71" s="50" t="str">
        <f t="shared" si="87"/>
        <v/>
      </c>
      <c r="GA71" s="50" t="str">
        <f t="shared" si="87"/>
        <v/>
      </c>
      <c r="GB71" s="50" t="str">
        <f t="shared" si="87"/>
        <v/>
      </c>
      <c r="GC71" s="50" t="str">
        <f t="shared" si="87"/>
        <v/>
      </c>
      <c r="GD71" s="50" t="str">
        <f t="shared" si="87"/>
        <v/>
      </c>
      <c r="GE71" s="50" t="str">
        <f t="shared" si="87"/>
        <v/>
      </c>
      <c r="GF71" s="50" t="str">
        <f t="shared" si="87"/>
        <v/>
      </c>
      <c r="GG71" s="50" t="str">
        <f t="shared" si="87"/>
        <v/>
      </c>
      <c r="GH71" s="50" t="str">
        <f t="shared" si="80"/>
        <v/>
      </c>
      <c r="GI71" s="50" t="str">
        <f t="shared" si="80"/>
        <v/>
      </c>
      <c r="GJ71" s="50" t="str">
        <f t="shared" si="80"/>
        <v/>
      </c>
      <c r="GK71" s="50" t="str">
        <f t="shared" si="80"/>
        <v/>
      </c>
      <c r="GL71" s="50" t="str">
        <f t="shared" si="80"/>
        <v/>
      </c>
      <c r="GM71" s="50" t="str">
        <f t="shared" si="80"/>
        <v/>
      </c>
      <c r="GN71" s="50" t="str">
        <f t="shared" si="80"/>
        <v/>
      </c>
      <c r="GO71" s="50" t="str">
        <f t="shared" si="80"/>
        <v/>
      </c>
      <c r="GP71" s="50" t="str">
        <f t="shared" si="80"/>
        <v/>
      </c>
      <c r="GQ71" s="50" t="str">
        <f t="shared" si="80"/>
        <v/>
      </c>
      <c r="GR71" s="50" t="str">
        <f t="shared" si="80"/>
        <v/>
      </c>
      <c r="GS71" s="50" t="str">
        <f t="shared" si="80"/>
        <v/>
      </c>
      <c r="GT71" s="50" t="str">
        <f t="shared" si="80"/>
        <v/>
      </c>
      <c r="GU71" s="50" t="str">
        <f t="shared" si="80"/>
        <v/>
      </c>
      <c r="GV71" s="50" t="str">
        <f t="shared" si="80"/>
        <v/>
      </c>
      <c r="GW71" s="50" t="str">
        <f t="shared" si="80"/>
        <v/>
      </c>
      <c r="GX71" s="50" t="str">
        <f t="shared" si="84"/>
        <v/>
      </c>
      <c r="GY71" s="50" t="str">
        <f t="shared" si="84"/>
        <v/>
      </c>
      <c r="GZ71" s="50" t="str">
        <f t="shared" si="84"/>
        <v/>
      </c>
      <c r="HA71" s="50" t="str">
        <f t="shared" si="84"/>
        <v/>
      </c>
      <c r="HB71" s="50" t="str">
        <f t="shared" si="84"/>
        <v/>
      </c>
      <c r="HC71" s="50" t="str">
        <f t="shared" si="84"/>
        <v/>
      </c>
      <c r="HD71" s="50" t="str">
        <f t="shared" si="84"/>
        <v/>
      </c>
      <c r="HE71" s="50" t="str">
        <f t="shared" si="84"/>
        <v/>
      </c>
      <c r="HF71" s="50" t="str">
        <f t="shared" si="84"/>
        <v/>
      </c>
      <c r="HG71" s="50" t="str">
        <f t="shared" si="84"/>
        <v/>
      </c>
      <c r="HH71" s="50" t="str">
        <f t="shared" si="84"/>
        <v/>
      </c>
      <c r="HI71" s="50" t="str">
        <f t="shared" si="84"/>
        <v/>
      </c>
      <c r="HJ71" s="50" t="str">
        <f t="shared" si="84"/>
        <v/>
      </c>
      <c r="HK71" s="50" t="str">
        <f t="shared" si="84"/>
        <v/>
      </c>
      <c r="HL71" s="50" t="str">
        <f t="shared" si="84"/>
        <v/>
      </c>
      <c r="HM71" s="50" t="str">
        <f t="shared" si="84"/>
        <v/>
      </c>
      <c r="HN71" s="50" t="str">
        <f t="shared" si="23"/>
        <v/>
      </c>
      <c r="HO71" s="50" t="str">
        <f t="shared" si="23"/>
        <v/>
      </c>
      <c r="HP71" s="50" t="str">
        <f t="shared" si="23"/>
        <v/>
      </c>
      <c r="HQ71" s="50" t="str">
        <f t="shared" si="23"/>
        <v/>
      </c>
      <c r="HR71" s="116" t="str">
        <f t="shared" si="23"/>
        <v/>
      </c>
    </row>
    <row r="72" spans="1:226" ht="11.15" customHeight="1" x14ac:dyDescent="0.25">
      <c r="A72" s="26"/>
      <c r="B72" s="27"/>
      <c r="C72" s="28" t="str">
        <f>IF(A72=0,"",VLOOKUP(A72,[3]CO!$A$3:$F$5327,2,0))</f>
        <v/>
      </c>
      <c r="D72" s="29"/>
      <c r="E72" s="29"/>
      <c r="F72" s="29"/>
      <c r="G72" s="30" t="str">
        <f>IF(A72=0,"",VLOOKUP(A72,[3]CO!$A$3:$F$5327,3,0))</f>
        <v/>
      </c>
      <c r="H72" s="29"/>
      <c r="I72" s="31"/>
      <c r="J72" s="31"/>
      <c r="K72" s="31"/>
      <c r="L72" s="31"/>
      <c r="M72" s="32" t="str">
        <f t="shared" si="57"/>
        <v/>
      </c>
      <c r="N72" s="32" t="str">
        <f>IF(B72=0,"",IF(H72="M",HLOOKUP(B72,$Y$12:$DT$13,2),IF(A72=0,"",VLOOKUP(A72,[3]CO!$A$3:$F$5327,4,0))))</f>
        <v/>
      </c>
      <c r="O72" s="32" t="str">
        <f t="shared" si="58"/>
        <v/>
      </c>
      <c r="P72" s="33"/>
      <c r="Q72" s="34" t="str">
        <f t="shared" si="59"/>
        <v/>
      </c>
      <c r="R72" s="35" t="str">
        <f t="shared" si="60"/>
        <v/>
      </c>
      <c r="S72" s="122"/>
      <c r="T72" s="53" t="str">
        <f>IF(A72=0,"",VLOOKUP(A72,[3]CO!$A$3:$F$5318,5,0))</f>
        <v/>
      </c>
      <c r="U72" s="54">
        <f t="shared" si="61"/>
        <v>0</v>
      </c>
      <c r="V72" s="24"/>
      <c r="W72" s="25"/>
      <c r="X72" s="25"/>
      <c r="Y72" s="64" t="str">
        <f t="shared" ref="Y72:BD72" si="89">IF($B72=Y$12,$U72,"")</f>
        <v/>
      </c>
      <c r="Z72" s="55" t="str">
        <f t="shared" si="89"/>
        <v/>
      </c>
      <c r="AA72" s="55" t="str">
        <f t="shared" si="89"/>
        <v/>
      </c>
      <c r="AB72" s="55" t="str">
        <f t="shared" si="89"/>
        <v/>
      </c>
      <c r="AC72" s="55" t="str">
        <f t="shared" si="89"/>
        <v/>
      </c>
      <c r="AD72" s="55" t="str">
        <f t="shared" si="89"/>
        <v/>
      </c>
      <c r="AE72" s="55" t="str">
        <f t="shared" si="89"/>
        <v/>
      </c>
      <c r="AF72" s="55" t="str">
        <f t="shared" si="89"/>
        <v/>
      </c>
      <c r="AG72" s="55" t="str">
        <f t="shared" si="89"/>
        <v/>
      </c>
      <c r="AH72" s="55" t="str">
        <f t="shared" si="89"/>
        <v/>
      </c>
      <c r="AI72" s="55" t="str">
        <f t="shared" si="89"/>
        <v/>
      </c>
      <c r="AJ72" s="55" t="str">
        <f t="shared" si="89"/>
        <v/>
      </c>
      <c r="AK72" s="55" t="str">
        <f t="shared" si="89"/>
        <v/>
      </c>
      <c r="AL72" s="55" t="str">
        <f t="shared" si="89"/>
        <v/>
      </c>
      <c r="AM72" s="55" t="str">
        <f t="shared" si="89"/>
        <v/>
      </c>
      <c r="AN72" s="55" t="str">
        <f t="shared" si="89"/>
        <v/>
      </c>
      <c r="AO72" s="55" t="str">
        <f t="shared" si="89"/>
        <v/>
      </c>
      <c r="AP72" s="55" t="str">
        <f t="shared" si="89"/>
        <v/>
      </c>
      <c r="AQ72" s="55" t="str">
        <f t="shared" si="89"/>
        <v/>
      </c>
      <c r="AR72" s="55" t="str">
        <f t="shared" si="89"/>
        <v/>
      </c>
      <c r="AS72" s="55" t="str">
        <f t="shared" si="89"/>
        <v/>
      </c>
      <c r="AT72" s="55" t="str">
        <f t="shared" si="89"/>
        <v/>
      </c>
      <c r="AU72" s="55" t="str">
        <f t="shared" si="89"/>
        <v/>
      </c>
      <c r="AV72" s="55" t="str">
        <f t="shared" si="89"/>
        <v/>
      </c>
      <c r="AW72" s="55" t="str">
        <f t="shared" si="89"/>
        <v/>
      </c>
      <c r="AX72" s="55" t="str">
        <f t="shared" si="89"/>
        <v/>
      </c>
      <c r="AY72" s="55" t="str">
        <f t="shared" si="89"/>
        <v/>
      </c>
      <c r="AZ72" s="55" t="str">
        <f t="shared" si="89"/>
        <v/>
      </c>
      <c r="BA72" s="55" t="str">
        <f t="shared" si="89"/>
        <v/>
      </c>
      <c r="BB72" s="55" t="str">
        <f t="shared" si="89"/>
        <v/>
      </c>
      <c r="BC72" s="55" t="str">
        <f t="shared" si="89"/>
        <v/>
      </c>
      <c r="BD72" s="55" t="str">
        <f t="shared" si="89"/>
        <v/>
      </c>
      <c r="BE72" s="55" t="str">
        <f t="shared" si="85"/>
        <v/>
      </c>
      <c r="BF72" s="55" t="str">
        <f t="shared" si="85"/>
        <v/>
      </c>
      <c r="BG72" s="55" t="str">
        <f t="shared" si="85"/>
        <v/>
      </c>
      <c r="BH72" s="55" t="str">
        <f t="shared" si="85"/>
        <v/>
      </c>
      <c r="BI72" s="55" t="str">
        <f t="shared" si="85"/>
        <v/>
      </c>
      <c r="BJ72" s="55" t="str">
        <f t="shared" si="85"/>
        <v/>
      </c>
      <c r="BK72" s="55" t="str">
        <f t="shared" si="85"/>
        <v/>
      </c>
      <c r="BL72" s="55" t="str">
        <f t="shared" si="85"/>
        <v/>
      </c>
      <c r="BM72" s="55" t="str">
        <f t="shared" si="85"/>
        <v/>
      </c>
      <c r="BN72" s="55" t="str">
        <f t="shared" si="85"/>
        <v/>
      </c>
      <c r="BO72" s="55" t="str">
        <f t="shared" si="85"/>
        <v/>
      </c>
      <c r="BP72" s="55" t="str">
        <f t="shared" si="85"/>
        <v/>
      </c>
      <c r="BQ72" s="55" t="str">
        <f t="shared" si="85"/>
        <v/>
      </c>
      <c r="BR72" s="55" t="str">
        <f t="shared" si="85"/>
        <v/>
      </c>
      <c r="BS72" s="55" t="str">
        <f t="shared" si="85"/>
        <v/>
      </c>
      <c r="BT72" s="55" t="str">
        <f t="shared" si="85"/>
        <v/>
      </c>
      <c r="BU72" s="55" t="str">
        <f t="shared" si="85"/>
        <v/>
      </c>
      <c r="BV72" s="55" t="str">
        <f t="shared" si="85"/>
        <v/>
      </c>
      <c r="BW72" s="55" t="str">
        <f t="shared" si="85"/>
        <v/>
      </c>
      <c r="BX72" s="55" t="str">
        <f t="shared" si="85"/>
        <v/>
      </c>
      <c r="BY72" s="55" t="str">
        <f t="shared" si="85"/>
        <v/>
      </c>
      <c r="BZ72" s="55" t="str">
        <f t="shared" si="85"/>
        <v/>
      </c>
      <c r="CA72" s="55" t="str">
        <f t="shared" si="85"/>
        <v/>
      </c>
      <c r="CB72" s="55" t="str">
        <f t="shared" si="85"/>
        <v/>
      </c>
      <c r="CC72" s="55" t="str">
        <f t="shared" si="85"/>
        <v/>
      </c>
      <c r="CD72" s="55" t="str">
        <f t="shared" si="85"/>
        <v/>
      </c>
      <c r="CE72" s="55" t="str">
        <f t="shared" si="85"/>
        <v/>
      </c>
      <c r="CF72" s="55" t="str">
        <f t="shared" si="85"/>
        <v/>
      </c>
      <c r="CG72" s="55" t="str">
        <f t="shared" si="85"/>
        <v/>
      </c>
      <c r="CH72" s="55" t="str">
        <f t="shared" si="85"/>
        <v/>
      </c>
      <c r="CI72" s="55" t="str">
        <f t="shared" si="85"/>
        <v/>
      </c>
      <c r="CJ72" s="55" t="str">
        <f t="shared" si="88"/>
        <v/>
      </c>
      <c r="CK72" s="55" t="str">
        <f t="shared" si="88"/>
        <v/>
      </c>
      <c r="CL72" s="55" t="str">
        <f t="shared" si="88"/>
        <v/>
      </c>
      <c r="CM72" s="55" t="str">
        <f t="shared" si="88"/>
        <v/>
      </c>
      <c r="CN72" s="55" t="str">
        <f t="shared" si="88"/>
        <v/>
      </c>
      <c r="CO72" s="55" t="str">
        <f t="shared" si="88"/>
        <v/>
      </c>
      <c r="CP72" s="55" t="str">
        <f t="shared" si="88"/>
        <v/>
      </c>
      <c r="CQ72" s="55" t="str">
        <f t="shared" si="88"/>
        <v/>
      </c>
      <c r="CR72" s="55" t="str">
        <f t="shared" si="88"/>
        <v/>
      </c>
      <c r="CS72" s="55" t="str">
        <f t="shared" si="88"/>
        <v/>
      </c>
      <c r="CT72" s="55" t="str">
        <f t="shared" si="88"/>
        <v/>
      </c>
      <c r="CU72" s="55" t="str">
        <f t="shared" si="88"/>
        <v/>
      </c>
      <c r="CV72" s="55" t="str">
        <f t="shared" si="88"/>
        <v/>
      </c>
      <c r="CW72" s="55" t="str">
        <f t="shared" si="88"/>
        <v/>
      </c>
      <c r="CX72" s="55" t="str">
        <f t="shared" si="88"/>
        <v/>
      </c>
      <c r="CY72" s="55" t="str">
        <f t="shared" si="28"/>
        <v/>
      </c>
      <c r="CZ72" s="55" t="str">
        <f t="shared" si="88"/>
        <v/>
      </c>
      <c r="DA72" s="55" t="str">
        <f t="shared" si="88"/>
        <v/>
      </c>
      <c r="DB72" s="55" t="str">
        <f t="shared" si="88"/>
        <v/>
      </c>
      <c r="DC72" s="55" t="str">
        <f t="shared" si="88"/>
        <v/>
      </c>
      <c r="DD72" s="55" t="str">
        <f t="shared" si="88"/>
        <v/>
      </c>
      <c r="DE72" s="55" t="str">
        <f t="shared" si="88"/>
        <v/>
      </c>
      <c r="DF72" s="55" t="str">
        <f t="shared" si="88"/>
        <v/>
      </c>
      <c r="DG72" s="55" t="str">
        <f t="shared" si="88"/>
        <v/>
      </c>
      <c r="DH72" s="55" t="str">
        <f t="shared" si="88"/>
        <v/>
      </c>
      <c r="DI72" s="55" t="str">
        <f t="shared" si="88"/>
        <v/>
      </c>
      <c r="DJ72" s="55" t="str">
        <f t="shared" si="88"/>
        <v/>
      </c>
      <c r="DK72" s="55" t="str">
        <f t="shared" si="88"/>
        <v/>
      </c>
      <c r="DL72" s="55" t="str">
        <f t="shared" si="88"/>
        <v/>
      </c>
      <c r="DM72" s="55" t="str">
        <f t="shared" si="88"/>
        <v/>
      </c>
      <c r="DN72" s="55" t="str">
        <f t="shared" si="88"/>
        <v/>
      </c>
      <c r="DO72" s="55" t="str">
        <f t="shared" si="88"/>
        <v/>
      </c>
      <c r="DP72" s="55" t="str">
        <f t="shared" si="88"/>
        <v/>
      </c>
      <c r="DQ72" s="55" t="str">
        <f t="shared" si="88"/>
        <v/>
      </c>
      <c r="DR72" s="55" t="str">
        <f t="shared" si="88"/>
        <v/>
      </c>
      <c r="DS72" s="55" t="str">
        <f t="shared" si="88"/>
        <v/>
      </c>
      <c r="DT72" s="110" t="str">
        <f t="shared" si="88"/>
        <v/>
      </c>
      <c r="DU72" s="54"/>
      <c r="DV72" s="25"/>
      <c r="DW72" s="61" t="str">
        <f t="shared" ref="DW72:FB72" si="90">IF($B72=DW$12,$O72,"")</f>
        <v/>
      </c>
      <c r="DX72" s="50" t="str">
        <f t="shared" si="90"/>
        <v/>
      </c>
      <c r="DY72" s="50" t="str">
        <f t="shared" si="90"/>
        <v/>
      </c>
      <c r="DZ72" s="50" t="str">
        <f t="shared" si="90"/>
        <v/>
      </c>
      <c r="EA72" s="50" t="str">
        <f t="shared" si="90"/>
        <v/>
      </c>
      <c r="EB72" s="50" t="str">
        <f t="shared" si="90"/>
        <v/>
      </c>
      <c r="EC72" s="50" t="str">
        <f t="shared" si="90"/>
        <v/>
      </c>
      <c r="ED72" s="50" t="str">
        <f t="shared" si="90"/>
        <v/>
      </c>
      <c r="EE72" s="50" t="str">
        <f t="shared" si="90"/>
        <v/>
      </c>
      <c r="EF72" s="50" t="str">
        <f t="shared" si="90"/>
        <v/>
      </c>
      <c r="EG72" s="50" t="str">
        <f t="shared" si="90"/>
        <v/>
      </c>
      <c r="EH72" s="50" t="str">
        <f t="shared" si="90"/>
        <v/>
      </c>
      <c r="EI72" s="50" t="str">
        <f t="shared" si="90"/>
        <v/>
      </c>
      <c r="EJ72" s="50" t="str">
        <f t="shared" si="90"/>
        <v/>
      </c>
      <c r="EK72" s="50" t="str">
        <f t="shared" si="90"/>
        <v/>
      </c>
      <c r="EL72" s="50" t="str">
        <f t="shared" si="90"/>
        <v/>
      </c>
      <c r="EM72" s="50" t="str">
        <f t="shared" si="90"/>
        <v/>
      </c>
      <c r="EN72" s="50" t="str">
        <f t="shared" si="90"/>
        <v/>
      </c>
      <c r="EO72" s="50" t="str">
        <f t="shared" si="90"/>
        <v/>
      </c>
      <c r="EP72" s="50" t="str">
        <f t="shared" si="90"/>
        <v/>
      </c>
      <c r="EQ72" s="50" t="str">
        <f t="shared" si="90"/>
        <v/>
      </c>
      <c r="ER72" s="50" t="str">
        <f t="shared" si="90"/>
        <v/>
      </c>
      <c r="ES72" s="50" t="str">
        <f t="shared" si="90"/>
        <v/>
      </c>
      <c r="ET72" s="50" t="str">
        <f t="shared" si="90"/>
        <v/>
      </c>
      <c r="EU72" s="50" t="str">
        <f t="shared" si="90"/>
        <v/>
      </c>
      <c r="EV72" s="50" t="str">
        <f t="shared" si="90"/>
        <v/>
      </c>
      <c r="EW72" s="50" t="str">
        <f t="shared" si="90"/>
        <v/>
      </c>
      <c r="EX72" s="50" t="str">
        <f t="shared" si="90"/>
        <v/>
      </c>
      <c r="EY72" s="50" t="str">
        <f t="shared" si="90"/>
        <v/>
      </c>
      <c r="EZ72" s="50" t="str">
        <f t="shared" si="90"/>
        <v/>
      </c>
      <c r="FA72" s="50" t="str">
        <f t="shared" si="90"/>
        <v/>
      </c>
      <c r="FB72" s="50" t="str">
        <f t="shared" si="90"/>
        <v/>
      </c>
      <c r="FC72" s="50" t="str">
        <f t="shared" si="87"/>
        <v/>
      </c>
      <c r="FD72" s="50" t="str">
        <f t="shared" si="87"/>
        <v/>
      </c>
      <c r="FE72" s="50" t="str">
        <f t="shared" si="87"/>
        <v/>
      </c>
      <c r="FF72" s="50" t="str">
        <f t="shared" si="87"/>
        <v/>
      </c>
      <c r="FG72" s="50" t="str">
        <f t="shared" si="87"/>
        <v/>
      </c>
      <c r="FH72" s="50" t="str">
        <f t="shared" si="87"/>
        <v/>
      </c>
      <c r="FI72" s="50" t="str">
        <f t="shared" si="87"/>
        <v/>
      </c>
      <c r="FJ72" s="50" t="str">
        <f t="shared" si="87"/>
        <v/>
      </c>
      <c r="FK72" s="50" t="str">
        <f t="shared" si="87"/>
        <v/>
      </c>
      <c r="FL72" s="50" t="str">
        <f t="shared" si="87"/>
        <v/>
      </c>
      <c r="FM72" s="50" t="str">
        <f t="shared" si="87"/>
        <v/>
      </c>
      <c r="FN72" s="50" t="str">
        <f t="shared" si="87"/>
        <v/>
      </c>
      <c r="FO72" s="50" t="str">
        <f t="shared" si="87"/>
        <v/>
      </c>
      <c r="FP72" s="50" t="str">
        <f t="shared" si="87"/>
        <v/>
      </c>
      <c r="FQ72" s="50" t="str">
        <f t="shared" si="87"/>
        <v/>
      </c>
      <c r="FR72" s="50" t="str">
        <f t="shared" si="87"/>
        <v/>
      </c>
      <c r="FS72" s="50" t="str">
        <f t="shared" si="87"/>
        <v/>
      </c>
      <c r="FT72" s="50" t="str">
        <f t="shared" si="87"/>
        <v/>
      </c>
      <c r="FU72" s="50" t="str">
        <f t="shared" si="87"/>
        <v/>
      </c>
      <c r="FV72" s="50" t="str">
        <f t="shared" si="87"/>
        <v/>
      </c>
      <c r="FW72" s="50" t="str">
        <f t="shared" si="87"/>
        <v/>
      </c>
      <c r="FX72" s="50" t="str">
        <f t="shared" si="87"/>
        <v/>
      </c>
      <c r="FY72" s="50" t="str">
        <f t="shared" si="87"/>
        <v/>
      </c>
      <c r="FZ72" s="50" t="str">
        <f t="shared" si="87"/>
        <v/>
      </c>
      <c r="GA72" s="50" t="str">
        <f t="shared" si="87"/>
        <v/>
      </c>
      <c r="GB72" s="50" t="str">
        <f t="shared" si="87"/>
        <v/>
      </c>
      <c r="GC72" s="50" t="str">
        <f t="shared" si="87"/>
        <v/>
      </c>
      <c r="GD72" s="50" t="str">
        <f t="shared" si="87"/>
        <v/>
      </c>
      <c r="GE72" s="50" t="str">
        <f t="shared" si="87"/>
        <v/>
      </c>
      <c r="GF72" s="50" t="str">
        <f t="shared" si="87"/>
        <v/>
      </c>
      <c r="GG72" s="50" t="str">
        <f t="shared" si="87"/>
        <v/>
      </c>
      <c r="GH72" s="50" t="str">
        <f t="shared" si="80"/>
        <v/>
      </c>
      <c r="GI72" s="50" t="str">
        <f t="shared" si="80"/>
        <v/>
      </c>
      <c r="GJ72" s="50" t="str">
        <f t="shared" si="80"/>
        <v/>
      </c>
      <c r="GK72" s="50" t="str">
        <f t="shared" si="80"/>
        <v/>
      </c>
      <c r="GL72" s="50" t="str">
        <f t="shared" si="80"/>
        <v/>
      </c>
      <c r="GM72" s="50" t="str">
        <f t="shared" si="80"/>
        <v/>
      </c>
      <c r="GN72" s="50" t="str">
        <f t="shared" si="80"/>
        <v/>
      </c>
      <c r="GO72" s="50" t="str">
        <f t="shared" si="80"/>
        <v/>
      </c>
      <c r="GP72" s="50" t="str">
        <f t="shared" si="80"/>
        <v/>
      </c>
      <c r="GQ72" s="50" t="str">
        <f t="shared" si="80"/>
        <v/>
      </c>
      <c r="GR72" s="50" t="str">
        <f t="shared" si="80"/>
        <v/>
      </c>
      <c r="GS72" s="50" t="str">
        <f t="shared" si="80"/>
        <v/>
      </c>
      <c r="GT72" s="50" t="str">
        <f t="shared" si="80"/>
        <v/>
      </c>
      <c r="GU72" s="50" t="str">
        <f t="shared" si="80"/>
        <v/>
      </c>
      <c r="GV72" s="50" t="str">
        <f t="shared" si="80"/>
        <v/>
      </c>
      <c r="GW72" s="50" t="str">
        <f t="shared" si="80"/>
        <v/>
      </c>
      <c r="GX72" s="50" t="str">
        <f t="shared" si="84"/>
        <v/>
      </c>
      <c r="GY72" s="50" t="str">
        <f t="shared" si="84"/>
        <v/>
      </c>
      <c r="GZ72" s="50" t="str">
        <f t="shared" si="84"/>
        <v/>
      </c>
      <c r="HA72" s="50" t="str">
        <f t="shared" si="84"/>
        <v/>
      </c>
      <c r="HB72" s="50" t="str">
        <f t="shared" si="84"/>
        <v/>
      </c>
      <c r="HC72" s="50" t="str">
        <f t="shared" si="84"/>
        <v/>
      </c>
      <c r="HD72" s="50" t="str">
        <f t="shared" si="84"/>
        <v/>
      </c>
      <c r="HE72" s="50" t="str">
        <f t="shared" si="84"/>
        <v/>
      </c>
      <c r="HF72" s="50" t="str">
        <f t="shared" si="84"/>
        <v/>
      </c>
      <c r="HG72" s="50" t="str">
        <f t="shared" si="84"/>
        <v/>
      </c>
      <c r="HH72" s="50" t="str">
        <f t="shared" si="84"/>
        <v/>
      </c>
      <c r="HI72" s="50" t="str">
        <f t="shared" si="84"/>
        <v/>
      </c>
      <c r="HJ72" s="50" t="str">
        <f t="shared" si="84"/>
        <v/>
      </c>
      <c r="HK72" s="50" t="str">
        <f t="shared" si="84"/>
        <v/>
      </c>
      <c r="HL72" s="50" t="str">
        <f t="shared" si="84"/>
        <v/>
      </c>
      <c r="HM72" s="50" t="str">
        <f t="shared" si="84"/>
        <v/>
      </c>
      <c r="HN72" s="50" t="str">
        <f t="shared" si="23"/>
        <v/>
      </c>
      <c r="HO72" s="50" t="str">
        <f t="shared" si="23"/>
        <v/>
      </c>
      <c r="HP72" s="50" t="str">
        <f t="shared" si="23"/>
        <v/>
      </c>
      <c r="HQ72" s="50" t="str">
        <f t="shared" si="23"/>
        <v/>
      </c>
      <c r="HR72" s="116" t="str">
        <f t="shared" si="23"/>
        <v/>
      </c>
    </row>
    <row r="73" spans="1:226" ht="11.15" customHeight="1" x14ac:dyDescent="0.25">
      <c r="A73" s="26"/>
      <c r="B73" s="27"/>
      <c r="C73" s="28" t="str">
        <f>IF(A73=0,"",VLOOKUP(A73,[3]CO!$A$3:$F$5327,2,0))</f>
        <v/>
      </c>
      <c r="D73" s="29"/>
      <c r="E73" s="29"/>
      <c r="F73" s="29"/>
      <c r="G73" s="30" t="str">
        <f>IF(A73=0,"",VLOOKUP(A73,[3]CO!$A$3:$F$5327,3,0))</f>
        <v/>
      </c>
      <c r="H73" s="29"/>
      <c r="I73" s="31"/>
      <c r="J73" s="31"/>
      <c r="K73" s="31"/>
      <c r="L73" s="31"/>
      <c r="M73" s="32" t="str">
        <f t="shared" si="4"/>
        <v/>
      </c>
      <c r="N73" s="32" t="str">
        <f>IF(B73=0,"",IF(H73="M",HLOOKUP(B73,$Y$12:$DT$13,2),IF(A73=0,"",VLOOKUP(A73,[3]CO!$A$3:$F$5327,4,0))))</f>
        <v/>
      </c>
      <c r="O73" s="32" t="str">
        <f t="shared" si="11"/>
        <v/>
      </c>
      <c r="P73" s="33"/>
      <c r="Q73" s="34" t="str">
        <f t="shared" si="5"/>
        <v/>
      </c>
      <c r="R73" s="35" t="str">
        <f t="shared" si="6"/>
        <v/>
      </c>
      <c r="S73" s="122"/>
      <c r="T73" s="53" t="str">
        <f>IF(A73=0,"",VLOOKUP(A73,[3]CO!$A$3:$F$5318,5,0))</f>
        <v/>
      </c>
      <c r="U73" s="54">
        <f t="shared" si="12"/>
        <v>0</v>
      </c>
      <c r="V73" s="24"/>
      <c r="W73" s="25"/>
      <c r="X73" s="25"/>
      <c r="Y73" s="64" t="str">
        <f t="shared" si="55"/>
        <v/>
      </c>
      <c r="Z73" s="55" t="str">
        <f t="shared" si="55"/>
        <v/>
      </c>
      <c r="AA73" s="55" t="str">
        <f t="shared" si="55"/>
        <v/>
      </c>
      <c r="AB73" s="55" t="str">
        <f t="shared" si="55"/>
        <v/>
      </c>
      <c r="AC73" s="55" t="str">
        <f t="shared" si="55"/>
        <v/>
      </c>
      <c r="AD73" s="55" t="str">
        <f t="shared" si="55"/>
        <v/>
      </c>
      <c r="AE73" s="55" t="str">
        <f t="shared" si="55"/>
        <v/>
      </c>
      <c r="AF73" s="55" t="str">
        <f t="shared" si="55"/>
        <v/>
      </c>
      <c r="AG73" s="55" t="str">
        <f t="shared" si="55"/>
        <v/>
      </c>
      <c r="AH73" s="55" t="str">
        <f t="shared" si="55"/>
        <v/>
      </c>
      <c r="AI73" s="55" t="str">
        <f t="shared" si="55"/>
        <v/>
      </c>
      <c r="AJ73" s="55" t="str">
        <f t="shared" si="55"/>
        <v/>
      </c>
      <c r="AK73" s="55" t="str">
        <f t="shared" si="55"/>
        <v/>
      </c>
      <c r="AL73" s="55" t="str">
        <f t="shared" si="55"/>
        <v/>
      </c>
      <c r="AM73" s="55" t="str">
        <f t="shared" si="55"/>
        <v/>
      </c>
      <c r="AN73" s="55" t="str">
        <f t="shared" si="55"/>
        <v/>
      </c>
      <c r="AO73" s="55" t="str">
        <f t="shared" si="16"/>
        <v/>
      </c>
      <c r="AP73" s="55" t="str">
        <f t="shared" si="16"/>
        <v/>
      </c>
      <c r="AQ73" s="55" t="str">
        <f t="shared" si="16"/>
        <v/>
      </c>
      <c r="AR73" s="55" t="str">
        <f t="shared" si="16"/>
        <v/>
      </c>
      <c r="AS73" s="55" t="str">
        <f t="shared" si="16"/>
        <v/>
      </c>
      <c r="AT73" s="55" t="str">
        <f t="shared" si="16"/>
        <v/>
      </c>
      <c r="AU73" s="55" t="str">
        <f t="shared" si="16"/>
        <v/>
      </c>
      <c r="AV73" s="55" t="str">
        <f t="shared" si="16"/>
        <v/>
      </c>
      <c r="AW73" s="55" t="str">
        <f t="shared" si="16"/>
        <v/>
      </c>
      <c r="AX73" s="55" t="str">
        <f t="shared" si="16"/>
        <v/>
      </c>
      <c r="AY73" s="55" t="str">
        <f t="shared" si="16"/>
        <v/>
      </c>
      <c r="AZ73" s="55" t="str">
        <f t="shared" si="16"/>
        <v/>
      </c>
      <c r="BA73" s="55" t="str">
        <f t="shared" si="16"/>
        <v/>
      </c>
      <c r="BB73" s="55" t="str">
        <f t="shared" si="16"/>
        <v/>
      </c>
      <c r="BC73" s="55" t="str">
        <f t="shared" si="16"/>
        <v/>
      </c>
      <c r="BD73" s="55" t="str">
        <f t="shared" si="55"/>
        <v/>
      </c>
      <c r="BE73" s="55" t="str">
        <f t="shared" si="47"/>
        <v/>
      </c>
      <c r="BF73" s="55" t="str">
        <f t="shared" si="47"/>
        <v/>
      </c>
      <c r="BG73" s="55" t="str">
        <f t="shared" si="47"/>
        <v/>
      </c>
      <c r="BH73" s="55" t="str">
        <f t="shared" si="47"/>
        <v/>
      </c>
      <c r="BI73" s="55" t="str">
        <f t="shared" si="47"/>
        <v/>
      </c>
      <c r="BJ73" s="55" t="str">
        <f t="shared" si="47"/>
        <v/>
      </c>
      <c r="BK73" s="55" t="str">
        <f t="shared" si="47"/>
        <v/>
      </c>
      <c r="BL73" s="55" t="str">
        <f t="shared" si="47"/>
        <v/>
      </c>
      <c r="BM73" s="55" t="str">
        <f t="shared" si="47"/>
        <v/>
      </c>
      <c r="BN73" s="55" t="str">
        <f t="shared" si="47"/>
        <v/>
      </c>
      <c r="BO73" s="55" t="str">
        <f t="shared" si="47"/>
        <v/>
      </c>
      <c r="BP73" s="55" t="str">
        <f t="shared" si="47"/>
        <v/>
      </c>
      <c r="BQ73" s="55" t="str">
        <f t="shared" si="47"/>
        <v/>
      </c>
      <c r="BR73" s="55" t="str">
        <f t="shared" si="47"/>
        <v/>
      </c>
      <c r="BS73" s="55" t="str">
        <f t="shared" si="47"/>
        <v/>
      </c>
      <c r="BT73" s="55" t="str">
        <f t="shared" si="47"/>
        <v/>
      </c>
      <c r="BU73" s="55" t="str">
        <f t="shared" si="47"/>
        <v/>
      </c>
      <c r="BV73" s="55" t="str">
        <f t="shared" si="47"/>
        <v/>
      </c>
      <c r="BW73" s="55" t="str">
        <f t="shared" si="47"/>
        <v/>
      </c>
      <c r="BX73" s="55" t="str">
        <f t="shared" si="47"/>
        <v/>
      </c>
      <c r="BY73" s="55" t="str">
        <f t="shared" si="47"/>
        <v/>
      </c>
      <c r="BZ73" s="55" t="str">
        <f t="shared" si="47"/>
        <v/>
      </c>
      <c r="CA73" s="55" t="str">
        <f t="shared" si="47"/>
        <v/>
      </c>
      <c r="CB73" s="55" t="str">
        <f t="shared" si="47"/>
        <v/>
      </c>
      <c r="CC73" s="55" t="str">
        <f t="shared" si="47"/>
        <v/>
      </c>
      <c r="CD73" s="55" t="str">
        <f t="shared" si="47"/>
        <v/>
      </c>
      <c r="CE73" s="55" t="str">
        <f t="shared" si="47"/>
        <v/>
      </c>
      <c r="CF73" s="55" t="str">
        <f t="shared" si="47"/>
        <v/>
      </c>
      <c r="CG73" s="55" t="str">
        <f t="shared" si="47"/>
        <v/>
      </c>
      <c r="CH73" s="55" t="str">
        <f t="shared" si="47"/>
        <v/>
      </c>
      <c r="CI73" s="55" t="str">
        <f t="shared" si="47"/>
        <v/>
      </c>
      <c r="CJ73" s="55" t="str">
        <f t="shared" si="52"/>
        <v/>
      </c>
      <c r="CK73" s="55" t="str">
        <f t="shared" si="52"/>
        <v/>
      </c>
      <c r="CL73" s="55" t="str">
        <f t="shared" si="52"/>
        <v/>
      </c>
      <c r="CM73" s="55" t="str">
        <f t="shared" si="52"/>
        <v/>
      </c>
      <c r="CN73" s="55" t="str">
        <f t="shared" si="52"/>
        <v/>
      </c>
      <c r="CO73" s="55" t="str">
        <f t="shared" si="52"/>
        <v/>
      </c>
      <c r="CP73" s="55" t="str">
        <f t="shared" si="52"/>
        <v/>
      </c>
      <c r="CQ73" s="55" t="str">
        <f t="shared" si="52"/>
        <v/>
      </c>
      <c r="CR73" s="55" t="str">
        <f t="shared" si="52"/>
        <v/>
      </c>
      <c r="CS73" s="55" t="str">
        <f t="shared" si="52"/>
        <v/>
      </c>
      <c r="CT73" s="55" t="str">
        <f t="shared" si="52"/>
        <v/>
      </c>
      <c r="CU73" s="55" t="str">
        <f t="shared" si="52"/>
        <v/>
      </c>
      <c r="CV73" s="55" t="str">
        <f t="shared" si="52"/>
        <v/>
      </c>
      <c r="CW73" s="55" t="str">
        <f t="shared" si="52"/>
        <v/>
      </c>
      <c r="CX73" s="55" t="str">
        <f t="shared" si="52"/>
        <v/>
      </c>
      <c r="CY73" s="55" t="str">
        <f t="shared" si="28"/>
        <v/>
      </c>
      <c r="CZ73" s="55" t="str">
        <f t="shared" si="52"/>
        <v/>
      </c>
      <c r="DA73" s="55" t="str">
        <f t="shared" si="52"/>
        <v/>
      </c>
      <c r="DB73" s="55" t="str">
        <f t="shared" si="52"/>
        <v/>
      </c>
      <c r="DC73" s="55" t="str">
        <f t="shared" si="52"/>
        <v/>
      </c>
      <c r="DD73" s="55" t="str">
        <f t="shared" si="52"/>
        <v/>
      </c>
      <c r="DE73" s="55" t="str">
        <f t="shared" si="52"/>
        <v/>
      </c>
      <c r="DF73" s="55" t="str">
        <f t="shared" si="52"/>
        <v/>
      </c>
      <c r="DG73" s="55" t="str">
        <f t="shared" si="52"/>
        <v/>
      </c>
      <c r="DH73" s="55" t="str">
        <f t="shared" si="52"/>
        <v/>
      </c>
      <c r="DI73" s="55" t="str">
        <f t="shared" si="52"/>
        <v/>
      </c>
      <c r="DJ73" s="55" t="str">
        <f t="shared" si="52"/>
        <v/>
      </c>
      <c r="DK73" s="55" t="str">
        <f t="shared" si="52"/>
        <v/>
      </c>
      <c r="DL73" s="55" t="str">
        <f t="shared" si="52"/>
        <v/>
      </c>
      <c r="DM73" s="55" t="str">
        <f t="shared" si="52"/>
        <v/>
      </c>
      <c r="DN73" s="55" t="str">
        <f t="shared" si="52"/>
        <v/>
      </c>
      <c r="DO73" s="55" t="str">
        <f t="shared" si="52"/>
        <v/>
      </c>
      <c r="DP73" s="55" t="str">
        <f t="shared" si="52"/>
        <v/>
      </c>
      <c r="DQ73" s="55" t="str">
        <f t="shared" si="52"/>
        <v/>
      </c>
      <c r="DR73" s="55" t="str">
        <f t="shared" si="52"/>
        <v/>
      </c>
      <c r="DS73" s="55" t="str">
        <f t="shared" si="52"/>
        <v/>
      </c>
      <c r="DT73" s="110" t="str">
        <f t="shared" si="52"/>
        <v/>
      </c>
      <c r="DU73" s="54"/>
      <c r="DV73" s="25"/>
      <c r="DW73" s="61" t="str">
        <f t="shared" si="56"/>
        <v/>
      </c>
      <c r="DX73" s="50" t="str">
        <f t="shared" si="56"/>
        <v/>
      </c>
      <c r="DY73" s="50" t="str">
        <f t="shared" si="56"/>
        <v/>
      </c>
      <c r="DZ73" s="50" t="str">
        <f t="shared" si="56"/>
        <v/>
      </c>
      <c r="EA73" s="50" t="str">
        <f t="shared" si="56"/>
        <v/>
      </c>
      <c r="EB73" s="50" t="str">
        <f t="shared" si="56"/>
        <v/>
      </c>
      <c r="EC73" s="50" t="str">
        <f t="shared" si="56"/>
        <v/>
      </c>
      <c r="ED73" s="50" t="str">
        <f t="shared" si="56"/>
        <v/>
      </c>
      <c r="EE73" s="50" t="str">
        <f t="shared" si="56"/>
        <v/>
      </c>
      <c r="EF73" s="50" t="str">
        <f t="shared" si="56"/>
        <v/>
      </c>
      <c r="EG73" s="50" t="str">
        <f t="shared" si="56"/>
        <v/>
      </c>
      <c r="EH73" s="50" t="str">
        <f t="shared" si="56"/>
        <v/>
      </c>
      <c r="EI73" s="50" t="str">
        <f t="shared" si="56"/>
        <v/>
      </c>
      <c r="EJ73" s="50" t="str">
        <f t="shared" si="56"/>
        <v/>
      </c>
      <c r="EK73" s="50" t="str">
        <f t="shared" si="56"/>
        <v/>
      </c>
      <c r="EL73" s="50" t="str">
        <f t="shared" si="56"/>
        <v/>
      </c>
      <c r="EM73" s="50" t="str">
        <f t="shared" si="19"/>
        <v/>
      </c>
      <c r="EN73" s="50" t="str">
        <f t="shared" si="19"/>
        <v/>
      </c>
      <c r="EO73" s="50" t="str">
        <f t="shared" si="19"/>
        <v/>
      </c>
      <c r="EP73" s="50" t="str">
        <f t="shared" si="19"/>
        <v/>
      </c>
      <c r="EQ73" s="50" t="str">
        <f t="shared" si="19"/>
        <v/>
      </c>
      <c r="ER73" s="50" t="str">
        <f t="shared" si="19"/>
        <v/>
      </c>
      <c r="ES73" s="50" t="str">
        <f t="shared" si="19"/>
        <v/>
      </c>
      <c r="ET73" s="50" t="str">
        <f t="shared" si="19"/>
        <v/>
      </c>
      <c r="EU73" s="50" t="str">
        <f t="shared" si="19"/>
        <v/>
      </c>
      <c r="EV73" s="50" t="str">
        <f t="shared" si="19"/>
        <v/>
      </c>
      <c r="EW73" s="50" t="str">
        <f t="shared" si="19"/>
        <v/>
      </c>
      <c r="EX73" s="50" t="str">
        <f t="shared" si="19"/>
        <v/>
      </c>
      <c r="EY73" s="50" t="str">
        <f t="shared" si="19"/>
        <v/>
      </c>
      <c r="EZ73" s="50" t="str">
        <f t="shared" si="19"/>
        <v/>
      </c>
      <c r="FA73" s="50" t="str">
        <f t="shared" si="19"/>
        <v/>
      </c>
      <c r="FB73" s="50" t="str">
        <f t="shared" si="56"/>
        <v/>
      </c>
      <c r="FC73" s="50" t="str">
        <f t="shared" si="48"/>
        <v/>
      </c>
      <c r="FD73" s="50" t="str">
        <f t="shared" si="48"/>
        <v/>
      </c>
      <c r="FE73" s="50" t="str">
        <f t="shared" si="48"/>
        <v/>
      </c>
      <c r="FF73" s="50" t="str">
        <f t="shared" si="48"/>
        <v/>
      </c>
      <c r="FG73" s="50" t="str">
        <f t="shared" si="48"/>
        <v/>
      </c>
      <c r="FH73" s="50" t="str">
        <f t="shared" si="48"/>
        <v/>
      </c>
      <c r="FI73" s="50" t="str">
        <f t="shared" si="48"/>
        <v/>
      </c>
      <c r="FJ73" s="50" t="str">
        <f t="shared" si="48"/>
        <v/>
      </c>
      <c r="FK73" s="50" t="str">
        <f t="shared" si="48"/>
        <v/>
      </c>
      <c r="FL73" s="50" t="str">
        <f t="shared" si="48"/>
        <v/>
      </c>
      <c r="FM73" s="50" t="str">
        <f t="shared" si="48"/>
        <v/>
      </c>
      <c r="FN73" s="50" t="str">
        <f t="shared" si="48"/>
        <v/>
      </c>
      <c r="FO73" s="50" t="str">
        <f t="shared" si="48"/>
        <v/>
      </c>
      <c r="FP73" s="50" t="str">
        <f t="shared" si="48"/>
        <v/>
      </c>
      <c r="FQ73" s="50" t="str">
        <f t="shared" si="48"/>
        <v/>
      </c>
      <c r="FR73" s="50" t="str">
        <f t="shared" si="48"/>
        <v/>
      </c>
      <c r="FS73" s="50" t="str">
        <f t="shared" si="48"/>
        <v/>
      </c>
      <c r="FT73" s="50" t="str">
        <f t="shared" si="48"/>
        <v/>
      </c>
      <c r="FU73" s="50" t="str">
        <f t="shared" si="48"/>
        <v/>
      </c>
      <c r="FV73" s="50" t="str">
        <f t="shared" si="48"/>
        <v/>
      </c>
      <c r="FW73" s="50" t="str">
        <f t="shared" si="48"/>
        <v/>
      </c>
      <c r="FX73" s="50" t="str">
        <f t="shared" si="48"/>
        <v/>
      </c>
      <c r="FY73" s="50" t="str">
        <f t="shared" si="48"/>
        <v/>
      </c>
      <c r="FZ73" s="50" t="str">
        <f t="shared" si="48"/>
        <v/>
      </c>
      <c r="GA73" s="50" t="str">
        <f t="shared" si="48"/>
        <v/>
      </c>
      <c r="GB73" s="50" t="str">
        <f t="shared" si="48"/>
        <v/>
      </c>
      <c r="GC73" s="50" t="str">
        <f t="shared" si="48"/>
        <v/>
      </c>
      <c r="GD73" s="50" t="str">
        <f t="shared" si="48"/>
        <v/>
      </c>
      <c r="GE73" s="50" t="str">
        <f t="shared" si="48"/>
        <v/>
      </c>
      <c r="GF73" s="50" t="str">
        <f t="shared" si="48"/>
        <v/>
      </c>
      <c r="GG73" s="50" t="str">
        <f t="shared" si="48"/>
        <v/>
      </c>
      <c r="GH73" s="50" t="str">
        <f t="shared" si="54"/>
        <v/>
      </c>
      <c r="GI73" s="50" t="str">
        <f t="shared" si="54"/>
        <v/>
      </c>
      <c r="GJ73" s="50" t="str">
        <f t="shared" si="54"/>
        <v/>
      </c>
      <c r="GK73" s="50" t="str">
        <f t="shared" si="54"/>
        <v/>
      </c>
      <c r="GL73" s="50" t="str">
        <f t="shared" si="54"/>
        <v/>
      </c>
      <c r="GM73" s="50" t="str">
        <f t="shared" si="54"/>
        <v/>
      </c>
      <c r="GN73" s="50" t="str">
        <f t="shared" si="54"/>
        <v/>
      </c>
      <c r="GO73" s="50" t="str">
        <f t="shared" si="54"/>
        <v/>
      </c>
      <c r="GP73" s="50" t="str">
        <f t="shared" si="54"/>
        <v/>
      </c>
      <c r="GQ73" s="50" t="str">
        <f t="shared" si="54"/>
        <v/>
      </c>
      <c r="GR73" s="50" t="str">
        <f t="shared" si="54"/>
        <v/>
      </c>
      <c r="GS73" s="50" t="str">
        <f t="shared" si="54"/>
        <v/>
      </c>
      <c r="GT73" s="50" t="str">
        <f t="shared" si="54"/>
        <v/>
      </c>
      <c r="GU73" s="50" t="str">
        <f t="shared" si="54"/>
        <v/>
      </c>
      <c r="GV73" s="50" t="str">
        <f t="shared" si="54"/>
        <v/>
      </c>
      <c r="GW73" s="50" t="str">
        <f t="shared" si="29"/>
        <v/>
      </c>
      <c r="GX73" s="50" t="str">
        <f t="shared" si="50"/>
        <v/>
      </c>
      <c r="GY73" s="50" t="str">
        <f t="shared" si="50"/>
        <v/>
      </c>
      <c r="GZ73" s="50" t="str">
        <f t="shared" si="50"/>
        <v/>
      </c>
      <c r="HA73" s="50" t="str">
        <f t="shared" si="50"/>
        <v/>
      </c>
      <c r="HB73" s="50" t="str">
        <f t="shared" si="50"/>
        <v/>
      </c>
      <c r="HC73" s="50" t="str">
        <f t="shared" si="50"/>
        <v/>
      </c>
      <c r="HD73" s="50" t="str">
        <f t="shared" si="50"/>
        <v/>
      </c>
      <c r="HE73" s="50" t="str">
        <f t="shared" si="50"/>
        <v/>
      </c>
      <c r="HF73" s="50" t="str">
        <f t="shared" si="50"/>
        <v/>
      </c>
      <c r="HG73" s="50" t="str">
        <f t="shared" si="50"/>
        <v/>
      </c>
      <c r="HH73" s="50" t="str">
        <f t="shared" si="50"/>
        <v/>
      </c>
      <c r="HI73" s="50" t="str">
        <f t="shared" si="50"/>
        <v/>
      </c>
      <c r="HJ73" s="50" t="str">
        <f t="shared" si="50"/>
        <v/>
      </c>
      <c r="HK73" s="50" t="str">
        <f t="shared" si="50"/>
        <v/>
      </c>
      <c r="HL73" s="50" t="str">
        <f t="shared" si="50"/>
        <v/>
      </c>
      <c r="HM73" s="50" t="str">
        <f t="shared" si="50"/>
        <v/>
      </c>
      <c r="HN73" s="50" t="str">
        <f t="shared" si="23"/>
        <v/>
      </c>
      <c r="HO73" s="50" t="str">
        <f t="shared" si="23"/>
        <v/>
      </c>
      <c r="HP73" s="50" t="str">
        <f t="shared" si="23"/>
        <v/>
      </c>
      <c r="HQ73" s="50" t="str">
        <f t="shared" si="23"/>
        <v/>
      </c>
      <c r="HR73" s="116" t="str">
        <f t="shared" si="23"/>
        <v/>
      </c>
    </row>
    <row r="74" spans="1:226" ht="11.15" customHeight="1" thickBot="1" x14ac:dyDescent="0.3">
      <c r="A74" s="66"/>
      <c r="B74" s="67"/>
      <c r="C74" s="68" t="str">
        <f>IF(A74=0,"",VLOOKUP(A74,[3]CO!$A$3:$F$5311,2,0))</f>
        <v/>
      </c>
      <c r="D74" s="69"/>
      <c r="E74" s="69"/>
      <c r="F74" s="69"/>
      <c r="G74" s="70" t="str">
        <f>IF(A74=0,"",VLOOKUP(A74,[3]CO!$A$3:$F$5327,3,0))</f>
        <v/>
      </c>
      <c r="H74" s="69"/>
      <c r="I74" s="71"/>
      <c r="J74" s="71"/>
      <c r="K74" s="71"/>
      <c r="L74" s="71"/>
      <c r="M74" s="72" t="str">
        <f t="shared" si="4"/>
        <v/>
      </c>
      <c r="N74" s="72" t="str">
        <f>IF(B74=0,"",IF(H74="M",HLOOKUP(B74,$Y$12:$DT$13,2),IF(A74=0,"",VLOOKUP(A74,[3]CO!$A$3:$F$5327,4,0))))</f>
        <v/>
      </c>
      <c r="O74" s="72" t="str">
        <f t="shared" si="11"/>
        <v/>
      </c>
      <c r="P74" s="73"/>
      <c r="Q74" s="74" t="str">
        <f t="shared" si="5"/>
        <v/>
      </c>
      <c r="R74" s="75" t="str">
        <f t="shared" si="6"/>
        <v/>
      </c>
      <c r="S74" s="122"/>
      <c r="T74" s="53" t="str">
        <f>IF(A74=0,"",VLOOKUP(A74,[3]CO!$A$3:$F$5318,5,0))</f>
        <v/>
      </c>
      <c r="U74" s="54">
        <f t="shared" si="12"/>
        <v>0</v>
      </c>
      <c r="V74" s="24"/>
      <c r="W74" s="25"/>
      <c r="X74" s="25"/>
      <c r="Y74" s="76" t="str">
        <f t="shared" si="55"/>
        <v/>
      </c>
      <c r="Z74" s="77" t="str">
        <f t="shared" si="55"/>
        <v/>
      </c>
      <c r="AA74" s="77" t="str">
        <f t="shared" si="55"/>
        <v/>
      </c>
      <c r="AB74" s="77" t="str">
        <f t="shared" si="55"/>
        <v/>
      </c>
      <c r="AC74" s="77" t="str">
        <f t="shared" si="55"/>
        <v/>
      </c>
      <c r="AD74" s="77" t="str">
        <f t="shared" si="55"/>
        <v/>
      </c>
      <c r="AE74" s="77" t="str">
        <f t="shared" si="55"/>
        <v/>
      </c>
      <c r="AF74" s="77" t="str">
        <f t="shared" si="55"/>
        <v/>
      </c>
      <c r="AG74" s="77" t="str">
        <f t="shared" si="55"/>
        <v/>
      </c>
      <c r="AH74" s="77" t="str">
        <f t="shared" si="55"/>
        <v/>
      </c>
      <c r="AI74" s="77" t="str">
        <f t="shared" si="55"/>
        <v/>
      </c>
      <c r="AJ74" s="77" t="str">
        <f t="shared" si="55"/>
        <v/>
      </c>
      <c r="AK74" s="77" t="str">
        <f t="shared" si="55"/>
        <v/>
      </c>
      <c r="AL74" s="77" t="str">
        <f t="shared" si="55"/>
        <v/>
      </c>
      <c r="AM74" s="77" t="str">
        <f t="shared" si="55"/>
        <v/>
      </c>
      <c r="AN74" s="77" t="str">
        <f>IF($B74=AN$12,$U74,"")</f>
        <v/>
      </c>
      <c r="AO74" s="77" t="str">
        <f t="shared" si="55"/>
        <v/>
      </c>
      <c r="AP74" s="77" t="str">
        <f t="shared" si="55"/>
        <v/>
      </c>
      <c r="AQ74" s="77" t="str">
        <f t="shared" si="55"/>
        <v/>
      </c>
      <c r="AR74" s="77" t="str">
        <f t="shared" si="55"/>
        <v/>
      </c>
      <c r="AS74" s="77" t="str">
        <f t="shared" si="55"/>
        <v/>
      </c>
      <c r="AT74" s="77" t="str">
        <f t="shared" si="55"/>
        <v/>
      </c>
      <c r="AU74" s="77" t="str">
        <f t="shared" si="55"/>
        <v/>
      </c>
      <c r="AV74" s="77" t="str">
        <f t="shared" si="55"/>
        <v/>
      </c>
      <c r="AW74" s="77" t="str">
        <f t="shared" si="55"/>
        <v/>
      </c>
      <c r="AX74" s="77" t="str">
        <f t="shared" si="55"/>
        <v/>
      </c>
      <c r="AY74" s="77" t="str">
        <f t="shared" si="55"/>
        <v/>
      </c>
      <c r="AZ74" s="77" t="str">
        <f t="shared" si="55"/>
        <v/>
      </c>
      <c r="BA74" s="77" t="str">
        <f t="shared" si="55"/>
        <v/>
      </c>
      <c r="BB74" s="77" t="str">
        <f t="shared" si="55"/>
        <v/>
      </c>
      <c r="BC74" s="77" t="str">
        <f t="shared" si="55"/>
        <v/>
      </c>
      <c r="BD74" s="77" t="str">
        <f t="shared" si="55"/>
        <v/>
      </c>
      <c r="BE74" s="77" t="str">
        <f t="shared" si="47"/>
        <v/>
      </c>
      <c r="BF74" s="77" t="str">
        <f t="shared" si="47"/>
        <v/>
      </c>
      <c r="BG74" s="77" t="str">
        <f t="shared" si="47"/>
        <v/>
      </c>
      <c r="BH74" s="77" t="str">
        <f t="shared" si="47"/>
        <v/>
      </c>
      <c r="BI74" s="77" t="str">
        <f t="shared" si="47"/>
        <v/>
      </c>
      <c r="BJ74" s="77" t="str">
        <f t="shared" si="47"/>
        <v/>
      </c>
      <c r="BK74" s="77" t="str">
        <f t="shared" si="47"/>
        <v/>
      </c>
      <c r="BL74" s="77" t="str">
        <f t="shared" si="47"/>
        <v/>
      </c>
      <c r="BM74" s="77" t="str">
        <f t="shared" si="47"/>
        <v/>
      </c>
      <c r="BN74" s="77" t="str">
        <f t="shared" si="47"/>
        <v/>
      </c>
      <c r="BO74" s="77" t="str">
        <f t="shared" si="47"/>
        <v/>
      </c>
      <c r="BP74" s="77" t="str">
        <f t="shared" si="47"/>
        <v/>
      </c>
      <c r="BQ74" s="77" t="str">
        <f t="shared" si="47"/>
        <v/>
      </c>
      <c r="BR74" s="77" t="str">
        <f t="shared" si="47"/>
        <v/>
      </c>
      <c r="BS74" s="77" t="str">
        <f t="shared" si="47"/>
        <v/>
      </c>
      <c r="BT74" s="77" t="str">
        <f t="shared" si="47"/>
        <v/>
      </c>
      <c r="BU74" s="77" t="str">
        <f t="shared" si="47"/>
        <v/>
      </c>
      <c r="BV74" s="77" t="str">
        <f t="shared" si="47"/>
        <v/>
      </c>
      <c r="BW74" s="77" t="str">
        <f t="shared" si="47"/>
        <v/>
      </c>
      <c r="BX74" s="77" t="str">
        <f t="shared" si="47"/>
        <v/>
      </c>
      <c r="BY74" s="77" t="str">
        <f t="shared" si="47"/>
        <v/>
      </c>
      <c r="BZ74" s="77" t="str">
        <f t="shared" si="47"/>
        <v/>
      </c>
      <c r="CA74" s="77" t="str">
        <f t="shared" si="47"/>
        <v/>
      </c>
      <c r="CB74" s="77" t="str">
        <f t="shared" si="47"/>
        <v/>
      </c>
      <c r="CC74" s="77" t="str">
        <f t="shared" si="47"/>
        <v/>
      </c>
      <c r="CD74" s="77" t="str">
        <f t="shared" si="47"/>
        <v/>
      </c>
      <c r="CE74" s="77" t="str">
        <f t="shared" si="47"/>
        <v/>
      </c>
      <c r="CF74" s="77" t="str">
        <f t="shared" si="47"/>
        <v/>
      </c>
      <c r="CG74" s="77" t="str">
        <f t="shared" si="47"/>
        <v/>
      </c>
      <c r="CH74" s="77" t="str">
        <f t="shared" si="47"/>
        <v/>
      </c>
      <c r="CI74" s="77" t="str">
        <f t="shared" si="47"/>
        <v/>
      </c>
      <c r="CJ74" s="77" t="str">
        <f t="shared" si="52"/>
        <v/>
      </c>
      <c r="CK74" s="77" t="str">
        <f t="shared" si="52"/>
        <v/>
      </c>
      <c r="CL74" s="77" t="str">
        <f t="shared" si="52"/>
        <v/>
      </c>
      <c r="CM74" s="77" t="str">
        <f t="shared" si="52"/>
        <v/>
      </c>
      <c r="CN74" s="77" t="str">
        <f t="shared" si="52"/>
        <v/>
      </c>
      <c r="CO74" s="77" t="str">
        <f t="shared" si="52"/>
        <v/>
      </c>
      <c r="CP74" s="77" t="str">
        <f t="shared" si="52"/>
        <v/>
      </c>
      <c r="CQ74" s="77" t="str">
        <f t="shared" si="52"/>
        <v/>
      </c>
      <c r="CR74" s="77" t="str">
        <f t="shared" si="52"/>
        <v/>
      </c>
      <c r="CS74" s="77" t="str">
        <f t="shared" si="52"/>
        <v/>
      </c>
      <c r="CT74" s="77" t="str">
        <f>IF($B74=CT$12,$U74,"")</f>
        <v/>
      </c>
      <c r="CU74" s="77" t="str">
        <f>IF($B74=CU$12,$U74,"")</f>
        <v/>
      </c>
      <c r="CV74" s="77" t="str">
        <f>IF($B74=CV$12,$U74,"")</f>
        <v/>
      </c>
      <c r="CW74" s="77" t="str">
        <f t="shared" si="52"/>
        <v/>
      </c>
      <c r="CX74" s="77" t="str">
        <f t="shared" si="52"/>
        <v/>
      </c>
      <c r="CY74" s="77" t="str">
        <f t="shared" si="52"/>
        <v/>
      </c>
      <c r="CZ74" s="77" t="str">
        <f t="shared" si="52"/>
        <v/>
      </c>
      <c r="DA74" s="77" t="str">
        <f t="shared" si="52"/>
        <v/>
      </c>
      <c r="DB74" s="77" t="str">
        <f t="shared" si="52"/>
        <v/>
      </c>
      <c r="DC74" s="77" t="str">
        <f t="shared" si="52"/>
        <v/>
      </c>
      <c r="DD74" s="77" t="str">
        <f t="shared" si="52"/>
        <v/>
      </c>
      <c r="DE74" s="77" t="str">
        <f t="shared" si="52"/>
        <v/>
      </c>
      <c r="DF74" s="77" t="str">
        <f t="shared" si="52"/>
        <v/>
      </c>
      <c r="DG74" s="77" t="str">
        <f t="shared" si="52"/>
        <v/>
      </c>
      <c r="DH74" s="77" t="str">
        <f t="shared" si="52"/>
        <v/>
      </c>
      <c r="DI74" s="77" t="str">
        <f t="shared" si="52"/>
        <v/>
      </c>
      <c r="DJ74" s="77" t="str">
        <f t="shared" si="52"/>
        <v/>
      </c>
      <c r="DK74" s="77" t="str">
        <f t="shared" si="52"/>
        <v/>
      </c>
      <c r="DL74" s="77" t="str">
        <f t="shared" si="52"/>
        <v/>
      </c>
      <c r="DM74" s="77" t="str">
        <f t="shared" si="52"/>
        <v/>
      </c>
      <c r="DN74" s="77" t="str">
        <f t="shared" si="52"/>
        <v/>
      </c>
      <c r="DO74" s="77" t="str">
        <f t="shared" si="52"/>
        <v/>
      </c>
      <c r="DP74" s="77" t="str">
        <f t="shared" si="52"/>
        <v/>
      </c>
      <c r="DQ74" s="77" t="str">
        <f t="shared" si="52"/>
        <v/>
      </c>
      <c r="DR74" s="77" t="str">
        <f t="shared" si="52"/>
        <v/>
      </c>
      <c r="DS74" s="77" t="str">
        <f t="shared" si="52"/>
        <v/>
      </c>
      <c r="DT74" s="111" t="str">
        <f t="shared" si="52"/>
        <v/>
      </c>
      <c r="DU74" s="54"/>
      <c r="DV74" s="25"/>
      <c r="DW74" s="78" t="str">
        <f t="shared" si="56"/>
        <v/>
      </c>
      <c r="DX74" s="79" t="str">
        <f t="shared" si="56"/>
        <v/>
      </c>
      <c r="DY74" s="79" t="str">
        <f t="shared" si="56"/>
        <v/>
      </c>
      <c r="DZ74" s="79" t="str">
        <f t="shared" si="56"/>
        <v/>
      </c>
      <c r="EA74" s="79" t="str">
        <f t="shared" si="56"/>
        <v/>
      </c>
      <c r="EB74" s="79" t="str">
        <f t="shared" si="56"/>
        <v/>
      </c>
      <c r="EC74" s="79" t="str">
        <f t="shared" si="56"/>
        <v/>
      </c>
      <c r="ED74" s="79" t="str">
        <f t="shared" si="56"/>
        <v/>
      </c>
      <c r="EE74" s="79" t="str">
        <f t="shared" si="56"/>
        <v/>
      </c>
      <c r="EF74" s="79" t="str">
        <f t="shared" si="56"/>
        <v/>
      </c>
      <c r="EG74" s="79" t="str">
        <f t="shared" si="56"/>
        <v/>
      </c>
      <c r="EH74" s="79" t="str">
        <f t="shared" si="56"/>
        <v/>
      </c>
      <c r="EI74" s="79" t="str">
        <f t="shared" si="56"/>
        <v/>
      </c>
      <c r="EJ74" s="79" t="str">
        <f t="shared" si="56"/>
        <v/>
      </c>
      <c r="EK74" s="79" t="str">
        <f t="shared" si="56"/>
        <v/>
      </c>
      <c r="EL74" s="79" t="str">
        <f t="shared" si="56"/>
        <v/>
      </c>
      <c r="EM74" s="79" t="str">
        <f t="shared" si="56"/>
        <v/>
      </c>
      <c r="EN74" s="79" t="str">
        <f t="shared" si="56"/>
        <v/>
      </c>
      <c r="EO74" s="79" t="str">
        <f t="shared" si="56"/>
        <v/>
      </c>
      <c r="EP74" s="79" t="str">
        <f t="shared" si="56"/>
        <v/>
      </c>
      <c r="EQ74" s="79" t="str">
        <f t="shared" si="56"/>
        <v/>
      </c>
      <c r="ER74" s="79" t="str">
        <f t="shared" si="56"/>
        <v/>
      </c>
      <c r="ES74" s="79" t="str">
        <f t="shared" si="56"/>
        <v/>
      </c>
      <c r="ET74" s="79" t="str">
        <f t="shared" si="56"/>
        <v/>
      </c>
      <c r="EU74" s="79" t="str">
        <f t="shared" si="56"/>
        <v/>
      </c>
      <c r="EV74" s="79" t="str">
        <f t="shared" si="56"/>
        <v/>
      </c>
      <c r="EW74" s="79" t="str">
        <f t="shared" si="56"/>
        <v/>
      </c>
      <c r="EX74" s="79" t="str">
        <f t="shared" si="56"/>
        <v/>
      </c>
      <c r="EY74" s="79" t="str">
        <f t="shared" si="56"/>
        <v/>
      </c>
      <c r="EZ74" s="79" t="str">
        <f t="shared" si="56"/>
        <v/>
      </c>
      <c r="FA74" s="79" t="str">
        <f t="shared" si="56"/>
        <v/>
      </c>
      <c r="FB74" s="79" t="str">
        <f t="shared" si="56"/>
        <v/>
      </c>
      <c r="FC74" s="79" t="str">
        <f t="shared" si="48"/>
        <v/>
      </c>
      <c r="FD74" s="79" t="str">
        <f t="shared" si="48"/>
        <v/>
      </c>
      <c r="FE74" s="79" t="str">
        <f t="shared" si="48"/>
        <v/>
      </c>
      <c r="FF74" s="79" t="str">
        <f t="shared" si="48"/>
        <v/>
      </c>
      <c r="FG74" s="79" t="str">
        <f t="shared" si="48"/>
        <v/>
      </c>
      <c r="FH74" s="79" t="str">
        <f t="shared" si="48"/>
        <v/>
      </c>
      <c r="FI74" s="79" t="str">
        <f t="shared" si="48"/>
        <v/>
      </c>
      <c r="FJ74" s="79" t="str">
        <f t="shared" si="48"/>
        <v/>
      </c>
      <c r="FK74" s="79" t="str">
        <f t="shared" si="48"/>
        <v/>
      </c>
      <c r="FL74" s="79" t="str">
        <f t="shared" si="48"/>
        <v/>
      </c>
      <c r="FM74" s="79" t="str">
        <f t="shared" si="48"/>
        <v/>
      </c>
      <c r="FN74" s="79" t="str">
        <f t="shared" si="48"/>
        <v/>
      </c>
      <c r="FO74" s="79" t="str">
        <f t="shared" si="48"/>
        <v/>
      </c>
      <c r="FP74" s="79" t="str">
        <f t="shared" si="48"/>
        <v/>
      </c>
      <c r="FQ74" s="79" t="str">
        <f t="shared" si="48"/>
        <v/>
      </c>
      <c r="FR74" s="79" t="str">
        <f t="shared" si="48"/>
        <v/>
      </c>
      <c r="FS74" s="79" t="str">
        <f t="shared" si="48"/>
        <v/>
      </c>
      <c r="FT74" s="79" t="str">
        <f t="shared" si="48"/>
        <v/>
      </c>
      <c r="FU74" s="79" t="str">
        <f t="shared" si="48"/>
        <v/>
      </c>
      <c r="FV74" s="79" t="str">
        <f t="shared" si="48"/>
        <v/>
      </c>
      <c r="FW74" s="79" t="str">
        <f t="shared" si="48"/>
        <v/>
      </c>
      <c r="FX74" s="79" t="str">
        <f t="shared" si="48"/>
        <v/>
      </c>
      <c r="FY74" s="79" t="str">
        <f t="shared" si="48"/>
        <v/>
      </c>
      <c r="FZ74" s="79" t="str">
        <f t="shared" si="48"/>
        <v/>
      </c>
      <c r="GA74" s="79" t="str">
        <f t="shared" si="48"/>
        <v/>
      </c>
      <c r="GB74" s="79" t="str">
        <f t="shared" si="48"/>
        <v/>
      </c>
      <c r="GC74" s="79" t="str">
        <f t="shared" si="48"/>
        <v/>
      </c>
      <c r="GD74" s="79" t="str">
        <f t="shared" si="48"/>
        <v/>
      </c>
      <c r="GE74" s="79" t="str">
        <f t="shared" si="48"/>
        <v/>
      </c>
      <c r="GF74" s="79" t="str">
        <f t="shared" si="48"/>
        <v/>
      </c>
      <c r="GG74" s="79" t="str">
        <f t="shared" si="48"/>
        <v/>
      </c>
      <c r="GH74" s="79" t="str">
        <f t="shared" si="54"/>
        <v/>
      </c>
      <c r="GI74" s="79" t="str">
        <f t="shared" si="54"/>
        <v/>
      </c>
      <c r="GJ74" s="79" t="str">
        <f t="shared" si="54"/>
        <v/>
      </c>
      <c r="GK74" s="79" t="str">
        <f t="shared" si="54"/>
        <v/>
      </c>
      <c r="GL74" s="79" t="str">
        <f t="shared" si="54"/>
        <v/>
      </c>
      <c r="GM74" s="79" t="str">
        <f t="shared" si="54"/>
        <v/>
      </c>
      <c r="GN74" s="79" t="str">
        <f t="shared" si="54"/>
        <v/>
      </c>
      <c r="GO74" s="79" t="str">
        <f t="shared" si="54"/>
        <v/>
      </c>
      <c r="GP74" s="79" t="str">
        <f t="shared" si="54"/>
        <v/>
      </c>
      <c r="GQ74" s="79" t="str">
        <f t="shared" si="54"/>
        <v/>
      </c>
      <c r="GR74" s="79" t="str">
        <f t="shared" si="54"/>
        <v/>
      </c>
      <c r="GS74" s="79" t="str">
        <f t="shared" si="54"/>
        <v/>
      </c>
      <c r="GT74" s="79" t="str">
        <f t="shared" si="54"/>
        <v/>
      </c>
      <c r="GU74" s="79" t="str">
        <f t="shared" si="54"/>
        <v/>
      </c>
      <c r="GV74" s="79" t="str">
        <f t="shared" si="54"/>
        <v/>
      </c>
      <c r="GW74" s="79" t="str">
        <f t="shared" si="54"/>
        <v/>
      </c>
      <c r="GX74" s="79" t="str">
        <f t="shared" si="50"/>
        <v/>
      </c>
      <c r="GY74" s="79" t="str">
        <f t="shared" si="50"/>
        <v/>
      </c>
      <c r="GZ74" s="79" t="str">
        <f t="shared" si="50"/>
        <v/>
      </c>
      <c r="HA74" s="79" t="str">
        <f t="shared" si="50"/>
        <v/>
      </c>
      <c r="HB74" s="79" t="str">
        <f t="shared" si="50"/>
        <v/>
      </c>
      <c r="HC74" s="79" t="str">
        <f t="shared" si="50"/>
        <v/>
      </c>
      <c r="HD74" s="79" t="str">
        <f t="shared" si="50"/>
        <v/>
      </c>
      <c r="HE74" s="79" t="str">
        <f t="shared" si="50"/>
        <v/>
      </c>
      <c r="HF74" s="79" t="str">
        <f t="shared" si="50"/>
        <v/>
      </c>
      <c r="HG74" s="79" t="str">
        <f t="shared" si="50"/>
        <v/>
      </c>
      <c r="HH74" s="79" t="str">
        <f t="shared" si="50"/>
        <v/>
      </c>
      <c r="HI74" s="79" t="str">
        <f t="shared" si="50"/>
        <v/>
      </c>
      <c r="HJ74" s="79" t="str">
        <f t="shared" si="50"/>
        <v/>
      </c>
      <c r="HK74" s="79" t="str">
        <f t="shared" si="50"/>
        <v/>
      </c>
      <c r="HL74" s="79" t="str">
        <f t="shared" si="50"/>
        <v/>
      </c>
      <c r="HM74" s="79" t="str">
        <f t="shared" si="50"/>
        <v/>
      </c>
      <c r="HN74" s="79" t="str">
        <f t="shared" si="23"/>
        <v/>
      </c>
      <c r="HO74" s="79" t="str">
        <f t="shared" si="23"/>
        <v/>
      </c>
      <c r="HP74" s="79" t="str">
        <f t="shared" si="23"/>
        <v/>
      </c>
      <c r="HQ74" s="79" t="str">
        <f t="shared" si="23"/>
        <v/>
      </c>
      <c r="HR74" s="117" t="str">
        <f t="shared" si="23"/>
        <v/>
      </c>
    </row>
    <row r="75" spans="1:226" ht="11.15" customHeight="1" thickTop="1" x14ac:dyDescent="0.25"/>
    <row r="76" spans="1:226" ht="13" x14ac:dyDescent="0.3">
      <c r="O76" s="48" t="s">
        <v>17</v>
      </c>
      <c r="P76" s="49"/>
      <c r="Q76" s="107">
        <f>SUM(Q14:Q74)</f>
        <v>32246.38782365344</v>
      </c>
      <c r="R76" s="107">
        <f>SUM(R14:R74)</f>
        <v>32246.38782365344</v>
      </c>
      <c r="S76" s="100"/>
    </row>
    <row r="77" spans="1:226" ht="11.15" customHeight="1" thickBot="1" x14ac:dyDescent="0.3"/>
    <row r="78" spans="1:226" ht="16" thickBot="1" x14ac:dyDescent="0.3">
      <c r="A78" s="101"/>
      <c r="B78" s="102"/>
      <c r="C78" s="102"/>
      <c r="D78" s="102"/>
      <c r="E78" s="102"/>
      <c r="F78" s="102"/>
      <c r="G78" s="102" t="s">
        <v>20</v>
      </c>
      <c r="H78" s="102"/>
      <c r="I78" s="102"/>
      <c r="J78" s="138"/>
      <c r="K78" s="102"/>
      <c r="L78" s="102"/>
      <c r="M78" s="102"/>
      <c r="N78" s="102"/>
      <c r="O78" s="102"/>
      <c r="P78" s="102"/>
      <c r="Q78" s="102"/>
      <c r="R78" s="103"/>
    </row>
    <row r="79" spans="1:226" ht="11.15" customHeight="1" thickBot="1" x14ac:dyDescent="0.3"/>
    <row r="80" spans="1:226" ht="11.15" customHeight="1" thickTop="1" x14ac:dyDescent="0.25">
      <c r="A80" s="80"/>
      <c r="B80" s="81"/>
      <c r="C80" s="82" t="str">
        <f>IF(A80=0,"",VLOOKUP(A80,[3]CO!$A$3:$F$5327,2,0))</f>
        <v/>
      </c>
      <c r="D80" s="83"/>
      <c r="E80" s="83"/>
      <c r="F80" s="83"/>
      <c r="G80" s="84" t="str">
        <f>IF(A80=0,"",VLOOKUP(A80,[3]CO!$A$3:$F$5327,3,0))</f>
        <v/>
      </c>
      <c r="H80" s="94"/>
      <c r="I80" s="85"/>
      <c r="J80" s="85"/>
      <c r="K80" s="85"/>
      <c r="L80" s="85"/>
      <c r="M80" s="86" t="str">
        <f t="shared" ref="M80:M103" si="91">IF(H80&gt;0,H80*Q$76/N80,IF(AND(L80&gt;0,I80&gt;0),L80*I80,IF(L80&gt;0,L80,"")))</f>
        <v/>
      </c>
      <c r="N80" s="86" t="str">
        <f>IF(B80=0,"",IF(H80="M",HLOOKUP(B80,$Y$12:$DT$13,2),IF(A80=0,"",VLOOKUP(A80,[3]CO!$A$3:$F$5327,4,0))))</f>
        <v/>
      </c>
      <c r="O80" s="86" t="str">
        <f t="shared" si="11"/>
        <v/>
      </c>
      <c r="P80" s="87"/>
      <c r="Q80" s="88" t="str">
        <f t="shared" ref="Q80:Q103" si="92">IF(P80=0,"",(HLOOKUP(P80,$DW$12:$HR$13,2)))</f>
        <v/>
      </c>
      <c r="R80" s="89" t="str">
        <f>IF(S80=0,"",IF(OR(G80="PEON",G80="OF",G80="JARD",G80="CARP",G80="MAESTRO",G80="SOLD",G80="BGRO",G80="CHOFER",G80="AYTE",G80="S.INTTE.",G80="ASEO",G80="P.PISOS",G80="VELADOR",G80="RESID",G80="PINTOR",G80="ELECT",G80="AZULE",G80="AUX CONT.",G80="SECRETARIA",G80="AUXILIAR ADMTVO.",G80="ARQUITECTO",G80="DIBUJANTE",G80="AUX. DE RESIDENTE",G80="TOPOGRAFIA"),VLOOKUP(B80,P$14:Q$126,2),"")*S80)</f>
        <v/>
      </c>
      <c r="S80" s="98"/>
      <c r="T80" s="53" t="str">
        <f>IF(A80=0,"",VLOOKUP(A80,[3]CO!$A$3:$F$5318,5,0))</f>
        <v/>
      </c>
      <c r="U80" s="54">
        <f t="shared" ref="U80:U121" si="93">IF(T80=1,O80*0.1,)</f>
        <v>0</v>
      </c>
      <c r="V80" s="24"/>
      <c r="W80" s="25"/>
      <c r="X80" s="25"/>
      <c r="Y80" s="90" t="str">
        <f t="shared" ref="Y80:AN95" si="94">IF($B80=Y$12,$U80,"")</f>
        <v/>
      </c>
      <c r="Z80" s="91" t="str">
        <f t="shared" si="94"/>
        <v/>
      </c>
      <c r="AA80" s="91" t="str">
        <f t="shared" si="94"/>
        <v/>
      </c>
      <c r="AB80" s="91" t="str">
        <f t="shared" si="94"/>
        <v/>
      </c>
      <c r="AC80" s="91" t="str">
        <f t="shared" si="94"/>
        <v/>
      </c>
      <c r="AD80" s="91" t="str">
        <f t="shared" si="94"/>
        <v/>
      </c>
      <c r="AE80" s="91" t="str">
        <f t="shared" si="94"/>
        <v/>
      </c>
      <c r="AF80" s="91" t="str">
        <f t="shared" si="94"/>
        <v/>
      </c>
      <c r="AG80" s="91" t="str">
        <f t="shared" si="94"/>
        <v/>
      </c>
      <c r="AH80" s="91" t="str">
        <f t="shared" si="94"/>
        <v/>
      </c>
      <c r="AI80" s="91" t="str">
        <f t="shared" si="94"/>
        <v/>
      </c>
      <c r="AJ80" s="91" t="str">
        <f t="shared" si="94"/>
        <v/>
      </c>
      <c r="AK80" s="91" t="str">
        <f t="shared" si="94"/>
        <v/>
      </c>
      <c r="AL80" s="91" t="str">
        <f t="shared" si="94"/>
        <v/>
      </c>
      <c r="AM80" s="91" t="str">
        <f t="shared" si="94"/>
        <v/>
      </c>
      <c r="AN80" s="91" t="str">
        <f t="shared" si="94"/>
        <v/>
      </c>
      <c r="AO80" s="91" t="str">
        <f t="shared" ref="AO80:CZ83" si="95">IF($B80=AO$12,$U80,"")</f>
        <v/>
      </c>
      <c r="AP80" s="91" t="str">
        <f t="shared" si="95"/>
        <v/>
      </c>
      <c r="AQ80" s="91" t="str">
        <f t="shared" si="95"/>
        <v/>
      </c>
      <c r="AR80" s="91" t="str">
        <f t="shared" si="95"/>
        <v/>
      </c>
      <c r="AS80" s="91" t="str">
        <f t="shared" si="95"/>
        <v/>
      </c>
      <c r="AT80" s="91" t="str">
        <f t="shared" si="95"/>
        <v/>
      </c>
      <c r="AU80" s="91" t="str">
        <f t="shared" si="95"/>
        <v/>
      </c>
      <c r="AV80" s="91" t="str">
        <f t="shared" si="95"/>
        <v/>
      </c>
      <c r="AW80" s="91" t="str">
        <f t="shared" si="95"/>
        <v/>
      </c>
      <c r="AX80" s="91" t="str">
        <f t="shared" si="95"/>
        <v/>
      </c>
      <c r="AY80" s="91" t="str">
        <f t="shared" si="95"/>
        <v/>
      </c>
      <c r="AZ80" s="91" t="str">
        <f t="shared" si="95"/>
        <v/>
      </c>
      <c r="BA80" s="91" t="str">
        <f t="shared" si="95"/>
        <v/>
      </c>
      <c r="BB80" s="91" t="str">
        <f t="shared" si="95"/>
        <v/>
      </c>
      <c r="BC80" s="91" t="str">
        <f t="shared" si="95"/>
        <v/>
      </c>
      <c r="BD80" s="91" t="str">
        <f t="shared" si="95"/>
        <v/>
      </c>
      <c r="BE80" s="91" t="str">
        <f t="shared" si="95"/>
        <v/>
      </c>
      <c r="BF80" s="91" t="str">
        <f t="shared" si="95"/>
        <v/>
      </c>
      <c r="BG80" s="91" t="str">
        <f t="shared" si="95"/>
        <v/>
      </c>
      <c r="BH80" s="91" t="str">
        <f t="shared" si="95"/>
        <v/>
      </c>
      <c r="BI80" s="91" t="str">
        <f t="shared" si="95"/>
        <v/>
      </c>
      <c r="BJ80" s="91" t="str">
        <f t="shared" si="95"/>
        <v/>
      </c>
      <c r="BK80" s="91" t="str">
        <f t="shared" si="95"/>
        <v/>
      </c>
      <c r="BL80" s="91" t="str">
        <f t="shared" si="95"/>
        <v/>
      </c>
      <c r="BM80" s="91" t="str">
        <f t="shared" si="95"/>
        <v/>
      </c>
      <c r="BN80" s="91" t="str">
        <f t="shared" si="95"/>
        <v/>
      </c>
      <c r="BO80" s="91" t="str">
        <f t="shared" si="95"/>
        <v/>
      </c>
      <c r="BP80" s="91" t="str">
        <f t="shared" si="95"/>
        <v/>
      </c>
      <c r="BQ80" s="91" t="str">
        <f t="shared" si="95"/>
        <v/>
      </c>
      <c r="BR80" s="91" t="str">
        <f t="shared" si="95"/>
        <v/>
      </c>
      <c r="BS80" s="91" t="str">
        <f t="shared" si="95"/>
        <v/>
      </c>
      <c r="BT80" s="91" t="str">
        <f t="shared" si="95"/>
        <v/>
      </c>
      <c r="BU80" s="91" t="str">
        <f t="shared" si="95"/>
        <v/>
      </c>
      <c r="BV80" s="91" t="str">
        <f t="shared" si="95"/>
        <v/>
      </c>
      <c r="BW80" s="91" t="str">
        <f t="shared" si="95"/>
        <v/>
      </c>
      <c r="BX80" s="91" t="str">
        <f t="shared" si="95"/>
        <v/>
      </c>
      <c r="BY80" s="91" t="str">
        <f t="shared" si="95"/>
        <v/>
      </c>
      <c r="BZ80" s="91" t="str">
        <f t="shared" si="95"/>
        <v/>
      </c>
      <c r="CA80" s="91" t="str">
        <f t="shared" si="95"/>
        <v/>
      </c>
      <c r="CB80" s="91" t="str">
        <f t="shared" si="95"/>
        <v/>
      </c>
      <c r="CC80" s="91" t="str">
        <f t="shared" si="95"/>
        <v/>
      </c>
      <c r="CD80" s="91" t="str">
        <f t="shared" si="95"/>
        <v/>
      </c>
      <c r="CE80" s="91" t="str">
        <f t="shared" si="95"/>
        <v/>
      </c>
      <c r="CF80" s="91" t="str">
        <f t="shared" si="95"/>
        <v/>
      </c>
      <c r="CG80" s="91" t="str">
        <f t="shared" si="95"/>
        <v/>
      </c>
      <c r="CH80" s="91" t="str">
        <f t="shared" si="95"/>
        <v/>
      </c>
      <c r="CI80" s="91" t="str">
        <f t="shared" si="95"/>
        <v/>
      </c>
      <c r="CJ80" s="91" t="str">
        <f t="shared" si="95"/>
        <v/>
      </c>
      <c r="CK80" s="91" t="str">
        <f t="shared" si="95"/>
        <v/>
      </c>
      <c r="CL80" s="91" t="str">
        <f t="shared" si="95"/>
        <v/>
      </c>
      <c r="CM80" s="91" t="str">
        <f t="shared" si="95"/>
        <v/>
      </c>
      <c r="CN80" s="91" t="str">
        <f t="shared" si="95"/>
        <v/>
      </c>
      <c r="CO80" s="91" t="str">
        <f t="shared" si="95"/>
        <v/>
      </c>
      <c r="CP80" s="91" t="str">
        <f t="shared" si="95"/>
        <v/>
      </c>
      <c r="CQ80" s="91" t="str">
        <f t="shared" si="95"/>
        <v/>
      </c>
      <c r="CR80" s="91" t="str">
        <f t="shared" si="95"/>
        <v/>
      </c>
      <c r="CS80" s="91" t="str">
        <f t="shared" si="95"/>
        <v/>
      </c>
      <c r="CT80" s="91" t="str">
        <f t="shared" si="95"/>
        <v/>
      </c>
      <c r="CU80" s="91" t="str">
        <f t="shared" si="95"/>
        <v/>
      </c>
      <c r="CV80" s="91" t="str">
        <f t="shared" si="95"/>
        <v/>
      </c>
      <c r="CW80" s="91" t="str">
        <f t="shared" si="95"/>
        <v/>
      </c>
      <c r="CX80" s="91" t="str">
        <f t="shared" si="95"/>
        <v/>
      </c>
      <c r="CY80" s="91" t="str">
        <f t="shared" si="95"/>
        <v/>
      </c>
      <c r="CZ80" s="91" t="str">
        <f t="shared" si="95"/>
        <v/>
      </c>
      <c r="DA80" s="91" t="str">
        <f t="shared" ref="DA80:DT103" si="96">IF($B80=DA$12,$U80,"")</f>
        <v/>
      </c>
      <c r="DB80" s="91" t="str">
        <f t="shared" si="96"/>
        <v/>
      </c>
      <c r="DC80" s="91" t="str">
        <f t="shared" si="96"/>
        <v/>
      </c>
      <c r="DD80" s="91" t="str">
        <f t="shared" si="96"/>
        <v/>
      </c>
      <c r="DE80" s="91" t="str">
        <f t="shared" si="96"/>
        <v/>
      </c>
      <c r="DF80" s="91" t="str">
        <f t="shared" si="96"/>
        <v/>
      </c>
      <c r="DG80" s="91" t="str">
        <f t="shared" si="96"/>
        <v/>
      </c>
      <c r="DH80" s="91" t="str">
        <f t="shared" si="96"/>
        <v/>
      </c>
      <c r="DI80" s="91" t="str">
        <f t="shared" si="96"/>
        <v/>
      </c>
      <c r="DJ80" s="91" t="str">
        <f t="shared" si="96"/>
        <v/>
      </c>
      <c r="DK80" s="91" t="str">
        <f t="shared" si="96"/>
        <v/>
      </c>
      <c r="DL80" s="91" t="str">
        <f t="shared" si="96"/>
        <v/>
      </c>
      <c r="DM80" s="91" t="str">
        <f t="shared" si="96"/>
        <v/>
      </c>
      <c r="DN80" s="91" t="str">
        <f t="shared" si="96"/>
        <v/>
      </c>
      <c r="DO80" s="91" t="str">
        <f t="shared" si="96"/>
        <v/>
      </c>
      <c r="DP80" s="91" t="str">
        <f t="shared" si="96"/>
        <v/>
      </c>
      <c r="DQ80" s="91" t="str">
        <f t="shared" si="96"/>
        <v/>
      </c>
      <c r="DR80" s="91" t="str">
        <f t="shared" si="96"/>
        <v/>
      </c>
      <c r="DS80" s="91" t="str">
        <f t="shared" si="96"/>
        <v/>
      </c>
      <c r="DT80" s="109" t="str">
        <f t="shared" si="96"/>
        <v/>
      </c>
      <c r="DU80" s="54"/>
      <c r="DV80" s="25"/>
      <c r="DW80" s="92" t="str">
        <f t="shared" ref="DW80:EL95" si="97">IF($B80=DW$12,$O80,"")</f>
        <v/>
      </c>
      <c r="DX80" s="93" t="str">
        <f t="shared" si="97"/>
        <v/>
      </c>
      <c r="DY80" s="93" t="str">
        <f t="shared" si="97"/>
        <v/>
      </c>
      <c r="DZ80" s="93" t="str">
        <f t="shared" si="97"/>
        <v/>
      </c>
      <c r="EA80" s="93" t="str">
        <f t="shared" si="97"/>
        <v/>
      </c>
      <c r="EB80" s="93" t="str">
        <f t="shared" si="97"/>
        <v/>
      </c>
      <c r="EC80" s="93" t="str">
        <f t="shared" si="97"/>
        <v/>
      </c>
      <c r="ED80" s="93" t="str">
        <f t="shared" si="97"/>
        <v/>
      </c>
      <c r="EE80" s="93" t="str">
        <f t="shared" si="97"/>
        <v/>
      </c>
      <c r="EF80" s="93" t="str">
        <f t="shared" si="97"/>
        <v/>
      </c>
      <c r="EG80" s="93" t="str">
        <f t="shared" si="97"/>
        <v/>
      </c>
      <c r="EH80" s="93" t="str">
        <f t="shared" si="97"/>
        <v/>
      </c>
      <c r="EI80" s="93" t="str">
        <f t="shared" si="97"/>
        <v/>
      </c>
      <c r="EJ80" s="93" t="str">
        <f t="shared" si="97"/>
        <v/>
      </c>
      <c r="EK80" s="93" t="str">
        <f t="shared" si="97"/>
        <v/>
      </c>
      <c r="EL80" s="93" t="str">
        <f t="shared" si="97"/>
        <v/>
      </c>
      <c r="EM80" s="93" t="str">
        <f t="shared" ref="EM80:GX83" si="98">IF($B80=EM$12,$O80,"")</f>
        <v/>
      </c>
      <c r="EN80" s="93" t="str">
        <f t="shared" si="98"/>
        <v/>
      </c>
      <c r="EO80" s="93" t="str">
        <f t="shared" si="98"/>
        <v/>
      </c>
      <c r="EP80" s="93" t="str">
        <f t="shared" si="98"/>
        <v/>
      </c>
      <c r="EQ80" s="93" t="str">
        <f t="shared" si="98"/>
        <v/>
      </c>
      <c r="ER80" s="93" t="str">
        <f t="shared" si="98"/>
        <v/>
      </c>
      <c r="ES80" s="93" t="str">
        <f t="shared" si="98"/>
        <v/>
      </c>
      <c r="ET80" s="93" t="str">
        <f t="shared" si="98"/>
        <v/>
      </c>
      <c r="EU80" s="93" t="str">
        <f t="shared" si="98"/>
        <v/>
      </c>
      <c r="EV80" s="93" t="str">
        <f t="shared" si="98"/>
        <v/>
      </c>
      <c r="EW80" s="93" t="str">
        <f t="shared" si="98"/>
        <v/>
      </c>
      <c r="EX80" s="93" t="str">
        <f t="shared" si="98"/>
        <v/>
      </c>
      <c r="EY80" s="93" t="str">
        <f t="shared" si="98"/>
        <v/>
      </c>
      <c r="EZ80" s="93" t="str">
        <f t="shared" si="98"/>
        <v/>
      </c>
      <c r="FA80" s="93" t="str">
        <f t="shared" si="98"/>
        <v/>
      </c>
      <c r="FB80" s="93" t="str">
        <f t="shared" si="98"/>
        <v/>
      </c>
      <c r="FC80" s="93" t="str">
        <f t="shared" si="98"/>
        <v/>
      </c>
      <c r="FD80" s="93" t="str">
        <f t="shared" si="98"/>
        <v/>
      </c>
      <c r="FE80" s="93" t="str">
        <f t="shared" si="98"/>
        <v/>
      </c>
      <c r="FF80" s="93" t="str">
        <f t="shared" si="98"/>
        <v/>
      </c>
      <c r="FG80" s="93" t="str">
        <f t="shared" si="98"/>
        <v/>
      </c>
      <c r="FH80" s="93" t="str">
        <f t="shared" si="98"/>
        <v/>
      </c>
      <c r="FI80" s="93" t="str">
        <f t="shared" si="98"/>
        <v/>
      </c>
      <c r="FJ80" s="93" t="str">
        <f t="shared" si="98"/>
        <v/>
      </c>
      <c r="FK80" s="93" t="str">
        <f t="shared" si="98"/>
        <v/>
      </c>
      <c r="FL80" s="93" t="str">
        <f t="shared" si="98"/>
        <v/>
      </c>
      <c r="FM80" s="93" t="str">
        <f t="shared" si="98"/>
        <v/>
      </c>
      <c r="FN80" s="93" t="str">
        <f t="shared" si="98"/>
        <v/>
      </c>
      <c r="FO80" s="93" t="str">
        <f t="shared" si="98"/>
        <v/>
      </c>
      <c r="FP80" s="93" t="str">
        <f t="shared" si="98"/>
        <v/>
      </c>
      <c r="FQ80" s="93" t="str">
        <f t="shared" si="98"/>
        <v/>
      </c>
      <c r="FR80" s="93" t="str">
        <f t="shared" si="98"/>
        <v/>
      </c>
      <c r="FS80" s="93" t="str">
        <f t="shared" si="98"/>
        <v/>
      </c>
      <c r="FT80" s="93" t="str">
        <f t="shared" si="98"/>
        <v/>
      </c>
      <c r="FU80" s="93" t="str">
        <f t="shared" si="98"/>
        <v/>
      </c>
      <c r="FV80" s="93" t="str">
        <f t="shared" si="98"/>
        <v/>
      </c>
      <c r="FW80" s="93" t="str">
        <f t="shared" si="98"/>
        <v/>
      </c>
      <c r="FX80" s="93" t="str">
        <f t="shared" si="98"/>
        <v/>
      </c>
      <c r="FY80" s="93" t="str">
        <f t="shared" si="98"/>
        <v/>
      </c>
      <c r="FZ80" s="93" t="str">
        <f t="shared" si="98"/>
        <v/>
      </c>
      <c r="GA80" s="93" t="str">
        <f t="shared" si="98"/>
        <v/>
      </c>
      <c r="GB80" s="93" t="str">
        <f t="shared" si="98"/>
        <v/>
      </c>
      <c r="GC80" s="93" t="str">
        <f t="shared" si="98"/>
        <v/>
      </c>
      <c r="GD80" s="93" t="str">
        <f t="shared" si="98"/>
        <v/>
      </c>
      <c r="GE80" s="93" t="str">
        <f t="shared" si="98"/>
        <v/>
      </c>
      <c r="GF80" s="93" t="str">
        <f t="shared" si="98"/>
        <v/>
      </c>
      <c r="GG80" s="93" t="str">
        <f t="shared" si="98"/>
        <v/>
      </c>
      <c r="GH80" s="93" t="str">
        <f t="shared" si="98"/>
        <v/>
      </c>
      <c r="GI80" s="93" t="str">
        <f t="shared" si="98"/>
        <v/>
      </c>
      <c r="GJ80" s="93" t="str">
        <f t="shared" si="98"/>
        <v/>
      </c>
      <c r="GK80" s="93" t="str">
        <f t="shared" si="98"/>
        <v/>
      </c>
      <c r="GL80" s="93" t="str">
        <f t="shared" si="98"/>
        <v/>
      </c>
      <c r="GM80" s="93" t="str">
        <f t="shared" si="98"/>
        <v/>
      </c>
      <c r="GN80" s="93" t="str">
        <f t="shared" si="98"/>
        <v/>
      </c>
      <c r="GO80" s="93" t="str">
        <f t="shared" si="98"/>
        <v/>
      </c>
      <c r="GP80" s="93" t="str">
        <f t="shared" si="98"/>
        <v/>
      </c>
      <c r="GQ80" s="93" t="str">
        <f t="shared" si="98"/>
        <v/>
      </c>
      <c r="GR80" s="93" t="str">
        <f t="shared" si="98"/>
        <v/>
      </c>
      <c r="GS80" s="93" t="str">
        <f t="shared" si="98"/>
        <v/>
      </c>
      <c r="GT80" s="93" t="str">
        <f t="shared" si="98"/>
        <v/>
      </c>
      <c r="GU80" s="93" t="str">
        <f t="shared" si="98"/>
        <v/>
      </c>
      <c r="GV80" s="93" t="str">
        <f t="shared" si="98"/>
        <v/>
      </c>
      <c r="GW80" s="93" t="str">
        <f t="shared" si="98"/>
        <v/>
      </c>
      <c r="GX80" s="93" t="str">
        <f t="shared" si="98"/>
        <v/>
      </c>
      <c r="GY80" s="93" t="str">
        <f t="shared" ref="GY80:HR103" si="99">IF($B80=GY$12,$O80,"")</f>
        <v/>
      </c>
      <c r="GZ80" s="93" t="str">
        <f t="shared" si="99"/>
        <v/>
      </c>
      <c r="HA80" s="93" t="str">
        <f t="shared" si="99"/>
        <v/>
      </c>
      <c r="HB80" s="93" t="str">
        <f t="shared" si="99"/>
        <v/>
      </c>
      <c r="HC80" s="93" t="str">
        <f t="shared" si="99"/>
        <v/>
      </c>
      <c r="HD80" s="93" t="str">
        <f t="shared" si="99"/>
        <v/>
      </c>
      <c r="HE80" s="93" t="str">
        <f t="shared" si="99"/>
        <v/>
      </c>
      <c r="HF80" s="93" t="str">
        <f t="shared" si="99"/>
        <v/>
      </c>
      <c r="HG80" s="93" t="str">
        <f t="shared" si="99"/>
        <v/>
      </c>
      <c r="HH80" s="93" t="str">
        <f t="shared" si="99"/>
        <v/>
      </c>
      <c r="HI80" s="93" t="str">
        <f t="shared" si="99"/>
        <v/>
      </c>
      <c r="HJ80" s="93" t="str">
        <f t="shared" si="99"/>
        <v/>
      </c>
      <c r="HK80" s="93" t="str">
        <f t="shared" si="99"/>
        <v/>
      </c>
      <c r="HL80" s="93" t="str">
        <f t="shared" si="99"/>
        <v/>
      </c>
      <c r="HM80" s="93" t="str">
        <f t="shared" si="99"/>
        <v/>
      </c>
      <c r="HN80" s="93" t="str">
        <f t="shared" si="99"/>
        <v/>
      </c>
      <c r="HO80" s="93" t="str">
        <f t="shared" si="99"/>
        <v/>
      </c>
      <c r="HP80" s="93" t="str">
        <f t="shared" si="99"/>
        <v/>
      </c>
      <c r="HQ80" s="93" t="str">
        <f t="shared" si="99"/>
        <v/>
      </c>
      <c r="HR80" s="115" t="str">
        <f t="shared" si="99"/>
        <v/>
      </c>
    </row>
    <row r="81" spans="1:226" ht="11.15" customHeight="1" x14ac:dyDescent="0.25">
      <c r="A81" s="26"/>
      <c r="B81" s="27"/>
      <c r="C81" s="28" t="str">
        <f>IF(A81=0,"",VLOOKUP(A81,[3]CO!$A$3:$F$5327,2,0))</f>
        <v/>
      </c>
      <c r="D81" s="29"/>
      <c r="E81" s="29"/>
      <c r="F81" s="29"/>
      <c r="G81" s="30" t="str">
        <f>IF(A81=0,"",VLOOKUP(A81,[3]CO!$A$3:$F$5327,3,0))</f>
        <v/>
      </c>
      <c r="H81" s="95"/>
      <c r="I81" s="31"/>
      <c r="J81" s="31"/>
      <c r="K81" s="31"/>
      <c r="L81" s="31"/>
      <c r="M81" s="32" t="str">
        <f t="shared" si="91"/>
        <v/>
      </c>
      <c r="N81" s="32" t="str">
        <f>IF(B81=0,"",IF(H81="M",HLOOKUP(B81,$Y$12:$DT$13,2),IF(A81=0,"",VLOOKUP(A81,[3]CO!$A$3:$F$5327,4,0))))</f>
        <v/>
      </c>
      <c r="O81" s="32" t="str">
        <f t="shared" si="11"/>
        <v/>
      </c>
      <c r="P81" s="33"/>
      <c r="Q81" s="34" t="str">
        <f t="shared" si="92"/>
        <v/>
      </c>
      <c r="R81" s="35" t="str">
        <f>IF(S81=0,"",IF(OR(G81="PEON",G81="OF",G81="JARD",G81="CARP",G81="MAESTRO",G81="SOLD",G81="BGRO",G81="CHOFER",G81="AYTE",G81="S.INTTE.",G81="ASEO",G81="P.PISOS",G81="VELADOR",G81="RESID",G81="PINTOR",G81="ELECT",G81="AZULE",G81="AUX CONT.",G81="SECRETARIA",G81="AUXILIAR ADMTVO.",G81="ARQUITECTO",G81="DIBUJANTE",G81="AUX. DE RESIDENTE",G81="TOPOGRAFIA",G81="DESTAJOS"),VLOOKUP(B81,P$14:Q$121,2),"")*S81)</f>
        <v/>
      </c>
      <c r="S81" s="98"/>
      <c r="T81" s="53" t="str">
        <f>IF(A81=0,"",VLOOKUP(A81,[3]CO!$A$3:$F$5318,5,0))</f>
        <v/>
      </c>
      <c r="U81" s="54">
        <f t="shared" si="93"/>
        <v>0</v>
      </c>
      <c r="V81" s="24"/>
      <c r="W81" s="25"/>
      <c r="X81" s="25"/>
      <c r="Y81" s="64" t="str">
        <f t="shared" si="94"/>
        <v/>
      </c>
      <c r="Z81" s="55" t="str">
        <f t="shared" si="94"/>
        <v/>
      </c>
      <c r="AA81" s="55" t="str">
        <f t="shared" si="94"/>
        <v/>
      </c>
      <c r="AB81" s="55" t="str">
        <f t="shared" si="94"/>
        <v/>
      </c>
      <c r="AC81" s="55" t="str">
        <f t="shared" si="94"/>
        <v/>
      </c>
      <c r="AD81" s="55" t="str">
        <f t="shared" si="94"/>
        <v/>
      </c>
      <c r="AE81" s="55" t="str">
        <f t="shared" si="94"/>
        <v/>
      </c>
      <c r="AF81" s="55" t="str">
        <f t="shared" si="94"/>
        <v/>
      </c>
      <c r="AG81" s="55" t="str">
        <f t="shared" si="94"/>
        <v/>
      </c>
      <c r="AH81" s="55" t="str">
        <f t="shared" si="94"/>
        <v/>
      </c>
      <c r="AI81" s="55" t="str">
        <f t="shared" si="94"/>
        <v/>
      </c>
      <c r="AJ81" s="55" t="str">
        <f t="shared" si="94"/>
        <v/>
      </c>
      <c r="AK81" s="55" t="str">
        <f t="shared" si="94"/>
        <v/>
      </c>
      <c r="AL81" s="55" t="str">
        <f t="shared" si="94"/>
        <v/>
      </c>
      <c r="AM81" s="55" t="str">
        <f t="shared" si="94"/>
        <v/>
      </c>
      <c r="AN81" s="55" t="str">
        <f t="shared" si="94"/>
        <v/>
      </c>
      <c r="AO81" s="55" t="str">
        <f t="shared" si="95"/>
        <v/>
      </c>
      <c r="AP81" s="55" t="str">
        <f t="shared" si="95"/>
        <v/>
      </c>
      <c r="AQ81" s="55" t="str">
        <f t="shared" si="95"/>
        <v/>
      </c>
      <c r="AR81" s="55" t="str">
        <f t="shared" si="95"/>
        <v/>
      </c>
      <c r="AS81" s="55" t="str">
        <f t="shared" si="95"/>
        <v/>
      </c>
      <c r="AT81" s="55" t="str">
        <f t="shared" si="95"/>
        <v/>
      </c>
      <c r="AU81" s="55" t="str">
        <f t="shared" si="95"/>
        <v/>
      </c>
      <c r="AV81" s="55" t="str">
        <f t="shared" si="95"/>
        <v/>
      </c>
      <c r="AW81" s="55" t="str">
        <f t="shared" si="95"/>
        <v/>
      </c>
      <c r="AX81" s="55" t="str">
        <f t="shared" si="95"/>
        <v/>
      </c>
      <c r="AY81" s="55" t="str">
        <f t="shared" si="95"/>
        <v/>
      </c>
      <c r="AZ81" s="55" t="str">
        <f t="shared" si="95"/>
        <v/>
      </c>
      <c r="BA81" s="55" t="str">
        <f t="shared" si="95"/>
        <v/>
      </c>
      <c r="BB81" s="55" t="str">
        <f t="shared" si="95"/>
        <v/>
      </c>
      <c r="BC81" s="55" t="str">
        <f t="shared" si="95"/>
        <v/>
      </c>
      <c r="BD81" s="55" t="str">
        <f t="shared" si="95"/>
        <v/>
      </c>
      <c r="BE81" s="55" t="str">
        <f t="shared" si="95"/>
        <v/>
      </c>
      <c r="BF81" s="55" t="str">
        <f t="shared" si="95"/>
        <v/>
      </c>
      <c r="BG81" s="55" t="str">
        <f t="shared" si="95"/>
        <v/>
      </c>
      <c r="BH81" s="55" t="str">
        <f t="shared" si="95"/>
        <v/>
      </c>
      <c r="BI81" s="55" t="str">
        <f t="shared" si="95"/>
        <v/>
      </c>
      <c r="BJ81" s="55" t="str">
        <f t="shared" si="95"/>
        <v/>
      </c>
      <c r="BK81" s="55" t="str">
        <f t="shared" si="95"/>
        <v/>
      </c>
      <c r="BL81" s="55" t="str">
        <f t="shared" si="95"/>
        <v/>
      </c>
      <c r="BM81" s="55" t="str">
        <f t="shared" si="95"/>
        <v/>
      </c>
      <c r="BN81" s="55" t="str">
        <f t="shared" si="95"/>
        <v/>
      </c>
      <c r="BO81" s="55" t="str">
        <f t="shared" si="95"/>
        <v/>
      </c>
      <c r="BP81" s="55" t="str">
        <f t="shared" si="95"/>
        <v/>
      </c>
      <c r="BQ81" s="55" t="str">
        <f t="shared" si="95"/>
        <v/>
      </c>
      <c r="BR81" s="55" t="str">
        <f t="shared" si="95"/>
        <v/>
      </c>
      <c r="BS81" s="55" t="str">
        <f t="shared" si="95"/>
        <v/>
      </c>
      <c r="BT81" s="55" t="str">
        <f t="shared" si="95"/>
        <v/>
      </c>
      <c r="BU81" s="55" t="str">
        <f t="shared" si="95"/>
        <v/>
      </c>
      <c r="BV81" s="55" t="str">
        <f t="shared" si="95"/>
        <v/>
      </c>
      <c r="BW81" s="55" t="str">
        <f t="shared" si="95"/>
        <v/>
      </c>
      <c r="BX81" s="55" t="str">
        <f t="shared" si="95"/>
        <v/>
      </c>
      <c r="BY81" s="55" t="str">
        <f t="shared" si="95"/>
        <v/>
      </c>
      <c r="BZ81" s="55" t="str">
        <f t="shared" si="95"/>
        <v/>
      </c>
      <c r="CA81" s="55" t="str">
        <f t="shared" si="95"/>
        <v/>
      </c>
      <c r="CB81" s="55" t="str">
        <f t="shared" si="95"/>
        <v/>
      </c>
      <c r="CC81" s="55" t="str">
        <f t="shared" si="95"/>
        <v/>
      </c>
      <c r="CD81" s="55" t="str">
        <f t="shared" si="95"/>
        <v/>
      </c>
      <c r="CE81" s="55" t="str">
        <f t="shared" si="95"/>
        <v/>
      </c>
      <c r="CF81" s="55" t="str">
        <f t="shared" si="95"/>
        <v/>
      </c>
      <c r="CG81" s="55" t="str">
        <f t="shared" si="95"/>
        <v/>
      </c>
      <c r="CH81" s="55" t="str">
        <f t="shared" si="95"/>
        <v/>
      </c>
      <c r="CI81" s="55" t="str">
        <f t="shared" si="95"/>
        <v/>
      </c>
      <c r="CJ81" s="55" t="str">
        <f t="shared" si="95"/>
        <v/>
      </c>
      <c r="CK81" s="55" t="str">
        <f t="shared" si="95"/>
        <v/>
      </c>
      <c r="CL81" s="55" t="str">
        <f t="shared" si="95"/>
        <v/>
      </c>
      <c r="CM81" s="55" t="str">
        <f t="shared" si="95"/>
        <v/>
      </c>
      <c r="CN81" s="55" t="str">
        <f t="shared" si="95"/>
        <v/>
      </c>
      <c r="CO81" s="55" t="str">
        <f t="shared" si="95"/>
        <v/>
      </c>
      <c r="CP81" s="55" t="str">
        <f t="shared" si="95"/>
        <v/>
      </c>
      <c r="CQ81" s="55" t="str">
        <f t="shared" si="95"/>
        <v/>
      </c>
      <c r="CR81" s="55" t="str">
        <f t="shared" si="95"/>
        <v/>
      </c>
      <c r="CS81" s="55" t="str">
        <f t="shared" si="95"/>
        <v/>
      </c>
      <c r="CT81" s="55" t="str">
        <f t="shared" si="95"/>
        <v/>
      </c>
      <c r="CU81" s="55" t="str">
        <f t="shared" si="95"/>
        <v/>
      </c>
      <c r="CV81" s="55" t="str">
        <f t="shared" si="95"/>
        <v/>
      </c>
      <c r="CW81" s="55" t="str">
        <f t="shared" si="95"/>
        <v/>
      </c>
      <c r="CX81" s="55" t="str">
        <f t="shared" si="95"/>
        <v/>
      </c>
      <c r="CY81" s="55" t="str">
        <f t="shared" si="95"/>
        <v/>
      </c>
      <c r="CZ81" s="55" t="str">
        <f t="shared" si="95"/>
        <v/>
      </c>
      <c r="DA81" s="55" t="str">
        <f t="shared" si="96"/>
        <v/>
      </c>
      <c r="DB81" s="55" t="str">
        <f t="shared" si="96"/>
        <v/>
      </c>
      <c r="DC81" s="55" t="str">
        <f t="shared" si="96"/>
        <v/>
      </c>
      <c r="DD81" s="55" t="str">
        <f t="shared" si="96"/>
        <v/>
      </c>
      <c r="DE81" s="55" t="str">
        <f t="shared" si="96"/>
        <v/>
      </c>
      <c r="DF81" s="55" t="str">
        <f t="shared" si="96"/>
        <v/>
      </c>
      <c r="DG81" s="55" t="str">
        <f t="shared" si="96"/>
        <v/>
      </c>
      <c r="DH81" s="55" t="str">
        <f t="shared" si="96"/>
        <v/>
      </c>
      <c r="DI81" s="55" t="str">
        <f t="shared" si="96"/>
        <v/>
      </c>
      <c r="DJ81" s="55" t="str">
        <f t="shared" si="96"/>
        <v/>
      </c>
      <c r="DK81" s="55" t="str">
        <f t="shared" si="96"/>
        <v/>
      </c>
      <c r="DL81" s="55" t="str">
        <f t="shared" si="96"/>
        <v/>
      </c>
      <c r="DM81" s="55" t="str">
        <f t="shared" si="96"/>
        <v/>
      </c>
      <c r="DN81" s="55" t="str">
        <f t="shared" si="96"/>
        <v/>
      </c>
      <c r="DO81" s="55" t="str">
        <f t="shared" si="96"/>
        <v/>
      </c>
      <c r="DP81" s="55" t="str">
        <f t="shared" si="96"/>
        <v/>
      </c>
      <c r="DQ81" s="55" t="str">
        <f t="shared" si="96"/>
        <v/>
      </c>
      <c r="DR81" s="55" t="str">
        <f t="shared" si="96"/>
        <v/>
      </c>
      <c r="DS81" s="55" t="str">
        <f t="shared" si="96"/>
        <v/>
      </c>
      <c r="DT81" s="110" t="str">
        <f t="shared" si="96"/>
        <v/>
      </c>
      <c r="DU81" s="54"/>
      <c r="DV81" s="25"/>
      <c r="DW81" s="61" t="str">
        <f t="shared" si="97"/>
        <v/>
      </c>
      <c r="DX81" s="50" t="str">
        <f t="shared" si="97"/>
        <v/>
      </c>
      <c r="DY81" s="50" t="str">
        <f t="shared" si="97"/>
        <v/>
      </c>
      <c r="DZ81" s="50" t="str">
        <f t="shared" si="97"/>
        <v/>
      </c>
      <c r="EA81" s="50" t="str">
        <f t="shared" si="97"/>
        <v/>
      </c>
      <c r="EB81" s="50" t="str">
        <f t="shared" si="97"/>
        <v/>
      </c>
      <c r="EC81" s="50" t="str">
        <f t="shared" si="97"/>
        <v/>
      </c>
      <c r="ED81" s="50" t="str">
        <f t="shared" si="97"/>
        <v/>
      </c>
      <c r="EE81" s="50" t="str">
        <f t="shared" si="97"/>
        <v/>
      </c>
      <c r="EF81" s="50" t="str">
        <f t="shared" si="97"/>
        <v/>
      </c>
      <c r="EG81" s="50" t="str">
        <f t="shared" si="97"/>
        <v/>
      </c>
      <c r="EH81" s="50" t="str">
        <f t="shared" si="97"/>
        <v/>
      </c>
      <c r="EI81" s="50" t="str">
        <f t="shared" si="97"/>
        <v/>
      </c>
      <c r="EJ81" s="50" t="str">
        <f t="shared" si="97"/>
        <v/>
      </c>
      <c r="EK81" s="50" t="str">
        <f t="shared" si="97"/>
        <v/>
      </c>
      <c r="EL81" s="50" t="str">
        <f t="shared" si="97"/>
        <v/>
      </c>
      <c r="EM81" s="50" t="str">
        <f t="shared" si="98"/>
        <v/>
      </c>
      <c r="EN81" s="50" t="str">
        <f t="shared" si="98"/>
        <v/>
      </c>
      <c r="EO81" s="50" t="str">
        <f t="shared" si="98"/>
        <v/>
      </c>
      <c r="EP81" s="50" t="str">
        <f t="shared" si="98"/>
        <v/>
      </c>
      <c r="EQ81" s="50" t="str">
        <f t="shared" si="98"/>
        <v/>
      </c>
      <c r="ER81" s="50" t="str">
        <f t="shared" si="98"/>
        <v/>
      </c>
      <c r="ES81" s="50" t="str">
        <f t="shared" si="98"/>
        <v/>
      </c>
      <c r="ET81" s="50" t="str">
        <f t="shared" si="98"/>
        <v/>
      </c>
      <c r="EU81" s="50" t="str">
        <f t="shared" si="98"/>
        <v/>
      </c>
      <c r="EV81" s="50" t="str">
        <f t="shared" si="98"/>
        <v/>
      </c>
      <c r="EW81" s="50" t="str">
        <f t="shared" si="98"/>
        <v/>
      </c>
      <c r="EX81" s="50" t="str">
        <f t="shared" si="98"/>
        <v/>
      </c>
      <c r="EY81" s="50" t="str">
        <f t="shared" si="98"/>
        <v/>
      </c>
      <c r="EZ81" s="50" t="str">
        <f t="shared" si="98"/>
        <v/>
      </c>
      <c r="FA81" s="50" t="str">
        <f t="shared" si="98"/>
        <v/>
      </c>
      <c r="FB81" s="50" t="str">
        <f t="shared" si="98"/>
        <v/>
      </c>
      <c r="FC81" s="50" t="str">
        <f t="shared" si="98"/>
        <v/>
      </c>
      <c r="FD81" s="50" t="str">
        <f t="shared" si="98"/>
        <v/>
      </c>
      <c r="FE81" s="50" t="str">
        <f t="shared" si="98"/>
        <v/>
      </c>
      <c r="FF81" s="50" t="str">
        <f t="shared" si="98"/>
        <v/>
      </c>
      <c r="FG81" s="50" t="str">
        <f t="shared" si="98"/>
        <v/>
      </c>
      <c r="FH81" s="50" t="str">
        <f t="shared" si="98"/>
        <v/>
      </c>
      <c r="FI81" s="50" t="str">
        <f t="shared" si="98"/>
        <v/>
      </c>
      <c r="FJ81" s="50" t="str">
        <f t="shared" si="98"/>
        <v/>
      </c>
      <c r="FK81" s="50" t="str">
        <f t="shared" si="98"/>
        <v/>
      </c>
      <c r="FL81" s="50" t="str">
        <f t="shared" si="98"/>
        <v/>
      </c>
      <c r="FM81" s="50" t="str">
        <f t="shared" si="98"/>
        <v/>
      </c>
      <c r="FN81" s="50" t="str">
        <f t="shared" si="98"/>
        <v/>
      </c>
      <c r="FO81" s="50" t="str">
        <f t="shared" si="98"/>
        <v/>
      </c>
      <c r="FP81" s="50" t="str">
        <f t="shared" si="98"/>
        <v/>
      </c>
      <c r="FQ81" s="50" t="str">
        <f t="shared" si="98"/>
        <v/>
      </c>
      <c r="FR81" s="50" t="str">
        <f t="shared" si="98"/>
        <v/>
      </c>
      <c r="FS81" s="50" t="str">
        <f t="shared" si="98"/>
        <v/>
      </c>
      <c r="FT81" s="50" t="str">
        <f t="shared" si="98"/>
        <v/>
      </c>
      <c r="FU81" s="50" t="str">
        <f t="shared" si="98"/>
        <v/>
      </c>
      <c r="FV81" s="50" t="str">
        <f t="shared" si="98"/>
        <v/>
      </c>
      <c r="FW81" s="50" t="str">
        <f t="shared" si="98"/>
        <v/>
      </c>
      <c r="FX81" s="50" t="str">
        <f t="shared" si="98"/>
        <v/>
      </c>
      <c r="FY81" s="50" t="str">
        <f t="shared" si="98"/>
        <v/>
      </c>
      <c r="FZ81" s="50" t="str">
        <f t="shared" si="98"/>
        <v/>
      </c>
      <c r="GA81" s="50" t="str">
        <f t="shared" si="98"/>
        <v/>
      </c>
      <c r="GB81" s="50" t="str">
        <f t="shared" si="98"/>
        <v/>
      </c>
      <c r="GC81" s="50" t="str">
        <f t="shared" si="98"/>
        <v/>
      </c>
      <c r="GD81" s="50" t="str">
        <f t="shared" si="98"/>
        <v/>
      </c>
      <c r="GE81" s="50" t="str">
        <f t="shared" si="98"/>
        <v/>
      </c>
      <c r="GF81" s="50" t="str">
        <f t="shared" si="98"/>
        <v/>
      </c>
      <c r="GG81" s="50" t="str">
        <f t="shared" si="98"/>
        <v/>
      </c>
      <c r="GH81" s="50" t="str">
        <f t="shared" si="98"/>
        <v/>
      </c>
      <c r="GI81" s="50" t="str">
        <f t="shared" si="98"/>
        <v/>
      </c>
      <c r="GJ81" s="50" t="str">
        <f t="shared" si="98"/>
        <v/>
      </c>
      <c r="GK81" s="50" t="str">
        <f t="shared" si="98"/>
        <v/>
      </c>
      <c r="GL81" s="50" t="str">
        <f t="shared" si="98"/>
        <v/>
      </c>
      <c r="GM81" s="50" t="str">
        <f t="shared" si="98"/>
        <v/>
      </c>
      <c r="GN81" s="50" t="str">
        <f t="shared" si="98"/>
        <v/>
      </c>
      <c r="GO81" s="50" t="str">
        <f t="shared" si="98"/>
        <v/>
      </c>
      <c r="GP81" s="50" t="str">
        <f t="shared" si="98"/>
        <v/>
      </c>
      <c r="GQ81" s="50" t="str">
        <f t="shared" si="98"/>
        <v/>
      </c>
      <c r="GR81" s="50" t="str">
        <f t="shared" si="98"/>
        <v/>
      </c>
      <c r="GS81" s="50" t="str">
        <f t="shared" si="98"/>
        <v/>
      </c>
      <c r="GT81" s="50" t="str">
        <f t="shared" si="98"/>
        <v/>
      </c>
      <c r="GU81" s="50" t="str">
        <f t="shared" si="98"/>
        <v/>
      </c>
      <c r="GV81" s="50" t="str">
        <f t="shared" si="98"/>
        <v/>
      </c>
      <c r="GW81" s="50" t="str">
        <f t="shared" si="98"/>
        <v/>
      </c>
      <c r="GX81" s="50" t="str">
        <f t="shared" si="98"/>
        <v/>
      </c>
      <c r="GY81" s="50" t="str">
        <f t="shared" si="99"/>
        <v/>
      </c>
      <c r="GZ81" s="50" t="str">
        <f t="shared" si="99"/>
        <v/>
      </c>
      <c r="HA81" s="50" t="str">
        <f t="shared" si="99"/>
        <v/>
      </c>
      <c r="HB81" s="50" t="str">
        <f t="shared" si="99"/>
        <v/>
      </c>
      <c r="HC81" s="50" t="str">
        <f t="shared" si="99"/>
        <v/>
      </c>
      <c r="HD81" s="50" t="str">
        <f t="shared" si="99"/>
        <v/>
      </c>
      <c r="HE81" s="50" t="str">
        <f t="shared" si="99"/>
        <v/>
      </c>
      <c r="HF81" s="50" t="str">
        <f t="shared" si="99"/>
        <v/>
      </c>
      <c r="HG81" s="50" t="str">
        <f t="shared" si="99"/>
        <v/>
      </c>
      <c r="HH81" s="50" t="str">
        <f t="shared" si="99"/>
        <v/>
      </c>
      <c r="HI81" s="50" t="str">
        <f t="shared" si="99"/>
        <v/>
      </c>
      <c r="HJ81" s="50" t="str">
        <f t="shared" si="99"/>
        <v/>
      </c>
      <c r="HK81" s="50" t="str">
        <f t="shared" si="99"/>
        <v/>
      </c>
      <c r="HL81" s="50" t="str">
        <f t="shared" si="99"/>
        <v/>
      </c>
      <c r="HM81" s="50" t="str">
        <f t="shared" si="99"/>
        <v/>
      </c>
      <c r="HN81" s="50" t="str">
        <f t="shared" si="99"/>
        <v/>
      </c>
      <c r="HO81" s="50" t="str">
        <f t="shared" si="99"/>
        <v/>
      </c>
      <c r="HP81" s="50" t="str">
        <f t="shared" si="99"/>
        <v/>
      </c>
      <c r="HQ81" s="50" t="str">
        <f t="shared" si="99"/>
        <v/>
      </c>
      <c r="HR81" s="116" t="str">
        <f t="shared" si="99"/>
        <v/>
      </c>
    </row>
    <row r="82" spans="1:226" ht="11.15" customHeight="1" x14ac:dyDescent="0.25">
      <c r="A82" s="26"/>
      <c r="B82" s="27"/>
      <c r="C82" s="28" t="str">
        <f>IF(A82=0,"",VLOOKUP(A82,[3]CO!$A$3:$F$5327,2,0))</f>
        <v/>
      </c>
      <c r="D82" s="29"/>
      <c r="E82" s="29"/>
      <c r="F82" s="29"/>
      <c r="G82" s="30" t="str">
        <f>IF(A82=0,"",VLOOKUP(A82,[3]CO!$A$3:$F$5327,3,0))</f>
        <v/>
      </c>
      <c r="H82" s="95"/>
      <c r="I82" s="31"/>
      <c r="J82" s="31"/>
      <c r="K82" s="31"/>
      <c r="L82" s="31"/>
      <c r="M82" s="32" t="str">
        <f t="shared" si="91"/>
        <v/>
      </c>
      <c r="N82" s="32" t="str">
        <f>IF(B82=0,"",IF(H82="M",HLOOKUP(B82,$Y$12:$DT$13,2),IF(A82=0,"",VLOOKUP(A82,[3]CO!$A$3:$F$5327,4,0))))</f>
        <v/>
      </c>
      <c r="O82" s="32" t="str">
        <f t="shared" si="11"/>
        <v/>
      </c>
      <c r="P82" s="33"/>
      <c r="Q82" s="34" t="str">
        <f t="shared" si="92"/>
        <v/>
      </c>
      <c r="R82" s="35" t="str">
        <f t="shared" ref="R82:R103" si="100">IF(S82=0,"",IF(OR(G82="PEON",G82="OF",G82="JARD",G82="CARP",G82="MAESTRO",G82="SOLD",G82="BGRO",G82="CHOFER",G82="AYTE",G82="S.INTTE.",G82="ASEO",G82="P.PISOS",G82="VELADOR",G82="RESID",G82="PINTOR",G82="ELECT",G82="AZULE",G82="AUX CONT.",G82="SECRETARIA",G82="AUXILIAR ADMTVO.",G82="ARQUITECTO",G82="DIBUJANTE",G82="AUX. DE RESIDENTE",G82="TOPOGRAFIA"),VLOOKUP(B82,P$14:Q$126,2),"")*S82)</f>
        <v/>
      </c>
      <c r="S82" s="98"/>
      <c r="T82" s="53" t="str">
        <f>IF(A82=0,"",VLOOKUP(A82,[3]CO!$A$3:$F$5318,5,0))</f>
        <v/>
      </c>
      <c r="U82" s="54">
        <f t="shared" si="93"/>
        <v>0</v>
      </c>
      <c r="V82" s="24"/>
      <c r="W82" s="25"/>
      <c r="X82" s="25"/>
      <c r="Y82" s="64" t="str">
        <f t="shared" si="94"/>
        <v/>
      </c>
      <c r="Z82" s="55" t="str">
        <f t="shared" si="94"/>
        <v/>
      </c>
      <c r="AA82" s="55" t="str">
        <f t="shared" si="94"/>
        <v/>
      </c>
      <c r="AB82" s="55" t="str">
        <f t="shared" si="94"/>
        <v/>
      </c>
      <c r="AC82" s="55" t="str">
        <f t="shared" si="94"/>
        <v/>
      </c>
      <c r="AD82" s="55" t="str">
        <f t="shared" si="94"/>
        <v/>
      </c>
      <c r="AE82" s="55" t="str">
        <f t="shared" si="94"/>
        <v/>
      </c>
      <c r="AF82" s="55" t="str">
        <f t="shared" si="94"/>
        <v/>
      </c>
      <c r="AG82" s="55" t="str">
        <f t="shared" si="94"/>
        <v/>
      </c>
      <c r="AH82" s="55" t="str">
        <f t="shared" si="94"/>
        <v/>
      </c>
      <c r="AI82" s="55" t="str">
        <f t="shared" si="94"/>
        <v/>
      </c>
      <c r="AJ82" s="55" t="str">
        <f t="shared" si="94"/>
        <v/>
      </c>
      <c r="AK82" s="55" t="str">
        <f t="shared" si="94"/>
        <v/>
      </c>
      <c r="AL82" s="55" t="str">
        <f t="shared" si="94"/>
        <v/>
      </c>
      <c r="AM82" s="55" t="str">
        <f t="shared" si="94"/>
        <v/>
      </c>
      <c r="AN82" s="55" t="str">
        <f t="shared" si="94"/>
        <v/>
      </c>
      <c r="AO82" s="55" t="str">
        <f t="shared" si="95"/>
        <v/>
      </c>
      <c r="AP82" s="55" t="str">
        <f t="shared" si="95"/>
        <v/>
      </c>
      <c r="AQ82" s="55" t="str">
        <f t="shared" si="95"/>
        <v/>
      </c>
      <c r="AR82" s="55" t="str">
        <f t="shared" si="95"/>
        <v/>
      </c>
      <c r="AS82" s="55" t="str">
        <f t="shared" si="95"/>
        <v/>
      </c>
      <c r="AT82" s="55" t="str">
        <f t="shared" si="95"/>
        <v/>
      </c>
      <c r="AU82" s="55" t="str">
        <f t="shared" si="95"/>
        <v/>
      </c>
      <c r="AV82" s="55" t="str">
        <f t="shared" si="95"/>
        <v/>
      </c>
      <c r="AW82" s="55" t="str">
        <f t="shared" si="95"/>
        <v/>
      </c>
      <c r="AX82" s="55" t="str">
        <f t="shared" si="95"/>
        <v/>
      </c>
      <c r="AY82" s="55" t="str">
        <f t="shared" si="95"/>
        <v/>
      </c>
      <c r="AZ82" s="55" t="str">
        <f t="shared" si="95"/>
        <v/>
      </c>
      <c r="BA82" s="55" t="str">
        <f t="shared" si="95"/>
        <v/>
      </c>
      <c r="BB82" s="55" t="str">
        <f t="shared" si="95"/>
        <v/>
      </c>
      <c r="BC82" s="55" t="str">
        <f t="shared" si="95"/>
        <v/>
      </c>
      <c r="BD82" s="55" t="str">
        <f t="shared" si="95"/>
        <v/>
      </c>
      <c r="BE82" s="55" t="str">
        <f t="shared" si="95"/>
        <v/>
      </c>
      <c r="BF82" s="55" t="str">
        <f t="shared" si="95"/>
        <v/>
      </c>
      <c r="BG82" s="55" t="str">
        <f t="shared" si="95"/>
        <v/>
      </c>
      <c r="BH82" s="55" t="str">
        <f t="shared" si="95"/>
        <v/>
      </c>
      <c r="BI82" s="55" t="str">
        <f t="shared" si="95"/>
        <v/>
      </c>
      <c r="BJ82" s="55" t="str">
        <f t="shared" si="95"/>
        <v/>
      </c>
      <c r="BK82" s="55" t="str">
        <f t="shared" si="95"/>
        <v/>
      </c>
      <c r="BL82" s="55" t="str">
        <f t="shared" si="95"/>
        <v/>
      </c>
      <c r="BM82" s="55" t="str">
        <f t="shared" si="95"/>
        <v/>
      </c>
      <c r="BN82" s="55" t="str">
        <f t="shared" si="95"/>
        <v/>
      </c>
      <c r="BO82" s="55" t="str">
        <f t="shared" si="95"/>
        <v/>
      </c>
      <c r="BP82" s="55" t="str">
        <f t="shared" si="95"/>
        <v/>
      </c>
      <c r="BQ82" s="55" t="str">
        <f t="shared" si="95"/>
        <v/>
      </c>
      <c r="BR82" s="55" t="str">
        <f t="shared" si="95"/>
        <v/>
      </c>
      <c r="BS82" s="55" t="str">
        <f t="shared" si="95"/>
        <v/>
      </c>
      <c r="BT82" s="55" t="str">
        <f t="shared" si="95"/>
        <v/>
      </c>
      <c r="BU82" s="55" t="str">
        <f t="shared" si="95"/>
        <v/>
      </c>
      <c r="BV82" s="55" t="str">
        <f t="shared" si="95"/>
        <v/>
      </c>
      <c r="BW82" s="55" t="str">
        <f t="shared" si="95"/>
        <v/>
      </c>
      <c r="BX82" s="55" t="str">
        <f t="shared" si="95"/>
        <v/>
      </c>
      <c r="BY82" s="55" t="str">
        <f t="shared" si="95"/>
        <v/>
      </c>
      <c r="BZ82" s="55" t="str">
        <f t="shared" si="95"/>
        <v/>
      </c>
      <c r="CA82" s="55" t="str">
        <f t="shared" si="95"/>
        <v/>
      </c>
      <c r="CB82" s="55" t="str">
        <f t="shared" si="95"/>
        <v/>
      </c>
      <c r="CC82" s="55" t="str">
        <f t="shared" si="95"/>
        <v/>
      </c>
      <c r="CD82" s="55" t="str">
        <f t="shared" si="95"/>
        <v/>
      </c>
      <c r="CE82" s="55" t="str">
        <f t="shared" si="95"/>
        <v/>
      </c>
      <c r="CF82" s="55" t="str">
        <f t="shared" si="95"/>
        <v/>
      </c>
      <c r="CG82" s="55" t="str">
        <f t="shared" si="95"/>
        <v/>
      </c>
      <c r="CH82" s="55" t="str">
        <f t="shared" si="95"/>
        <v/>
      </c>
      <c r="CI82" s="55" t="str">
        <f t="shared" si="95"/>
        <v/>
      </c>
      <c r="CJ82" s="55" t="str">
        <f t="shared" si="95"/>
        <v/>
      </c>
      <c r="CK82" s="55" t="str">
        <f t="shared" si="95"/>
        <v/>
      </c>
      <c r="CL82" s="55" t="str">
        <f t="shared" si="95"/>
        <v/>
      </c>
      <c r="CM82" s="55" t="str">
        <f t="shared" si="95"/>
        <v/>
      </c>
      <c r="CN82" s="55" t="str">
        <f t="shared" si="95"/>
        <v/>
      </c>
      <c r="CO82" s="55" t="str">
        <f t="shared" si="95"/>
        <v/>
      </c>
      <c r="CP82" s="55" t="str">
        <f t="shared" si="95"/>
        <v/>
      </c>
      <c r="CQ82" s="55" t="str">
        <f t="shared" si="95"/>
        <v/>
      </c>
      <c r="CR82" s="55" t="str">
        <f t="shared" si="95"/>
        <v/>
      </c>
      <c r="CS82" s="55" t="str">
        <f t="shared" si="95"/>
        <v/>
      </c>
      <c r="CT82" s="55" t="str">
        <f t="shared" si="95"/>
        <v/>
      </c>
      <c r="CU82" s="55" t="str">
        <f t="shared" si="95"/>
        <v/>
      </c>
      <c r="CV82" s="55" t="str">
        <f t="shared" si="95"/>
        <v/>
      </c>
      <c r="CW82" s="55" t="str">
        <f t="shared" si="95"/>
        <v/>
      </c>
      <c r="CX82" s="55" t="str">
        <f t="shared" si="95"/>
        <v/>
      </c>
      <c r="CY82" s="55" t="str">
        <f t="shared" si="95"/>
        <v/>
      </c>
      <c r="CZ82" s="55" t="str">
        <f t="shared" si="95"/>
        <v/>
      </c>
      <c r="DA82" s="55" t="str">
        <f t="shared" si="96"/>
        <v/>
      </c>
      <c r="DB82" s="55" t="str">
        <f t="shared" si="96"/>
        <v/>
      </c>
      <c r="DC82" s="55" t="str">
        <f t="shared" si="96"/>
        <v/>
      </c>
      <c r="DD82" s="55" t="str">
        <f t="shared" si="96"/>
        <v/>
      </c>
      <c r="DE82" s="55" t="str">
        <f t="shared" si="96"/>
        <v/>
      </c>
      <c r="DF82" s="55" t="str">
        <f t="shared" si="96"/>
        <v/>
      </c>
      <c r="DG82" s="55" t="str">
        <f t="shared" si="96"/>
        <v/>
      </c>
      <c r="DH82" s="55" t="str">
        <f t="shared" si="96"/>
        <v/>
      </c>
      <c r="DI82" s="55" t="str">
        <f t="shared" si="96"/>
        <v/>
      </c>
      <c r="DJ82" s="55" t="str">
        <f t="shared" si="96"/>
        <v/>
      </c>
      <c r="DK82" s="55" t="str">
        <f t="shared" si="96"/>
        <v/>
      </c>
      <c r="DL82" s="55" t="str">
        <f t="shared" si="96"/>
        <v/>
      </c>
      <c r="DM82" s="55" t="str">
        <f t="shared" si="96"/>
        <v/>
      </c>
      <c r="DN82" s="55" t="str">
        <f t="shared" si="96"/>
        <v/>
      </c>
      <c r="DO82" s="55" t="str">
        <f t="shared" si="96"/>
        <v/>
      </c>
      <c r="DP82" s="55" t="str">
        <f t="shared" si="96"/>
        <v/>
      </c>
      <c r="DQ82" s="55" t="str">
        <f t="shared" si="96"/>
        <v/>
      </c>
      <c r="DR82" s="55" t="str">
        <f t="shared" si="96"/>
        <v/>
      </c>
      <c r="DS82" s="55" t="str">
        <f t="shared" si="96"/>
        <v/>
      </c>
      <c r="DT82" s="110" t="str">
        <f t="shared" si="96"/>
        <v/>
      </c>
      <c r="DU82" s="54"/>
      <c r="DV82" s="25"/>
      <c r="DW82" s="61" t="str">
        <f t="shared" si="97"/>
        <v/>
      </c>
      <c r="DX82" s="50" t="str">
        <f t="shared" si="97"/>
        <v/>
      </c>
      <c r="DY82" s="50" t="str">
        <f t="shared" si="97"/>
        <v/>
      </c>
      <c r="DZ82" s="50" t="str">
        <f t="shared" si="97"/>
        <v/>
      </c>
      <c r="EA82" s="50" t="str">
        <f t="shared" si="97"/>
        <v/>
      </c>
      <c r="EB82" s="50" t="str">
        <f t="shared" si="97"/>
        <v/>
      </c>
      <c r="EC82" s="50" t="str">
        <f t="shared" si="97"/>
        <v/>
      </c>
      <c r="ED82" s="50" t="str">
        <f t="shared" si="97"/>
        <v/>
      </c>
      <c r="EE82" s="50" t="str">
        <f t="shared" si="97"/>
        <v/>
      </c>
      <c r="EF82" s="50" t="str">
        <f t="shared" si="97"/>
        <v/>
      </c>
      <c r="EG82" s="50" t="str">
        <f t="shared" si="97"/>
        <v/>
      </c>
      <c r="EH82" s="50" t="str">
        <f t="shared" si="97"/>
        <v/>
      </c>
      <c r="EI82" s="50" t="str">
        <f t="shared" si="97"/>
        <v/>
      </c>
      <c r="EJ82" s="50" t="str">
        <f t="shared" si="97"/>
        <v/>
      </c>
      <c r="EK82" s="50" t="str">
        <f t="shared" si="97"/>
        <v/>
      </c>
      <c r="EL82" s="50" t="str">
        <f t="shared" si="97"/>
        <v/>
      </c>
      <c r="EM82" s="50" t="str">
        <f t="shared" si="98"/>
        <v/>
      </c>
      <c r="EN82" s="50" t="str">
        <f t="shared" si="98"/>
        <v/>
      </c>
      <c r="EO82" s="50" t="str">
        <f t="shared" si="98"/>
        <v/>
      </c>
      <c r="EP82" s="50" t="str">
        <f t="shared" si="98"/>
        <v/>
      </c>
      <c r="EQ82" s="50" t="str">
        <f t="shared" si="98"/>
        <v/>
      </c>
      <c r="ER82" s="50" t="str">
        <f t="shared" si="98"/>
        <v/>
      </c>
      <c r="ES82" s="50" t="str">
        <f t="shared" si="98"/>
        <v/>
      </c>
      <c r="ET82" s="50" t="str">
        <f t="shared" si="98"/>
        <v/>
      </c>
      <c r="EU82" s="50" t="str">
        <f t="shared" si="98"/>
        <v/>
      </c>
      <c r="EV82" s="50" t="str">
        <f t="shared" si="98"/>
        <v/>
      </c>
      <c r="EW82" s="50" t="str">
        <f t="shared" si="98"/>
        <v/>
      </c>
      <c r="EX82" s="50" t="str">
        <f t="shared" si="98"/>
        <v/>
      </c>
      <c r="EY82" s="50" t="str">
        <f t="shared" si="98"/>
        <v/>
      </c>
      <c r="EZ82" s="50" t="str">
        <f t="shared" si="98"/>
        <v/>
      </c>
      <c r="FA82" s="50" t="str">
        <f t="shared" si="98"/>
        <v/>
      </c>
      <c r="FB82" s="50" t="str">
        <f t="shared" si="98"/>
        <v/>
      </c>
      <c r="FC82" s="50" t="str">
        <f t="shared" si="98"/>
        <v/>
      </c>
      <c r="FD82" s="50" t="str">
        <f t="shared" si="98"/>
        <v/>
      </c>
      <c r="FE82" s="50" t="str">
        <f t="shared" si="98"/>
        <v/>
      </c>
      <c r="FF82" s="50" t="str">
        <f t="shared" si="98"/>
        <v/>
      </c>
      <c r="FG82" s="50" t="str">
        <f t="shared" si="98"/>
        <v/>
      </c>
      <c r="FH82" s="50" t="str">
        <f t="shared" si="98"/>
        <v/>
      </c>
      <c r="FI82" s="50" t="str">
        <f t="shared" si="98"/>
        <v/>
      </c>
      <c r="FJ82" s="50" t="str">
        <f t="shared" si="98"/>
        <v/>
      </c>
      <c r="FK82" s="50" t="str">
        <f t="shared" si="98"/>
        <v/>
      </c>
      <c r="FL82" s="50" t="str">
        <f t="shared" si="98"/>
        <v/>
      </c>
      <c r="FM82" s="50" t="str">
        <f t="shared" si="98"/>
        <v/>
      </c>
      <c r="FN82" s="50" t="str">
        <f t="shared" si="98"/>
        <v/>
      </c>
      <c r="FO82" s="50" t="str">
        <f t="shared" si="98"/>
        <v/>
      </c>
      <c r="FP82" s="50" t="str">
        <f t="shared" si="98"/>
        <v/>
      </c>
      <c r="FQ82" s="50" t="str">
        <f t="shared" si="98"/>
        <v/>
      </c>
      <c r="FR82" s="50" t="str">
        <f t="shared" si="98"/>
        <v/>
      </c>
      <c r="FS82" s="50" t="str">
        <f t="shared" si="98"/>
        <v/>
      </c>
      <c r="FT82" s="50" t="str">
        <f t="shared" si="98"/>
        <v/>
      </c>
      <c r="FU82" s="50" t="str">
        <f t="shared" si="98"/>
        <v/>
      </c>
      <c r="FV82" s="50" t="str">
        <f t="shared" si="98"/>
        <v/>
      </c>
      <c r="FW82" s="50" t="str">
        <f t="shared" si="98"/>
        <v/>
      </c>
      <c r="FX82" s="50" t="str">
        <f t="shared" si="98"/>
        <v/>
      </c>
      <c r="FY82" s="50" t="str">
        <f t="shared" si="98"/>
        <v/>
      </c>
      <c r="FZ82" s="50" t="str">
        <f t="shared" si="98"/>
        <v/>
      </c>
      <c r="GA82" s="50" t="str">
        <f t="shared" si="98"/>
        <v/>
      </c>
      <c r="GB82" s="50" t="str">
        <f t="shared" si="98"/>
        <v/>
      </c>
      <c r="GC82" s="50" t="str">
        <f t="shared" si="98"/>
        <v/>
      </c>
      <c r="GD82" s="50" t="str">
        <f t="shared" si="98"/>
        <v/>
      </c>
      <c r="GE82" s="50" t="str">
        <f t="shared" si="98"/>
        <v/>
      </c>
      <c r="GF82" s="50" t="str">
        <f t="shared" si="98"/>
        <v/>
      </c>
      <c r="GG82" s="50" t="str">
        <f t="shared" si="98"/>
        <v/>
      </c>
      <c r="GH82" s="50" t="str">
        <f t="shared" si="98"/>
        <v/>
      </c>
      <c r="GI82" s="50" t="str">
        <f t="shared" si="98"/>
        <v/>
      </c>
      <c r="GJ82" s="50" t="str">
        <f t="shared" si="98"/>
        <v/>
      </c>
      <c r="GK82" s="50" t="str">
        <f t="shared" si="98"/>
        <v/>
      </c>
      <c r="GL82" s="50" t="str">
        <f t="shared" si="98"/>
        <v/>
      </c>
      <c r="GM82" s="50" t="str">
        <f t="shared" si="98"/>
        <v/>
      </c>
      <c r="GN82" s="50" t="str">
        <f t="shared" si="98"/>
        <v/>
      </c>
      <c r="GO82" s="50" t="str">
        <f t="shared" si="98"/>
        <v/>
      </c>
      <c r="GP82" s="50" t="str">
        <f t="shared" si="98"/>
        <v/>
      </c>
      <c r="GQ82" s="50" t="str">
        <f t="shared" si="98"/>
        <v/>
      </c>
      <c r="GR82" s="50" t="str">
        <f t="shared" si="98"/>
        <v/>
      </c>
      <c r="GS82" s="50" t="str">
        <f t="shared" si="98"/>
        <v/>
      </c>
      <c r="GT82" s="50" t="str">
        <f t="shared" si="98"/>
        <v/>
      </c>
      <c r="GU82" s="50" t="str">
        <f t="shared" si="98"/>
        <v/>
      </c>
      <c r="GV82" s="50" t="str">
        <f t="shared" si="98"/>
        <v/>
      </c>
      <c r="GW82" s="50" t="str">
        <f t="shared" si="98"/>
        <v/>
      </c>
      <c r="GX82" s="50" t="str">
        <f t="shared" si="98"/>
        <v/>
      </c>
      <c r="GY82" s="50" t="str">
        <f t="shared" si="99"/>
        <v/>
      </c>
      <c r="GZ82" s="50" t="str">
        <f t="shared" si="99"/>
        <v/>
      </c>
      <c r="HA82" s="50" t="str">
        <f t="shared" si="99"/>
        <v/>
      </c>
      <c r="HB82" s="50" t="str">
        <f t="shared" si="99"/>
        <v/>
      </c>
      <c r="HC82" s="50" t="str">
        <f t="shared" si="99"/>
        <v/>
      </c>
      <c r="HD82" s="50" t="str">
        <f t="shared" si="99"/>
        <v/>
      </c>
      <c r="HE82" s="50" t="str">
        <f t="shared" si="99"/>
        <v/>
      </c>
      <c r="HF82" s="50" t="str">
        <f t="shared" si="99"/>
        <v/>
      </c>
      <c r="HG82" s="50" t="str">
        <f t="shared" si="99"/>
        <v/>
      </c>
      <c r="HH82" s="50" t="str">
        <f t="shared" si="99"/>
        <v/>
      </c>
      <c r="HI82" s="50" t="str">
        <f t="shared" si="99"/>
        <v/>
      </c>
      <c r="HJ82" s="50" t="str">
        <f t="shared" si="99"/>
        <v/>
      </c>
      <c r="HK82" s="50" t="str">
        <f t="shared" si="99"/>
        <v/>
      </c>
      <c r="HL82" s="50" t="str">
        <f t="shared" si="99"/>
        <v/>
      </c>
      <c r="HM82" s="50" t="str">
        <f t="shared" si="99"/>
        <v/>
      </c>
      <c r="HN82" s="50" t="str">
        <f t="shared" si="99"/>
        <v/>
      </c>
      <c r="HO82" s="50" t="str">
        <f t="shared" si="99"/>
        <v/>
      </c>
      <c r="HP82" s="50" t="str">
        <f t="shared" si="99"/>
        <v/>
      </c>
      <c r="HQ82" s="50" t="str">
        <f t="shared" si="99"/>
        <v/>
      </c>
      <c r="HR82" s="116" t="str">
        <f t="shared" si="99"/>
        <v/>
      </c>
    </row>
    <row r="83" spans="1:226" ht="11.15" customHeight="1" x14ac:dyDescent="0.25">
      <c r="A83" s="26"/>
      <c r="B83" s="27"/>
      <c r="C83" s="28" t="str">
        <f>IF(A83=0,"",VLOOKUP(A83,[3]CO!$A$3:$F$5327,2,0))</f>
        <v/>
      </c>
      <c r="D83" s="29"/>
      <c r="E83" s="29"/>
      <c r="F83" s="29"/>
      <c r="G83" s="30" t="str">
        <f>IF(A83=0,"",VLOOKUP(A83,[3]CO!$A$3:$F$5327,3,0))</f>
        <v/>
      </c>
      <c r="H83" s="95"/>
      <c r="I83" s="31"/>
      <c r="J83" s="31"/>
      <c r="K83" s="31"/>
      <c r="L83" s="31"/>
      <c r="M83" s="32" t="str">
        <f t="shared" si="91"/>
        <v/>
      </c>
      <c r="N83" s="32" t="str">
        <f>IF(B83=0,"",IF(H83="M",HLOOKUP(B83,$Y$12:$DT$13,2),IF(A83=0,"",VLOOKUP(A83,[3]CO!$A$3:$F$5327,4,0))))</f>
        <v/>
      </c>
      <c r="O83" s="32" t="str">
        <f t="shared" si="11"/>
        <v/>
      </c>
      <c r="P83" s="33"/>
      <c r="Q83" s="34" t="str">
        <f t="shared" si="92"/>
        <v/>
      </c>
      <c r="R83" s="35" t="str">
        <f t="shared" si="100"/>
        <v/>
      </c>
      <c r="S83" s="98"/>
      <c r="T83" s="53" t="str">
        <f>IF(A83=0,"",VLOOKUP(A83,[3]CO!$A$3:$F$5318,5,0))</f>
        <v/>
      </c>
      <c r="U83" s="54">
        <f t="shared" si="93"/>
        <v>0</v>
      </c>
      <c r="V83" s="24"/>
      <c r="W83" s="25"/>
      <c r="X83" s="25"/>
      <c r="Y83" s="64" t="str">
        <f t="shared" si="94"/>
        <v/>
      </c>
      <c r="Z83" s="55" t="str">
        <f t="shared" si="94"/>
        <v/>
      </c>
      <c r="AA83" s="55" t="str">
        <f t="shared" si="94"/>
        <v/>
      </c>
      <c r="AB83" s="55" t="str">
        <f t="shared" si="94"/>
        <v/>
      </c>
      <c r="AC83" s="55" t="str">
        <f t="shared" si="94"/>
        <v/>
      </c>
      <c r="AD83" s="55" t="str">
        <f t="shared" si="94"/>
        <v/>
      </c>
      <c r="AE83" s="55" t="str">
        <f t="shared" si="94"/>
        <v/>
      </c>
      <c r="AF83" s="55" t="str">
        <f t="shared" si="94"/>
        <v/>
      </c>
      <c r="AG83" s="55" t="str">
        <f t="shared" si="94"/>
        <v/>
      </c>
      <c r="AH83" s="55" t="str">
        <f t="shared" si="94"/>
        <v/>
      </c>
      <c r="AI83" s="55" t="str">
        <f t="shared" si="94"/>
        <v/>
      </c>
      <c r="AJ83" s="55" t="str">
        <f t="shared" si="94"/>
        <v/>
      </c>
      <c r="AK83" s="55" t="str">
        <f t="shared" si="94"/>
        <v/>
      </c>
      <c r="AL83" s="55" t="str">
        <f t="shared" si="94"/>
        <v/>
      </c>
      <c r="AM83" s="55" t="str">
        <f t="shared" si="94"/>
        <v/>
      </c>
      <c r="AN83" s="55" t="str">
        <f t="shared" si="94"/>
        <v/>
      </c>
      <c r="AO83" s="55" t="str">
        <f t="shared" si="95"/>
        <v/>
      </c>
      <c r="AP83" s="55" t="str">
        <f t="shared" si="95"/>
        <v/>
      </c>
      <c r="AQ83" s="55" t="str">
        <f t="shared" si="95"/>
        <v/>
      </c>
      <c r="AR83" s="55" t="str">
        <f t="shared" si="95"/>
        <v/>
      </c>
      <c r="AS83" s="55" t="str">
        <f t="shared" si="95"/>
        <v/>
      </c>
      <c r="AT83" s="55" t="str">
        <f t="shared" si="95"/>
        <v/>
      </c>
      <c r="AU83" s="55" t="str">
        <f t="shared" si="95"/>
        <v/>
      </c>
      <c r="AV83" s="55" t="str">
        <f t="shared" si="95"/>
        <v/>
      </c>
      <c r="AW83" s="55" t="str">
        <f t="shared" si="95"/>
        <v/>
      </c>
      <c r="AX83" s="55" t="str">
        <f t="shared" si="95"/>
        <v/>
      </c>
      <c r="AY83" s="55" t="str">
        <f t="shared" si="95"/>
        <v/>
      </c>
      <c r="AZ83" s="55" t="str">
        <f t="shared" si="95"/>
        <v/>
      </c>
      <c r="BA83" s="55" t="str">
        <f t="shared" si="95"/>
        <v/>
      </c>
      <c r="BB83" s="55" t="str">
        <f t="shared" si="95"/>
        <v/>
      </c>
      <c r="BC83" s="55" t="str">
        <f t="shared" si="95"/>
        <v/>
      </c>
      <c r="BD83" s="55" t="str">
        <f t="shared" si="95"/>
        <v/>
      </c>
      <c r="BE83" s="55" t="str">
        <f t="shared" si="95"/>
        <v/>
      </c>
      <c r="BF83" s="55" t="str">
        <f t="shared" si="95"/>
        <v/>
      </c>
      <c r="BG83" s="55" t="str">
        <f t="shared" si="95"/>
        <v/>
      </c>
      <c r="BH83" s="55" t="str">
        <f t="shared" si="95"/>
        <v/>
      </c>
      <c r="BI83" s="55" t="str">
        <f t="shared" si="95"/>
        <v/>
      </c>
      <c r="BJ83" s="55" t="str">
        <f t="shared" si="95"/>
        <v/>
      </c>
      <c r="BK83" s="55" t="str">
        <f t="shared" si="95"/>
        <v/>
      </c>
      <c r="BL83" s="55" t="str">
        <f t="shared" si="95"/>
        <v/>
      </c>
      <c r="BM83" s="55" t="str">
        <f t="shared" si="95"/>
        <v/>
      </c>
      <c r="BN83" s="55" t="str">
        <f t="shared" si="95"/>
        <v/>
      </c>
      <c r="BO83" s="55" t="str">
        <f t="shared" si="95"/>
        <v/>
      </c>
      <c r="BP83" s="55" t="str">
        <f t="shared" si="95"/>
        <v/>
      </c>
      <c r="BQ83" s="55" t="str">
        <f t="shared" si="95"/>
        <v/>
      </c>
      <c r="BR83" s="55" t="str">
        <f t="shared" si="95"/>
        <v/>
      </c>
      <c r="BS83" s="55" t="str">
        <f t="shared" si="95"/>
        <v/>
      </c>
      <c r="BT83" s="55" t="str">
        <f t="shared" si="95"/>
        <v/>
      </c>
      <c r="BU83" s="55" t="str">
        <f t="shared" si="95"/>
        <v/>
      </c>
      <c r="BV83" s="55" t="str">
        <f t="shared" si="95"/>
        <v/>
      </c>
      <c r="BW83" s="55" t="str">
        <f t="shared" si="95"/>
        <v/>
      </c>
      <c r="BX83" s="55" t="str">
        <f t="shared" si="95"/>
        <v/>
      </c>
      <c r="BY83" s="55" t="str">
        <f t="shared" si="95"/>
        <v/>
      </c>
      <c r="BZ83" s="55" t="str">
        <f t="shared" si="95"/>
        <v/>
      </c>
      <c r="CA83" s="55" t="str">
        <f t="shared" si="95"/>
        <v/>
      </c>
      <c r="CB83" s="55" t="str">
        <f t="shared" si="95"/>
        <v/>
      </c>
      <c r="CC83" s="55" t="str">
        <f t="shared" si="95"/>
        <v/>
      </c>
      <c r="CD83" s="55" t="str">
        <f t="shared" si="95"/>
        <v/>
      </c>
      <c r="CE83" s="55" t="str">
        <f t="shared" si="95"/>
        <v/>
      </c>
      <c r="CF83" s="55" t="str">
        <f t="shared" si="95"/>
        <v/>
      </c>
      <c r="CG83" s="55" t="str">
        <f t="shared" si="95"/>
        <v/>
      </c>
      <c r="CH83" s="55" t="str">
        <f t="shared" si="95"/>
        <v/>
      </c>
      <c r="CI83" s="55" t="str">
        <f t="shared" si="95"/>
        <v/>
      </c>
      <c r="CJ83" s="55" t="str">
        <f t="shared" si="95"/>
        <v/>
      </c>
      <c r="CK83" s="55" t="str">
        <f t="shared" si="95"/>
        <v/>
      </c>
      <c r="CL83" s="55" t="str">
        <f t="shared" si="95"/>
        <v/>
      </c>
      <c r="CM83" s="55" t="str">
        <f t="shared" si="95"/>
        <v/>
      </c>
      <c r="CN83" s="55" t="str">
        <f t="shared" si="95"/>
        <v/>
      </c>
      <c r="CO83" s="55" t="str">
        <f t="shared" si="95"/>
        <v/>
      </c>
      <c r="CP83" s="55" t="str">
        <f t="shared" si="95"/>
        <v/>
      </c>
      <c r="CQ83" s="55" t="str">
        <f t="shared" si="95"/>
        <v/>
      </c>
      <c r="CR83" s="55" t="str">
        <f t="shared" si="95"/>
        <v/>
      </c>
      <c r="CS83" s="55" t="str">
        <f t="shared" si="95"/>
        <v/>
      </c>
      <c r="CT83" s="55" t="str">
        <f t="shared" si="95"/>
        <v/>
      </c>
      <c r="CU83" s="55" t="str">
        <f t="shared" si="95"/>
        <v/>
      </c>
      <c r="CV83" s="55" t="str">
        <f t="shared" si="95"/>
        <v/>
      </c>
      <c r="CW83" s="55" t="str">
        <f t="shared" si="95"/>
        <v/>
      </c>
      <c r="CX83" s="55" t="str">
        <f t="shared" si="95"/>
        <v/>
      </c>
      <c r="CY83" s="55" t="str">
        <f t="shared" si="95"/>
        <v/>
      </c>
      <c r="CZ83" s="55" t="str">
        <f t="shared" ref="CZ83:DO103" si="101">IF($B83=CZ$12,$U83,"")</f>
        <v/>
      </c>
      <c r="DA83" s="55" t="str">
        <f t="shared" si="101"/>
        <v/>
      </c>
      <c r="DB83" s="55" t="str">
        <f t="shared" si="101"/>
        <v/>
      </c>
      <c r="DC83" s="55" t="str">
        <f t="shared" si="101"/>
        <v/>
      </c>
      <c r="DD83" s="55" t="str">
        <f t="shared" si="101"/>
        <v/>
      </c>
      <c r="DE83" s="55" t="str">
        <f t="shared" si="101"/>
        <v/>
      </c>
      <c r="DF83" s="55" t="str">
        <f t="shared" si="101"/>
        <v/>
      </c>
      <c r="DG83" s="55" t="str">
        <f t="shared" si="101"/>
        <v/>
      </c>
      <c r="DH83" s="55" t="str">
        <f t="shared" si="101"/>
        <v/>
      </c>
      <c r="DI83" s="55" t="str">
        <f t="shared" si="101"/>
        <v/>
      </c>
      <c r="DJ83" s="55" t="str">
        <f t="shared" si="101"/>
        <v/>
      </c>
      <c r="DK83" s="55" t="str">
        <f t="shared" si="101"/>
        <v/>
      </c>
      <c r="DL83" s="55" t="str">
        <f t="shared" si="101"/>
        <v/>
      </c>
      <c r="DM83" s="55" t="str">
        <f t="shared" si="101"/>
        <v/>
      </c>
      <c r="DN83" s="55" t="str">
        <f t="shared" si="101"/>
        <v/>
      </c>
      <c r="DO83" s="55" t="str">
        <f t="shared" si="101"/>
        <v/>
      </c>
      <c r="DP83" s="55" t="str">
        <f t="shared" si="96"/>
        <v/>
      </c>
      <c r="DQ83" s="55" t="str">
        <f t="shared" si="96"/>
        <v/>
      </c>
      <c r="DR83" s="55" t="str">
        <f t="shared" si="96"/>
        <v/>
      </c>
      <c r="DS83" s="55" t="str">
        <f t="shared" si="96"/>
        <v/>
      </c>
      <c r="DT83" s="110" t="str">
        <f t="shared" si="96"/>
        <v/>
      </c>
      <c r="DU83" s="54"/>
      <c r="DV83" s="25"/>
      <c r="DW83" s="61" t="str">
        <f t="shared" si="97"/>
        <v/>
      </c>
      <c r="DX83" s="50" t="str">
        <f t="shared" si="97"/>
        <v/>
      </c>
      <c r="DY83" s="50" t="str">
        <f t="shared" si="97"/>
        <v/>
      </c>
      <c r="DZ83" s="50" t="str">
        <f t="shared" si="97"/>
        <v/>
      </c>
      <c r="EA83" s="50" t="str">
        <f t="shared" si="97"/>
        <v/>
      </c>
      <c r="EB83" s="50" t="str">
        <f t="shared" si="97"/>
        <v/>
      </c>
      <c r="EC83" s="50" t="str">
        <f t="shared" si="97"/>
        <v/>
      </c>
      <c r="ED83" s="50" t="str">
        <f t="shared" si="97"/>
        <v/>
      </c>
      <c r="EE83" s="50" t="str">
        <f t="shared" si="97"/>
        <v/>
      </c>
      <c r="EF83" s="50" t="str">
        <f t="shared" si="97"/>
        <v/>
      </c>
      <c r="EG83" s="50" t="str">
        <f t="shared" si="97"/>
        <v/>
      </c>
      <c r="EH83" s="50" t="str">
        <f t="shared" si="97"/>
        <v/>
      </c>
      <c r="EI83" s="50" t="str">
        <f t="shared" si="97"/>
        <v/>
      </c>
      <c r="EJ83" s="50" t="str">
        <f t="shared" si="97"/>
        <v/>
      </c>
      <c r="EK83" s="50" t="str">
        <f t="shared" si="97"/>
        <v/>
      </c>
      <c r="EL83" s="50" t="str">
        <f t="shared" si="97"/>
        <v/>
      </c>
      <c r="EM83" s="50" t="str">
        <f t="shared" si="98"/>
        <v/>
      </c>
      <c r="EN83" s="50" t="str">
        <f t="shared" si="98"/>
        <v/>
      </c>
      <c r="EO83" s="50" t="str">
        <f t="shared" si="98"/>
        <v/>
      </c>
      <c r="EP83" s="50" t="str">
        <f t="shared" si="98"/>
        <v/>
      </c>
      <c r="EQ83" s="50" t="str">
        <f t="shared" si="98"/>
        <v/>
      </c>
      <c r="ER83" s="50" t="str">
        <f t="shared" si="98"/>
        <v/>
      </c>
      <c r="ES83" s="50" t="str">
        <f t="shared" si="98"/>
        <v/>
      </c>
      <c r="ET83" s="50" t="str">
        <f t="shared" si="98"/>
        <v/>
      </c>
      <c r="EU83" s="50" t="str">
        <f t="shared" si="98"/>
        <v/>
      </c>
      <c r="EV83" s="50" t="str">
        <f t="shared" si="98"/>
        <v/>
      </c>
      <c r="EW83" s="50" t="str">
        <f t="shared" si="98"/>
        <v/>
      </c>
      <c r="EX83" s="50" t="str">
        <f t="shared" si="98"/>
        <v/>
      </c>
      <c r="EY83" s="50" t="str">
        <f t="shared" si="98"/>
        <v/>
      </c>
      <c r="EZ83" s="50" t="str">
        <f t="shared" si="98"/>
        <v/>
      </c>
      <c r="FA83" s="50" t="str">
        <f t="shared" si="98"/>
        <v/>
      </c>
      <c r="FB83" s="50" t="str">
        <f t="shared" si="98"/>
        <v/>
      </c>
      <c r="FC83" s="50" t="str">
        <f t="shared" si="98"/>
        <v/>
      </c>
      <c r="FD83" s="50" t="str">
        <f t="shared" si="98"/>
        <v/>
      </c>
      <c r="FE83" s="50" t="str">
        <f t="shared" si="98"/>
        <v/>
      </c>
      <c r="FF83" s="50" t="str">
        <f t="shared" si="98"/>
        <v/>
      </c>
      <c r="FG83" s="50" t="str">
        <f t="shared" si="98"/>
        <v/>
      </c>
      <c r="FH83" s="50" t="str">
        <f t="shared" si="98"/>
        <v/>
      </c>
      <c r="FI83" s="50" t="str">
        <f t="shared" si="98"/>
        <v/>
      </c>
      <c r="FJ83" s="50" t="str">
        <f t="shared" si="98"/>
        <v/>
      </c>
      <c r="FK83" s="50" t="str">
        <f t="shared" si="98"/>
        <v/>
      </c>
      <c r="FL83" s="50" t="str">
        <f t="shared" si="98"/>
        <v/>
      </c>
      <c r="FM83" s="50" t="str">
        <f t="shared" si="98"/>
        <v/>
      </c>
      <c r="FN83" s="50" t="str">
        <f t="shared" si="98"/>
        <v/>
      </c>
      <c r="FO83" s="50" t="str">
        <f t="shared" si="98"/>
        <v/>
      </c>
      <c r="FP83" s="50" t="str">
        <f t="shared" si="98"/>
        <v/>
      </c>
      <c r="FQ83" s="50" t="str">
        <f t="shared" si="98"/>
        <v/>
      </c>
      <c r="FR83" s="50" t="str">
        <f t="shared" si="98"/>
        <v/>
      </c>
      <c r="FS83" s="50" t="str">
        <f t="shared" si="98"/>
        <v/>
      </c>
      <c r="FT83" s="50" t="str">
        <f t="shared" si="98"/>
        <v/>
      </c>
      <c r="FU83" s="50" t="str">
        <f t="shared" si="98"/>
        <v/>
      </c>
      <c r="FV83" s="50" t="str">
        <f t="shared" si="98"/>
        <v/>
      </c>
      <c r="FW83" s="50" t="str">
        <f t="shared" si="98"/>
        <v/>
      </c>
      <c r="FX83" s="50" t="str">
        <f t="shared" si="98"/>
        <v/>
      </c>
      <c r="FY83" s="50" t="str">
        <f t="shared" si="98"/>
        <v/>
      </c>
      <c r="FZ83" s="50" t="str">
        <f t="shared" si="98"/>
        <v/>
      </c>
      <c r="GA83" s="50" t="str">
        <f t="shared" si="98"/>
        <v/>
      </c>
      <c r="GB83" s="50" t="str">
        <f t="shared" si="98"/>
        <v/>
      </c>
      <c r="GC83" s="50" t="str">
        <f t="shared" si="98"/>
        <v/>
      </c>
      <c r="GD83" s="50" t="str">
        <f t="shared" si="98"/>
        <v/>
      </c>
      <c r="GE83" s="50" t="str">
        <f t="shared" si="98"/>
        <v/>
      </c>
      <c r="GF83" s="50" t="str">
        <f t="shared" si="98"/>
        <v/>
      </c>
      <c r="GG83" s="50" t="str">
        <f t="shared" si="98"/>
        <v/>
      </c>
      <c r="GH83" s="50" t="str">
        <f t="shared" si="98"/>
        <v/>
      </c>
      <c r="GI83" s="50" t="str">
        <f t="shared" si="98"/>
        <v/>
      </c>
      <c r="GJ83" s="50" t="str">
        <f t="shared" si="98"/>
        <v/>
      </c>
      <c r="GK83" s="50" t="str">
        <f t="shared" si="98"/>
        <v/>
      </c>
      <c r="GL83" s="50" t="str">
        <f t="shared" si="98"/>
        <v/>
      </c>
      <c r="GM83" s="50" t="str">
        <f t="shared" si="98"/>
        <v/>
      </c>
      <c r="GN83" s="50" t="str">
        <f t="shared" si="98"/>
        <v/>
      </c>
      <c r="GO83" s="50" t="str">
        <f t="shared" si="98"/>
        <v/>
      </c>
      <c r="GP83" s="50" t="str">
        <f t="shared" si="98"/>
        <v/>
      </c>
      <c r="GQ83" s="50" t="str">
        <f t="shared" si="98"/>
        <v/>
      </c>
      <c r="GR83" s="50" t="str">
        <f t="shared" si="98"/>
        <v/>
      </c>
      <c r="GS83" s="50" t="str">
        <f t="shared" si="98"/>
        <v/>
      </c>
      <c r="GT83" s="50" t="str">
        <f t="shared" si="98"/>
        <v/>
      </c>
      <c r="GU83" s="50" t="str">
        <f t="shared" si="98"/>
        <v/>
      </c>
      <c r="GV83" s="50" t="str">
        <f t="shared" si="98"/>
        <v/>
      </c>
      <c r="GW83" s="50" t="str">
        <f t="shared" si="98"/>
        <v/>
      </c>
      <c r="GX83" s="50" t="str">
        <f t="shared" ref="GX83:HF85" si="102">IF($B83=GX$12,$O83,"")</f>
        <v/>
      </c>
      <c r="GY83" s="50" t="str">
        <f t="shared" si="102"/>
        <v/>
      </c>
      <c r="GZ83" s="50" t="str">
        <f t="shared" si="102"/>
        <v/>
      </c>
      <c r="HA83" s="50" t="str">
        <f t="shared" si="102"/>
        <v/>
      </c>
      <c r="HB83" s="50" t="str">
        <f t="shared" si="102"/>
        <v/>
      </c>
      <c r="HC83" s="50" t="str">
        <f t="shared" si="102"/>
        <v/>
      </c>
      <c r="HD83" s="50" t="str">
        <f t="shared" si="102"/>
        <v/>
      </c>
      <c r="HE83" s="50" t="str">
        <f t="shared" si="102"/>
        <v/>
      </c>
      <c r="HF83" s="50" t="str">
        <f t="shared" si="102"/>
        <v/>
      </c>
      <c r="HG83" s="50" t="str">
        <f t="shared" si="99"/>
        <v/>
      </c>
      <c r="HH83" s="50" t="str">
        <f t="shared" si="99"/>
        <v/>
      </c>
      <c r="HI83" s="50" t="str">
        <f t="shared" si="99"/>
        <v/>
      </c>
      <c r="HJ83" s="50" t="str">
        <f t="shared" si="99"/>
        <v/>
      </c>
      <c r="HK83" s="50" t="str">
        <f t="shared" si="99"/>
        <v/>
      </c>
      <c r="HL83" s="50" t="str">
        <f t="shared" si="99"/>
        <v/>
      </c>
      <c r="HM83" s="50" t="str">
        <f t="shared" si="99"/>
        <v/>
      </c>
      <c r="HN83" s="50" t="str">
        <f t="shared" si="99"/>
        <v/>
      </c>
      <c r="HO83" s="50" t="str">
        <f t="shared" si="99"/>
        <v/>
      </c>
      <c r="HP83" s="50" t="str">
        <f t="shared" si="99"/>
        <v/>
      </c>
      <c r="HQ83" s="50" t="str">
        <f t="shared" si="99"/>
        <v/>
      </c>
      <c r="HR83" s="116" t="str">
        <f t="shared" si="99"/>
        <v/>
      </c>
    </row>
    <row r="84" spans="1:226" ht="11.15" customHeight="1" x14ac:dyDescent="0.25">
      <c r="A84" s="26"/>
      <c r="B84" s="27"/>
      <c r="C84" s="28" t="str">
        <f>IF(A84=0,"",VLOOKUP(A84,[3]CO!$A$3:$F$5327,2,0))</f>
        <v/>
      </c>
      <c r="D84" s="29"/>
      <c r="E84" s="29"/>
      <c r="F84" s="29"/>
      <c r="G84" s="30" t="str">
        <f>IF(A84=0,"",VLOOKUP(A84,[3]CO!$A$3:$F$5327,3,0))</f>
        <v/>
      </c>
      <c r="H84" s="95"/>
      <c r="I84" s="31"/>
      <c r="J84" s="31"/>
      <c r="K84" s="31"/>
      <c r="L84" s="31"/>
      <c r="M84" s="32" t="str">
        <f t="shared" si="91"/>
        <v/>
      </c>
      <c r="N84" s="32" t="str">
        <f>IF(B84=0,"",IF(H84="M",HLOOKUP(B84,$Y$12:$DT$13,2),IF(A84=0,"",VLOOKUP(A84,[3]CO!$A$3:$F$5327,4,0))))</f>
        <v/>
      </c>
      <c r="O84" s="32" t="str">
        <f t="shared" si="11"/>
        <v/>
      </c>
      <c r="P84" s="33"/>
      <c r="Q84" s="34" t="str">
        <f t="shared" si="92"/>
        <v/>
      </c>
      <c r="R84" s="35" t="str">
        <f t="shared" si="100"/>
        <v/>
      </c>
      <c r="S84" s="98"/>
      <c r="T84" s="53" t="str">
        <f>IF(A84=0,"",VLOOKUP(A84,[3]CO!$A$3:$F$5318,5,0))</f>
        <v/>
      </c>
      <c r="U84" s="54">
        <f t="shared" si="93"/>
        <v>0</v>
      </c>
      <c r="V84" s="24"/>
      <c r="W84" s="25"/>
      <c r="X84" s="25"/>
      <c r="Y84" s="64" t="str">
        <f t="shared" si="94"/>
        <v/>
      </c>
      <c r="Z84" s="55" t="str">
        <f t="shared" si="94"/>
        <v/>
      </c>
      <c r="AA84" s="55" t="str">
        <f t="shared" si="94"/>
        <v/>
      </c>
      <c r="AB84" s="55" t="str">
        <f t="shared" si="94"/>
        <v/>
      </c>
      <c r="AC84" s="55" t="str">
        <f t="shared" si="94"/>
        <v/>
      </c>
      <c r="AD84" s="55" t="str">
        <f t="shared" si="94"/>
        <v/>
      </c>
      <c r="AE84" s="55" t="str">
        <f t="shared" si="94"/>
        <v/>
      </c>
      <c r="AF84" s="55" t="str">
        <f t="shared" si="94"/>
        <v/>
      </c>
      <c r="AG84" s="55" t="str">
        <f t="shared" si="94"/>
        <v/>
      </c>
      <c r="AH84" s="55" t="str">
        <f t="shared" si="94"/>
        <v/>
      </c>
      <c r="AI84" s="55" t="str">
        <f t="shared" si="94"/>
        <v/>
      </c>
      <c r="AJ84" s="55" t="str">
        <f t="shared" si="94"/>
        <v/>
      </c>
      <c r="AK84" s="55" t="str">
        <f t="shared" si="94"/>
        <v/>
      </c>
      <c r="AL84" s="55" t="str">
        <f t="shared" si="94"/>
        <v/>
      </c>
      <c r="AM84" s="55" t="str">
        <f t="shared" si="94"/>
        <v/>
      </c>
      <c r="AN84" s="55" t="str">
        <f t="shared" si="94"/>
        <v/>
      </c>
      <c r="AO84" s="55" t="str">
        <f t="shared" ref="AO84:BD103" si="103">IF($B84=AO$12,$U84,"")</f>
        <v/>
      </c>
      <c r="AP84" s="55" t="str">
        <f t="shared" si="103"/>
        <v/>
      </c>
      <c r="AQ84" s="55" t="str">
        <f t="shared" si="103"/>
        <v/>
      </c>
      <c r="AR84" s="55" t="str">
        <f t="shared" si="103"/>
        <v/>
      </c>
      <c r="AS84" s="55" t="str">
        <f t="shared" si="103"/>
        <v/>
      </c>
      <c r="AT84" s="55" t="str">
        <f t="shared" si="103"/>
        <v/>
      </c>
      <c r="AU84" s="55" t="str">
        <f t="shared" si="103"/>
        <v/>
      </c>
      <c r="AV84" s="55" t="str">
        <f t="shared" si="103"/>
        <v/>
      </c>
      <c r="AW84" s="55" t="str">
        <f t="shared" si="103"/>
        <v/>
      </c>
      <c r="AX84" s="55" t="str">
        <f t="shared" si="103"/>
        <v/>
      </c>
      <c r="AY84" s="55" t="str">
        <f t="shared" si="103"/>
        <v/>
      </c>
      <c r="AZ84" s="55" t="str">
        <f t="shared" si="103"/>
        <v/>
      </c>
      <c r="BA84" s="55" t="str">
        <f t="shared" si="103"/>
        <v/>
      </c>
      <c r="BB84" s="55" t="str">
        <f t="shared" si="103"/>
        <v/>
      </c>
      <c r="BC84" s="55" t="str">
        <f t="shared" si="103"/>
        <v/>
      </c>
      <c r="BD84" s="55" t="str">
        <f t="shared" si="103"/>
        <v/>
      </c>
      <c r="BE84" s="55" t="str">
        <f t="shared" ref="BE84:BX102" si="104">IF($B84=BE$12,$U84,"")</f>
        <v/>
      </c>
      <c r="BF84" s="55" t="str">
        <f t="shared" si="104"/>
        <v/>
      </c>
      <c r="BG84" s="55" t="str">
        <f t="shared" si="104"/>
        <v/>
      </c>
      <c r="BH84" s="55" t="str">
        <f t="shared" si="104"/>
        <v/>
      </c>
      <c r="BI84" s="55" t="str">
        <f t="shared" si="104"/>
        <v/>
      </c>
      <c r="BJ84" s="55" t="str">
        <f t="shared" si="104"/>
        <v/>
      </c>
      <c r="BK84" s="55" t="str">
        <f t="shared" si="104"/>
        <v/>
      </c>
      <c r="BL84" s="55" t="str">
        <f t="shared" si="104"/>
        <v/>
      </c>
      <c r="BM84" s="55" t="str">
        <f t="shared" si="104"/>
        <v/>
      </c>
      <c r="BN84" s="55" t="str">
        <f t="shared" si="104"/>
        <v/>
      </c>
      <c r="BO84" s="55" t="str">
        <f t="shared" si="104"/>
        <v/>
      </c>
      <c r="BP84" s="55" t="str">
        <f t="shared" si="104"/>
        <v/>
      </c>
      <c r="BQ84" s="55" t="str">
        <f t="shared" si="104"/>
        <v/>
      </c>
      <c r="BR84" s="55" t="str">
        <f t="shared" si="104"/>
        <v/>
      </c>
      <c r="BS84" s="55" t="str">
        <f t="shared" si="104"/>
        <v/>
      </c>
      <c r="BT84" s="55" t="str">
        <f t="shared" si="104"/>
        <v/>
      </c>
      <c r="BU84" s="55" t="str">
        <f t="shared" si="104"/>
        <v/>
      </c>
      <c r="BV84" s="55" t="str">
        <f t="shared" si="104"/>
        <v/>
      </c>
      <c r="BW84" s="55" t="str">
        <f t="shared" si="104"/>
        <v/>
      </c>
      <c r="BX84" s="55" t="str">
        <f t="shared" si="104"/>
        <v/>
      </c>
      <c r="BY84" s="55" t="str">
        <f t="shared" ref="BY84:CN103" si="105">IF($B84=BY$12,$U84,"")</f>
        <v/>
      </c>
      <c r="BZ84" s="55" t="str">
        <f t="shared" si="105"/>
        <v/>
      </c>
      <c r="CA84" s="55" t="str">
        <f t="shared" si="105"/>
        <v/>
      </c>
      <c r="CB84" s="55" t="str">
        <f t="shared" si="105"/>
        <v/>
      </c>
      <c r="CC84" s="55" t="str">
        <f t="shared" si="105"/>
        <v/>
      </c>
      <c r="CD84" s="55" t="str">
        <f t="shared" si="105"/>
        <v/>
      </c>
      <c r="CE84" s="55" t="str">
        <f t="shared" si="105"/>
        <v/>
      </c>
      <c r="CF84" s="55" t="str">
        <f t="shared" si="105"/>
        <v/>
      </c>
      <c r="CG84" s="55" t="str">
        <f t="shared" si="105"/>
        <v/>
      </c>
      <c r="CH84" s="55" t="str">
        <f t="shared" si="105"/>
        <v/>
      </c>
      <c r="CI84" s="55" t="str">
        <f t="shared" si="105"/>
        <v/>
      </c>
      <c r="CJ84" s="55" t="str">
        <f t="shared" si="105"/>
        <v/>
      </c>
      <c r="CK84" s="55" t="str">
        <f t="shared" si="105"/>
        <v/>
      </c>
      <c r="CL84" s="55" t="str">
        <f t="shared" si="105"/>
        <v/>
      </c>
      <c r="CM84" s="55" t="str">
        <f t="shared" si="105"/>
        <v/>
      </c>
      <c r="CN84" s="55" t="str">
        <f t="shared" si="105"/>
        <v/>
      </c>
      <c r="CO84" s="55" t="str">
        <f t="shared" ref="CO84:DD103" si="106">IF($B84=CO$12,$U84,"")</f>
        <v/>
      </c>
      <c r="CP84" s="55" t="str">
        <f t="shared" si="106"/>
        <v/>
      </c>
      <c r="CQ84" s="55" t="str">
        <f t="shared" si="106"/>
        <v/>
      </c>
      <c r="CR84" s="55" t="str">
        <f t="shared" si="106"/>
        <v/>
      </c>
      <c r="CS84" s="55" t="str">
        <f t="shared" si="106"/>
        <v/>
      </c>
      <c r="CT84" s="55" t="str">
        <f t="shared" si="106"/>
        <v/>
      </c>
      <c r="CU84" s="55" t="str">
        <f t="shared" si="106"/>
        <v/>
      </c>
      <c r="CV84" s="55" t="str">
        <f t="shared" si="106"/>
        <v/>
      </c>
      <c r="CW84" s="55" t="str">
        <f t="shared" si="106"/>
        <v/>
      </c>
      <c r="CX84" s="55" t="str">
        <f t="shared" si="106"/>
        <v/>
      </c>
      <c r="CY84" s="55" t="str">
        <f t="shared" si="106"/>
        <v/>
      </c>
      <c r="CZ84" s="55" t="str">
        <f t="shared" si="101"/>
        <v/>
      </c>
      <c r="DA84" s="55" t="str">
        <f t="shared" si="101"/>
        <v/>
      </c>
      <c r="DB84" s="55" t="str">
        <f t="shared" si="101"/>
        <v/>
      </c>
      <c r="DC84" s="55" t="str">
        <f t="shared" si="101"/>
        <v/>
      </c>
      <c r="DD84" s="55" t="str">
        <f t="shared" si="101"/>
        <v/>
      </c>
      <c r="DE84" s="55" t="str">
        <f t="shared" si="101"/>
        <v/>
      </c>
      <c r="DF84" s="55" t="str">
        <f t="shared" si="101"/>
        <v/>
      </c>
      <c r="DG84" s="55" t="str">
        <f t="shared" si="101"/>
        <v/>
      </c>
      <c r="DH84" s="55" t="str">
        <f t="shared" si="101"/>
        <v/>
      </c>
      <c r="DI84" s="55" t="str">
        <f t="shared" si="101"/>
        <v/>
      </c>
      <c r="DJ84" s="55" t="str">
        <f t="shared" si="101"/>
        <v/>
      </c>
      <c r="DK84" s="55" t="str">
        <f t="shared" si="101"/>
        <v/>
      </c>
      <c r="DL84" s="55" t="str">
        <f t="shared" si="101"/>
        <v/>
      </c>
      <c r="DM84" s="55" t="str">
        <f t="shared" si="101"/>
        <v/>
      </c>
      <c r="DN84" s="55" t="str">
        <f t="shared" si="101"/>
        <v/>
      </c>
      <c r="DO84" s="55" t="str">
        <f t="shared" si="101"/>
        <v/>
      </c>
      <c r="DP84" s="55" t="str">
        <f t="shared" si="96"/>
        <v/>
      </c>
      <c r="DQ84" s="55" t="str">
        <f t="shared" si="96"/>
        <v/>
      </c>
      <c r="DR84" s="55" t="str">
        <f t="shared" si="96"/>
        <v/>
      </c>
      <c r="DS84" s="55" t="str">
        <f t="shared" si="96"/>
        <v/>
      </c>
      <c r="DT84" s="110" t="str">
        <f t="shared" si="96"/>
        <v/>
      </c>
      <c r="DU84" s="54"/>
      <c r="DV84" s="25"/>
      <c r="DW84" s="61" t="str">
        <f t="shared" si="97"/>
        <v/>
      </c>
      <c r="DX84" s="50" t="str">
        <f t="shared" si="97"/>
        <v/>
      </c>
      <c r="DY84" s="50" t="str">
        <f t="shared" si="97"/>
        <v/>
      </c>
      <c r="DZ84" s="50" t="str">
        <f t="shared" si="97"/>
        <v/>
      </c>
      <c r="EA84" s="50" t="str">
        <f t="shared" si="97"/>
        <v/>
      </c>
      <c r="EB84" s="50" t="str">
        <f t="shared" si="97"/>
        <v/>
      </c>
      <c r="EC84" s="50" t="str">
        <f t="shared" si="97"/>
        <v/>
      </c>
      <c r="ED84" s="50" t="str">
        <f t="shared" si="97"/>
        <v/>
      </c>
      <c r="EE84" s="50" t="str">
        <f t="shared" si="97"/>
        <v/>
      </c>
      <c r="EF84" s="50" t="str">
        <f t="shared" si="97"/>
        <v/>
      </c>
      <c r="EG84" s="50" t="str">
        <f t="shared" si="97"/>
        <v/>
      </c>
      <c r="EH84" s="50" t="str">
        <f t="shared" si="97"/>
        <v/>
      </c>
      <c r="EI84" s="50" t="str">
        <f t="shared" si="97"/>
        <v/>
      </c>
      <c r="EJ84" s="50" t="str">
        <f t="shared" si="97"/>
        <v/>
      </c>
      <c r="EK84" s="50" t="str">
        <f t="shared" si="97"/>
        <v/>
      </c>
      <c r="EL84" s="50" t="str">
        <f t="shared" si="97"/>
        <v/>
      </c>
      <c r="EM84" s="50" t="str">
        <f t="shared" ref="EM84:FB103" si="107">IF($B84=EM$12,$O84,"")</f>
        <v/>
      </c>
      <c r="EN84" s="50" t="str">
        <f t="shared" si="107"/>
        <v/>
      </c>
      <c r="EO84" s="50" t="str">
        <f t="shared" si="107"/>
        <v/>
      </c>
      <c r="EP84" s="50" t="str">
        <f t="shared" si="107"/>
        <v/>
      </c>
      <c r="EQ84" s="50" t="str">
        <f t="shared" si="107"/>
        <v/>
      </c>
      <c r="ER84" s="50" t="str">
        <f t="shared" si="107"/>
        <v/>
      </c>
      <c r="ES84" s="50" t="str">
        <f t="shared" si="107"/>
        <v/>
      </c>
      <c r="ET84" s="50" t="str">
        <f t="shared" si="107"/>
        <v/>
      </c>
      <c r="EU84" s="50" t="str">
        <f t="shared" si="107"/>
        <v/>
      </c>
      <c r="EV84" s="50" t="str">
        <f t="shared" si="107"/>
        <v/>
      </c>
      <c r="EW84" s="50" t="str">
        <f t="shared" si="107"/>
        <v/>
      </c>
      <c r="EX84" s="50" t="str">
        <f t="shared" si="107"/>
        <v/>
      </c>
      <c r="EY84" s="50" t="str">
        <f t="shared" si="107"/>
        <v/>
      </c>
      <c r="EZ84" s="50" t="str">
        <f t="shared" si="107"/>
        <v/>
      </c>
      <c r="FA84" s="50" t="str">
        <f t="shared" si="107"/>
        <v/>
      </c>
      <c r="FB84" s="50" t="str">
        <f t="shared" si="107"/>
        <v/>
      </c>
      <c r="FC84" s="50" t="str">
        <f t="shared" ref="FC84:FR103" si="108">IF($B84=FC$12,$O84,"")</f>
        <v/>
      </c>
      <c r="FD84" s="50" t="str">
        <f t="shared" si="108"/>
        <v/>
      </c>
      <c r="FE84" s="50" t="str">
        <f t="shared" si="108"/>
        <v/>
      </c>
      <c r="FF84" s="50" t="str">
        <f t="shared" si="108"/>
        <v/>
      </c>
      <c r="FG84" s="50" t="str">
        <f t="shared" si="108"/>
        <v/>
      </c>
      <c r="FH84" s="50" t="str">
        <f t="shared" si="108"/>
        <v/>
      </c>
      <c r="FI84" s="50" t="str">
        <f t="shared" si="108"/>
        <v/>
      </c>
      <c r="FJ84" s="50" t="str">
        <f t="shared" si="108"/>
        <v/>
      </c>
      <c r="FK84" s="50" t="str">
        <f t="shared" si="108"/>
        <v/>
      </c>
      <c r="FL84" s="50" t="str">
        <f t="shared" si="108"/>
        <v/>
      </c>
      <c r="FM84" s="50" t="str">
        <f t="shared" si="108"/>
        <v/>
      </c>
      <c r="FN84" s="50" t="str">
        <f t="shared" si="108"/>
        <v/>
      </c>
      <c r="FO84" s="50" t="str">
        <f t="shared" si="108"/>
        <v/>
      </c>
      <c r="FP84" s="50" t="str">
        <f t="shared" si="108"/>
        <v/>
      </c>
      <c r="FQ84" s="50" t="str">
        <f t="shared" si="108"/>
        <v/>
      </c>
      <c r="FR84" s="50" t="str">
        <f t="shared" si="108"/>
        <v/>
      </c>
      <c r="FS84" s="50" t="str">
        <f t="shared" ref="FS84:GH103" si="109">IF($B84=FS$12,$O84,"")</f>
        <v/>
      </c>
      <c r="FT84" s="50" t="str">
        <f t="shared" si="109"/>
        <v/>
      </c>
      <c r="FU84" s="50" t="str">
        <f t="shared" si="109"/>
        <v/>
      </c>
      <c r="FV84" s="50" t="str">
        <f t="shared" si="109"/>
        <v/>
      </c>
      <c r="FW84" s="50" t="str">
        <f t="shared" si="109"/>
        <v/>
      </c>
      <c r="FX84" s="50" t="str">
        <f t="shared" si="109"/>
        <v/>
      </c>
      <c r="FY84" s="50" t="str">
        <f t="shared" si="109"/>
        <v/>
      </c>
      <c r="FZ84" s="50" t="str">
        <f t="shared" si="109"/>
        <v/>
      </c>
      <c r="GA84" s="50" t="str">
        <f t="shared" si="109"/>
        <v/>
      </c>
      <c r="GB84" s="50" t="str">
        <f t="shared" si="109"/>
        <v/>
      </c>
      <c r="GC84" s="50" t="str">
        <f t="shared" si="109"/>
        <v/>
      </c>
      <c r="GD84" s="50" t="str">
        <f t="shared" si="109"/>
        <v/>
      </c>
      <c r="GE84" s="50" t="str">
        <f t="shared" si="109"/>
        <v/>
      </c>
      <c r="GF84" s="50" t="str">
        <f t="shared" si="109"/>
        <v/>
      </c>
      <c r="GG84" s="50" t="str">
        <f t="shared" si="109"/>
        <v/>
      </c>
      <c r="GH84" s="50" t="str">
        <f t="shared" si="109"/>
        <v/>
      </c>
      <c r="GI84" s="50" t="str">
        <f t="shared" ref="GI84:HF94" si="110">IF($B84=GI$12,$O84,"")</f>
        <v/>
      </c>
      <c r="GJ84" s="50" t="str">
        <f t="shared" si="110"/>
        <v/>
      </c>
      <c r="GK84" s="50" t="str">
        <f t="shared" si="110"/>
        <v/>
      </c>
      <c r="GL84" s="50" t="str">
        <f t="shared" si="110"/>
        <v/>
      </c>
      <c r="GM84" s="50" t="str">
        <f t="shared" si="110"/>
        <v/>
      </c>
      <c r="GN84" s="50" t="str">
        <f t="shared" si="110"/>
        <v/>
      </c>
      <c r="GO84" s="50" t="str">
        <f t="shared" si="110"/>
        <v/>
      </c>
      <c r="GP84" s="50" t="str">
        <f t="shared" si="110"/>
        <v/>
      </c>
      <c r="GQ84" s="50" t="str">
        <f t="shared" si="110"/>
        <v/>
      </c>
      <c r="GR84" s="50" t="str">
        <f t="shared" si="110"/>
        <v/>
      </c>
      <c r="GS84" s="50" t="str">
        <f t="shared" si="110"/>
        <v/>
      </c>
      <c r="GT84" s="50" t="str">
        <f t="shared" si="110"/>
        <v/>
      </c>
      <c r="GU84" s="50" t="str">
        <f t="shared" si="110"/>
        <v/>
      </c>
      <c r="GV84" s="50" t="str">
        <f t="shared" si="110"/>
        <v/>
      </c>
      <c r="GW84" s="50" t="str">
        <f t="shared" si="110"/>
        <v/>
      </c>
      <c r="GX84" s="50" t="str">
        <f t="shared" si="110"/>
        <v/>
      </c>
      <c r="GY84" s="50" t="str">
        <f t="shared" si="110"/>
        <v/>
      </c>
      <c r="GZ84" s="50" t="str">
        <f t="shared" si="110"/>
        <v/>
      </c>
      <c r="HA84" s="50" t="str">
        <f t="shared" si="110"/>
        <v/>
      </c>
      <c r="HB84" s="50" t="str">
        <f t="shared" si="110"/>
        <v/>
      </c>
      <c r="HC84" s="50" t="str">
        <f t="shared" si="110"/>
        <v/>
      </c>
      <c r="HD84" s="50" t="str">
        <f t="shared" si="110"/>
        <v/>
      </c>
      <c r="HE84" s="50" t="str">
        <f t="shared" si="110"/>
        <v/>
      </c>
      <c r="HF84" s="50" t="str">
        <f t="shared" si="110"/>
        <v/>
      </c>
      <c r="HG84" s="50" t="str">
        <f t="shared" si="99"/>
        <v/>
      </c>
      <c r="HH84" s="50" t="str">
        <f t="shared" si="99"/>
        <v/>
      </c>
      <c r="HI84" s="50" t="str">
        <f t="shared" si="99"/>
        <v/>
      </c>
      <c r="HJ84" s="50" t="str">
        <f t="shared" si="99"/>
        <v/>
      </c>
      <c r="HK84" s="50" t="str">
        <f t="shared" si="99"/>
        <v/>
      </c>
      <c r="HL84" s="50" t="str">
        <f t="shared" si="99"/>
        <v/>
      </c>
      <c r="HM84" s="50" t="str">
        <f t="shared" si="99"/>
        <v/>
      </c>
      <c r="HN84" s="50" t="str">
        <f t="shared" si="99"/>
        <v/>
      </c>
      <c r="HO84" s="50" t="str">
        <f t="shared" si="99"/>
        <v/>
      </c>
      <c r="HP84" s="50" t="str">
        <f t="shared" si="99"/>
        <v/>
      </c>
      <c r="HQ84" s="50" t="str">
        <f t="shared" si="99"/>
        <v/>
      </c>
      <c r="HR84" s="116" t="str">
        <f t="shared" si="99"/>
        <v/>
      </c>
    </row>
    <row r="85" spans="1:226" ht="11.15" customHeight="1" x14ac:dyDescent="0.25">
      <c r="A85" s="26"/>
      <c r="B85" s="27"/>
      <c r="C85" s="28" t="str">
        <f>IF(A85=0,"",VLOOKUP(A85,[3]CO!$A$3:$F$5327,2,0))</f>
        <v/>
      </c>
      <c r="D85" s="29"/>
      <c r="E85" s="29"/>
      <c r="F85" s="29"/>
      <c r="G85" s="30" t="str">
        <f>IF(A85=0,"",VLOOKUP(A85,[3]CO!$A$3:$F$5327,3,0))</f>
        <v/>
      </c>
      <c r="H85" s="95"/>
      <c r="I85" s="31"/>
      <c r="J85" s="31"/>
      <c r="K85" s="31"/>
      <c r="L85" s="31"/>
      <c r="M85" s="32" t="str">
        <f t="shared" si="91"/>
        <v/>
      </c>
      <c r="N85" s="32" t="str">
        <f>IF(B85=0,"",IF(H85="M",HLOOKUP(B85,$Y$12:$DT$13,2),IF(A85=0,"",VLOOKUP(A85,[3]CO!$A$3:$F$5327,4,0))))</f>
        <v/>
      </c>
      <c r="O85" s="32" t="str">
        <f t="shared" si="11"/>
        <v/>
      </c>
      <c r="P85" s="33"/>
      <c r="Q85" s="34" t="str">
        <f t="shared" si="92"/>
        <v/>
      </c>
      <c r="R85" s="35" t="str">
        <f t="shared" si="100"/>
        <v/>
      </c>
      <c r="S85" s="98"/>
      <c r="T85" s="53" t="str">
        <f>IF(A85=0,"",VLOOKUP(A85,[3]CO!$A$3:$F$5318,5,0))</f>
        <v/>
      </c>
      <c r="U85" s="54">
        <f t="shared" si="93"/>
        <v>0</v>
      </c>
      <c r="V85" s="24"/>
      <c r="W85" s="25"/>
      <c r="X85" s="25"/>
      <c r="Y85" s="64" t="str">
        <f t="shared" si="94"/>
        <v/>
      </c>
      <c r="Z85" s="55" t="str">
        <f t="shared" si="94"/>
        <v/>
      </c>
      <c r="AA85" s="55" t="str">
        <f t="shared" si="94"/>
        <v/>
      </c>
      <c r="AB85" s="55" t="str">
        <f t="shared" si="94"/>
        <v/>
      </c>
      <c r="AC85" s="55" t="str">
        <f t="shared" si="94"/>
        <v/>
      </c>
      <c r="AD85" s="55" t="str">
        <f t="shared" si="94"/>
        <v/>
      </c>
      <c r="AE85" s="55" t="str">
        <f t="shared" si="94"/>
        <v/>
      </c>
      <c r="AF85" s="55" t="str">
        <f t="shared" si="94"/>
        <v/>
      </c>
      <c r="AG85" s="55" t="str">
        <f t="shared" si="94"/>
        <v/>
      </c>
      <c r="AH85" s="55" t="str">
        <f t="shared" si="94"/>
        <v/>
      </c>
      <c r="AI85" s="55" t="str">
        <f t="shared" si="94"/>
        <v/>
      </c>
      <c r="AJ85" s="55" t="str">
        <f t="shared" si="94"/>
        <v/>
      </c>
      <c r="AK85" s="55" t="str">
        <f t="shared" si="94"/>
        <v/>
      </c>
      <c r="AL85" s="55" t="str">
        <f t="shared" si="94"/>
        <v/>
      </c>
      <c r="AM85" s="55" t="str">
        <f t="shared" si="94"/>
        <v/>
      </c>
      <c r="AN85" s="55" t="str">
        <f t="shared" si="94"/>
        <v/>
      </c>
      <c r="AO85" s="55" t="str">
        <f t="shared" si="103"/>
        <v/>
      </c>
      <c r="AP85" s="55" t="str">
        <f t="shared" si="103"/>
        <v/>
      </c>
      <c r="AQ85" s="55" t="str">
        <f t="shared" si="103"/>
        <v/>
      </c>
      <c r="AR85" s="55" t="str">
        <f t="shared" si="103"/>
        <v/>
      </c>
      <c r="AS85" s="55" t="str">
        <f t="shared" si="103"/>
        <v/>
      </c>
      <c r="AT85" s="55" t="str">
        <f t="shared" si="103"/>
        <v/>
      </c>
      <c r="AU85" s="55" t="str">
        <f t="shared" si="103"/>
        <v/>
      </c>
      <c r="AV85" s="55" t="str">
        <f t="shared" si="103"/>
        <v/>
      </c>
      <c r="AW85" s="55" t="str">
        <f t="shared" si="103"/>
        <v/>
      </c>
      <c r="AX85" s="55" t="str">
        <f t="shared" si="103"/>
        <v/>
      </c>
      <c r="AY85" s="55" t="str">
        <f t="shared" si="103"/>
        <v/>
      </c>
      <c r="AZ85" s="55" t="str">
        <f t="shared" si="103"/>
        <v/>
      </c>
      <c r="BA85" s="55" t="str">
        <f t="shared" si="103"/>
        <v/>
      </c>
      <c r="BB85" s="55" t="str">
        <f t="shared" si="103"/>
        <v/>
      </c>
      <c r="BC85" s="55" t="str">
        <f t="shared" si="103"/>
        <v/>
      </c>
      <c r="BD85" s="55" t="str">
        <f t="shared" si="103"/>
        <v/>
      </c>
      <c r="BE85" s="55" t="str">
        <f t="shared" si="104"/>
        <v/>
      </c>
      <c r="BF85" s="55" t="str">
        <f t="shared" si="104"/>
        <v/>
      </c>
      <c r="BG85" s="55" t="str">
        <f t="shared" si="104"/>
        <v/>
      </c>
      <c r="BH85" s="55" t="str">
        <f t="shared" si="104"/>
        <v/>
      </c>
      <c r="BI85" s="55" t="str">
        <f t="shared" si="104"/>
        <v/>
      </c>
      <c r="BJ85" s="55" t="str">
        <f t="shared" si="104"/>
        <v/>
      </c>
      <c r="BK85" s="55" t="str">
        <f t="shared" si="104"/>
        <v/>
      </c>
      <c r="BL85" s="55" t="str">
        <f t="shared" si="104"/>
        <v/>
      </c>
      <c r="BM85" s="55" t="str">
        <f t="shared" si="104"/>
        <v/>
      </c>
      <c r="BN85" s="55" t="str">
        <f t="shared" si="104"/>
        <v/>
      </c>
      <c r="BO85" s="55" t="str">
        <f t="shared" si="104"/>
        <v/>
      </c>
      <c r="BP85" s="55" t="str">
        <f t="shared" si="104"/>
        <v/>
      </c>
      <c r="BQ85" s="55" t="str">
        <f t="shared" si="104"/>
        <v/>
      </c>
      <c r="BR85" s="55" t="str">
        <f t="shared" si="104"/>
        <v/>
      </c>
      <c r="BS85" s="55" t="str">
        <f t="shared" si="104"/>
        <v/>
      </c>
      <c r="BT85" s="55" t="str">
        <f t="shared" si="104"/>
        <v/>
      </c>
      <c r="BU85" s="55" t="str">
        <f t="shared" si="104"/>
        <v/>
      </c>
      <c r="BV85" s="55" t="str">
        <f t="shared" si="104"/>
        <v/>
      </c>
      <c r="BW85" s="55" t="str">
        <f t="shared" si="104"/>
        <v/>
      </c>
      <c r="BX85" s="55" t="str">
        <f t="shared" si="104"/>
        <v/>
      </c>
      <c r="BY85" s="55" t="str">
        <f t="shared" si="105"/>
        <v/>
      </c>
      <c r="BZ85" s="55" t="str">
        <f t="shared" si="105"/>
        <v/>
      </c>
      <c r="CA85" s="55" t="str">
        <f t="shared" si="105"/>
        <v/>
      </c>
      <c r="CB85" s="55" t="str">
        <f t="shared" si="105"/>
        <v/>
      </c>
      <c r="CC85" s="55" t="str">
        <f t="shared" si="105"/>
        <v/>
      </c>
      <c r="CD85" s="55" t="str">
        <f t="shared" si="105"/>
        <v/>
      </c>
      <c r="CE85" s="55" t="str">
        <f t="shared" si="105"/>
        <v/>
      </c>
      <c r="CF85" s="55" t="str">
        <f t="shared" si="105"/>
        <v/>
      </c>
      <c r="CG85" s="55" t="str">
        <f t="shared" si="105"/>
        <v/>
      </c>
      <c r="CH85" s="55" t="str">
        <f t="shared" si="105"/>
        <v/>
      </c>
      <c r="CI85" s="55" t="str">
        <f t="shared" si="105"/>
        <v/>
      </c>
      <c r="CJ85" s="55" t="str">
        <f t="shared" si="105"/>
        <v/>
      </c>
      <c r="CK85" s="55" t="str">
        <f t="shared" si="105"/>
        <v/>
      </c>
      <c r="CL85" s="55" t="str">
        <f t="shared" si="105"/>
        <v/>
      </c>
      <c r="CM85" s="55" t="str">
        <f t="shared" si="105"/>
        <v/>
      </c>
      <c r="CN85" s="55" t="str">
        <f t="shared" si="105"/>
        <v/>
      </c>
      <c r="CO85" s="55" t="str">
        <f t="shared" si="106"/>
        <v/>
      </c>
      <c r="CP85" s="55" t="str">
        <f t="shared" si="106"/>
        <v/>
      </c>
      <c r="CQ85" s="55" t="str">
        <f t="shared" si="106"/>
        <v/>
      </c>
      <c r="CR85" s="55" t="str">
        <f t="shared" si="106"/>
        <v/>
      </c>
      <c r="CS85" s="55" t="str">
        <f t="shared" si="106"/>
        <v/>
      </c>
      <c r="CT85" s="55" t="str">
        <f t="shared" si="106"/>
        <v/>
      </c>
      <c r="CU85" s="55" t="str">
        <f t="shared" si="106"/>
        <v/>
      </c>
      <c r="CV85" s="55" t="str">
        <f t="shared" si="106"/>
        <v/>
      </c>
      <c r="CW85" s="55" t="str">
        <f t="shared" si="106"/>
        <v/>
      </c>
      <c r="CX85" s="55" t="str">
        <f t="shared" si="106"/>
        <v/>
      </c>
      <c r="CY85" s="55" t="str">
        <f t="shared" si="106"/>
        <v/>
      </c>
      <c r="CZ85" s="55" t="str">
        <f t="shared" si="101"/>
        <v/>
      </c>
      <c r="DA85" s="55" t="str">
        <f t="shared" si="101"/>
        <v/>
      </c>
      <c r="DB85" s="55" t="str">
        <f t="shared" si="101"/>
        <v/>
      </c>
      <c r="DC85" s="55" t="str">
        <f t="shared" si="101"/>
        <v/>
      </c>
      <c r="DD85" s="55" t="str">
        <f t="shared" si="101"/>
        <v/>
      </c>
      <c r="DE85" s="55" t="str">
        <f t="shared" si="101"/>
        <v/>
      </c>
      <c r="DF85" s="55" t="str">
        <f t="shared" si="101"/>
        <v/>
      </c>
      <c r="DG85" s="55" t="str">
        <f t="shared" si="101"/>
        <v/>
      </c>
      <c r="DH85" s="55" t="str">
        <f t="shared" si="101"/>
        <v/>
      </c>
      <c r="DI85" s="55" t="str">
        <f t="shared" si="101"/>
        <v/>
      </c>
      <c r="DJ85" s="55" t="str">
        <f t="shared" si="101"/>
        <v/>
      </c>
      <c r="DK85" s="55" t="str">
        <f t="shared" si="101"/>
        <v/>
      </c>
      <c r="DL85" s="55" t="str">
        <f t="shared" si="101"/>
        <v/>
      </c>
      <c r="DM85" s="55" t="str">
        <f t="shared" si="101"/>
        <v/>
      </c>
      <c r="DN85" s="55" t="str">
        <f t="shared" si="101"/>
        <v/>
      </c>
      <c r="DO85" s="55" t="str">
        <f t="shared" si="101"/>
        <v/>
      </c>
      <c r="DP85" s="55" t="str">
        <f t="shared" si="96"/>
        <v/>
      </c>
      <c r="DQ85" s="55" t="str">
        <f t="shared" si="96"/>
        <v/>
      </c>
      <c r="DR85" s="55" t="str">
        <f t="shared" si="96"/>
        <v/>
      </c>
      <c r="DS85" s="55" t="str">
        <f t="shared" si="96"/>
        <v/>
      </c>
      <c r="DT85" s="110" t="str">
        <f t="shared" si="96"/>
        <v/>
      </c>
      <c r="DU85" s="54"/>
      <c r="DV85" s="25"/>
      <c r="DW85" s="61" t="str">
        <f t="shared" si="97"/>
        <v/>
      </c>
      <c r="DX85" s="50" t="str">
        <f t="shared" si="97"/>
        <v/>
      </c>
      <c r="DY85" s="50" t="str">
        <f t="shared" si="97"/>
        <v/>
      </c>
      <c r="DZ85" s="50" t="str">
        <f t="shared" si="97"/>
        <v/>
      </c>
      <c r="EA85" s="50" t="str">
        <f t="shared" si="97"/>
        <v/>
      </c>
      <c r="EB85" s="50" t="str">
        <f t="shared" si="97"/>
        <v/>
      </c>
      <c r="EC85" s="50" t="str">
        <f t="shared" si="97"/>
        <v/>
      </c>
      <c r="ED85" s="50" t="str">
        <f t="shared" si="97"/>
        <v/>
      </c>
      <c r="EE85" s="50" t="str">
        <f t="shared" si="97"/>
        <v/>
      </c>
      <c r="EF85" s="50" t="str">
        <f t="shared" si="97"/>
        <v/>
      </c>
      <c r="EG85" s="50" t="str">
        <f t="shared" si="97"/>
        <v/>
      </c>
      <c r="EH85" s="50" t="str">
        <f t="shared" si="97"/>
        <v/>
      </c>
      <c r="EI85" s="50" t="str">
        <f t="shared" si="97"/>
        <v/>
      </c>
      <c r="EJ85" s="50" t="str">
        <f t="shared" si="97"/>
        <v/>
      </c>
      <c r="EK85" s="50" t="str">
        <f t="shared" si="97"/>
        <v/>
      </c>
      <c r="EL85" s="50" t="str">
        <f t="shared" si="97"/>
        <v/>
      </c>
      <c r="EM85" s="50" t="str">
        <f t="shared" si="107"/>
        <v/>
      </c>
      <c r="EN85" s="50" t="str">
        <f t="shared" si="107"/>
        <v/>
      </c>
      <c r="EO85" s="50" t="str">
        <f t="shared" si="107"/>
        <v/>
      </c>
      <c r="EP85" s="50" t="str">
        <f t="shared" si="107"/>
        <v/>
      </c>
      <c r="EQ85" s="50" t="str">
        <f t="shared" si="107"/>
        <v/>
      </c>
      <c r="ER85" s="50" t="str">
        <f t="shared" si="107"/>
        <v/>
      </c>
      <c r="ES85" s="50" t="str">
        <f t="shared" si="107"/>
        <v/>
      </c>
      <c r="ET85" s="50" t="str">
        <f t="shared" si="107"/>
        <v/>
      </c>
      <c r="EU85" s="50" t="str">
        <f t="shared" si="107"/>
        <v/>
      </c>
      <c r="EV85" s="50" t="str">
        <f t="shared" si="107"/>
        <v/>
      </c>
      <c r="EW85" s="50" t="str">
        <f t="shared" si="107"/>
        <v/>
      </c>
      <c r="EX85" s="50" t="str">
        <f t="shared" si="107"/>
        <v/>
      </c>
      <c r="EY85" s="50" t="str">
        <f t="shared" si="107"/>
        <v/>
      </c>
      <c r="EZ85" s="50" t="str">
        <f t="shared" si="107"/>
        <v/>
      </c>
      <c r="FA85" s="50" t="str">
        <f t="shared" si="107"/>
        <v/>
      </c>
      <c r="FB85" s="50" t="str">
        <f t="shared" si="107"/>
        <v/>
      </c>
      <c r="FC85" s="50" t="str">
        <f t="shared" si="108"/>
        <v/>
      </c>
      <c r="FD85" s="50" t="str">
        <f t="shared" si="108"/>
        <v/>
      </c>
      <c r="FE85" s="50" t="str">
        <f t="shared" si="108"/>
        <v/>
      </c>
      <c r="FF85" s="50" t="str">
        <f t="shared" si="108"/>
        <v/>
      </c>
      <c r="FG85" s="50" t="str">
        <f t="shared" si="108"/>
        <v/>
      </c>
      <c r="FH85" s="50" t="str">
        <f t="shared" si="108"/>
        <v/>
      </c>
      <c r="FI85" s="50" t="str">
        <f t="shared" si="108"/>
        <v/>
      </c>
      <c r="FJ85" s="50" t="str">
        <f t="shared" si="108"/>
        <v/>
      </c>
      <c r="FK85" s="50" t="str">
        <f t="shared" si="108"/>
        <v/>
      </c>
      <c r="FL85" s="50" t="str">
        <f t="shared" si="108"/>
        <v/>
      </c>
      <c r="FM85" s="50" t="str">
        <f t="shared" si="108"/>
        <v/>
      </c>
      <c r="FN85" s="50" t="str">
        <f t="shared" si="108"/>
        <v/>
      </c>
      <c r="FO85" s="50" t="str">
        <f t="shared" si="108"/>
        <v/>
      </c>
      <c r="FP85" s="50" t="str">
        <f t="shared" si="108"/>
        <v/>
      </c>
      <c r="FQ85" s="50" t="str">
        <f t="shared" si="108"/>
        <v/>
      </c>
      <c r="FR85" s="50" t="str">
        <f t="shared" si="108"/>
        <v/>
      </c>
      <c r="FS85" s="50" t="str">
        <f t="shared" si="109"/>
        <v/>
      </c>
      <c r="FT85" s="50" t="str">
        <f t="shared" si="109"/>
        <v/>
      </c>
      <c r="FU85" s="50" t="str">
        <f t="shared" si="109"/>
        <v/>
      </c>
      <c r="FV85" s="50" t="str">
        <f t="shared" si="109"/>
        <v/>
      </c>
      <c r="FW85" s="50" t="str">
        <f t="shared" si="109"/>
        <v/>
      </c>
      <c r="FX85" s="50" t="str">
        <f t="shared" si="109"/>
        <v/>
      </c>
      <c r="FY85" s="50" t="str">
        <f t="shared" si="109"/>
        <v/>
      </c>
      <c r="FZ85" s="50" t="str">
        <f t="shared" si="109"/>
        <v/>
      </c>
      <c r="GA85" s="50" t="str">
        <f t="shared" si="109"/>
        <v/>
      </c>
      <c r="GB85" s="50" t="str">
        <f t="shared" si="109"/>
        <v/>
      </c>
      <c r="GC85" s="50" t="str">
        <f t="shared" si="109"/>
        <v/>
      </c>
      <c r="GD85" s="50" t="str">
        <f t="shared" si="109"/>
        <v/>
      </c>
      <c r="GE85" s="50" t="str">
        <f t="shared" si="109"/>
        <v/>
      </c>
      <c r="GF85" s="50" t="str">
        <f t="shared" si="109"/>
        <v/>
      </c>
      <c r="GG85" s="50" t="str">
        <f t="shared" si="109"/>
        <v/>
      </c>
      <c r="GH85" s="50" t="str">
        <f t="shared" si="109"/>
        <v/>
      </c>
      <c r="GI85" s="50" t="str">
        <f t="shared" si="110"/>
        <v/>
      </c>
      <c r="GJ85" s="50" t="str">
        <f t="shared" si="110"/>
        <v/>
      </c>
      <c r="GK85" s="50" t="str">
        <f t="shared" si="110"/>
        <v/>
      </c>
      <c r="GL85" s="50" t="str">
        <f t="shared" si="110"/>
        <v/>
      </c>
      <c r="GM85" s="50" t="str">
        <f t="shared" si="110"/>
        <v/>
      </c>
      <c r="GN85" s="50" t="str">
        <f t="shared" si="110"/>
        <v/>
      </c>
      <c r="GO85" s="50" t="str">
        <f t="shared" si="110"/>
        <v/>
      </c>
      <c r="GP85" s="50" t="str">
        <f t="shared" si="110"/>
        <v/>
      </c>
      <c r="GQ85" s="50" t="str">
        <f t="shared" si="110"/>
        <v/>
      </c>
      <c r="GR85" s="50" t="str">
        <f t="shared" si="110"/>
        <v/>
      </c>
      <c r="GS85" s="50" t="str">
        <f t="shared" si="110"/>
        <v/>
      </c>
      <c r="GT85" s="50" t="str">
        <f t="shared" si="110"/>
        <v/>
      </c>
      <c r="GU85" s="50" t="str">
        <f t="shared" si="110"/>
        <v/>
      </c>
      <c r="GV85" s="50" t="str">
        <f t="shared" si="110"/>
        <v/>
      </c>
      <c r="GW85" s="50" t="str">
        <f t="shared" si="110"/>
        <v/>
      </c>
      <c r="GX85" s="50" t="str">
        <f t="shared" si="102"/>
        <v/>
      </c>
      <c r="GY85" s="50" t="str">
        <f t="shared" si="102"/>
        <v/>
      </c>
      <c r="GZ85" s="50" t="str">
        <f t="shared" si="102"/>
        <v/>
      </c>
      <c r="HA85" s="50" t="str">
        <f t="shared" si="102"/>
        <v/>
      </c>
      <c r="HB85" s="50" t="str">
        <f t="shared" si="102"/>
        <v/>
      </c>
      <c r="HC85" s="50" t="str">
        <f t="shared" si="102"/>
        <v/>
      </c>
      <c r="HD85" s="50" t="str">
        <f t="shared" si="102"/>
        <v/>
      </c>
      <c r="HE85" s="50" t="str">
        <f t="shared" si="102"/>
        <v/>
      </c>
      <c r="HF85" s="50" t="str">
        <f t="shared" si="102"/>
        <v/>
      </c>
      <c r="HG85" s="50" t="str">
        <f t="shared" si="99"/>
        <v/>
      </c>
      <c r="HH85" s="50" t="str">
        <f t="shared" si="99"/>
        <v/>
      </c>
      <c r="HI85" s="50" t="str">
        <f t="shared" si="99"/>
        <v/>
      </c>
      <c r="HJ85" s="50" t="str">
        <f t="shared" si="99"/>
        <v/>
      </c>
      <c r="HK85" s="50" t="str">
        <f t="shared" si="99"/>
        <v/>
      </c>
      <c r="HL85" s="50" t="str">
        <f t="shared" si="99"/>
        <v/>
      </c>
      <c r="HM85" s="50" t="str">
        <f t="shared" si="99"/>
        <v/>
      </c>
      <c r="HN85" s="50" t="str">
        <f t="shared" si="99"/>
        <v/>
      </c>
      <c r="HO85" s="50" t="str">
        <f t="shared" si="99"/>
        <v/>
      </c>
      <c r="HP85" s="50" t="str">
        <f t="shared" si="99"/>
        <v/>
      </c>
      <c r="HQ85" s="50" t="str">
        <f t="shared" si="99"/>
        <v/>
      </c>
      <c r="HR85" s="116" t="str">
        <f t="shared" si="99"/>
        <v/>
      </c>
    </row>
    <row r="86" spans="1:226" ht="11.15" customHeight="1" x14ac:dyDescent="0.25">
      <c r="A86" s="26"/>
      <c r="B86" s="27"/>
      <c r="C86" s="28" t="str">
        <f>IF(A86=0,"",VLOOKUP(A86,[3]CO!$A$3:$F$5327,2,0))</f>
        <v/>
      </c>
      <c r="D86" s="29"/>
      <c r="E86" s="29"/>
      <c r="F86" s="29"/>
      <c r="G86" s="30" t="str">
        <f>IF(A86=0,"",VLOOKUP(A86,[3]CO!$A$3:$F$5327,3,0))</f>
        <v/>
      </c>
      <c r="H86" s="95"/>
      <c r="I86" s="31"/>
      <c r="J86" s="31"/>
      <c r="K86" s="31"/>
      <c r="L86" s="31"/>
      <c r="M86" s="32" t="str">
        <f t="shared" si="91"/>
        <v/>
      </c>
      <c r="N86" s="32" t="str">
        <f>IF(B86=0,"",IF(H86="M",HLOOKUP(B86,$Y$12:$DT$13,2),IF(A86=0,"",VLOOKUP(A86,[3]CO!$A$3:$F$5327,4,0))))</f>
        <v/>
      </c>
      <c r="O86" s="32" t="str">
        <f t="shared" si="11"/>
        <v/>
      </c>
      <c r="P86" s="33"/>
      <c r="Q86" s="34" t="str">
        <f t="shared" si="92"/>
        <v/>
      </c>
      <c r="R86" s="35" t="str">
        <f t="shared" si="100"/>
        <v/>
      </c>
      <c r="S86" s="98"/>
      <c r="T86" s="53" t="str">
        <f>IF(A86=0,"",VLOOKUP(A86,[3]CO!$A$3:$F$5318,5,0))</f>
        <v/>
      </c>
      <c r="U86" s="54">
        <f t="shared" si="93"/>
        <v>0</v>
      </c>
      <c r="V86" s="24"/>
      <c r="W86" s="25"/>
      <c r="X86" s="25"/>
      <c r="Y86" s="64" t="str">
        <f t="shared" si="94"/>
        <v/>
      </c>
      <c r="Z86" s="55" t="str">
        <f t="shared" si="94"/>
        <v/>
      </c>
      <c r="AA86" s="55" t="str">
        <f t="shared" si="94"/>
        <v/>
      </c>
      <c r="AB86" s="55" t="str">
        <f t="shared" si="94"/>
        <v/>
      </c>
      <c r="AC86" s="55" t="str">
        <f t="shared" si="94"/>
        <v/>
      </c>
      <c r="AD86" s="55" t="str">
        <f t="shared" si="94"/>
        <v/>
      </c>
      <c r="AE86" s="55" t="str">
        <f t="shared" si="94"/>
        <v/>
      </c>
      <c r="AF86" s="55" t="str">
        <f t="shared" si="94"/>
        <v/>
      </c>
      <c r="AG86" s="55" t="str">
        <f t="shared" si="94"/>
        <v/>
      </c>
      <c r="AH86" s="55" t="str">
        <f t="shared" si="94"/>
        <v/>
      </c>
      <c r="AI86" s="55" t="str">
        <f t="shared" si="94"/>
        <v/>
      </c>
      <c r="AJ86" s="55" t="str">
        <f t="shared" si="94"/>
        <v/>
      </c>
      <c r="AK86" s="55" t="str">
        <f t="shared" si="94"/>
        <v/>
      </c>
      <c r="AL86" s="55" t="str">
        <f t="shared" si="94"/>
        <v/>
      </c>
      <c r="AM86" s="55" t="str">
        <f t="shared" si="94"/>
        <v/>
      </c>
      <c r="AN86" s="55" t="str">
        <f t="shared" si="94"/>
        <v/>
      </c>
      <c r="AO86" s="55" t="str">
        <f t="shared" si="103"/>
        <v/>
      </c>
      <c r="AP86" s="55" t="str">
        <f t="shared" si="103"/>
        <v/>
      </c>
      <c r="AQ86" s="55" t="str">
        <f t="shared" si="103"/>
        <v/>
      </c>
      <c r="AR86" s="55" t="str">
        <f t="shared" si="103"/>
        <v/>
      </c>
      <c r="AS86" s="55" t="str">
        <f t="shared" si="103"/>
        <v/>
      </c>
      <c r="AT86" s="55" t="str">
        <f t="shared" si="103"/>
        <v/>
      </c>
      <c r="AU86" s="55" t="str">
        <f t="shared" si="103"/>
        <v/>
      </c>
      <c r="AV86" s="55" t="str">
        <f t="shared" si="103"/>
        <v/>
      </c>
      <c r="AW86" s="55" t="str">
        <f t="shared" si="103"/>
        <v/>
      </c>
      <c r="AX86" s="55" t="str">
        <f t="shared" si="103"/>
        <v/>
      </c>
      <c r="AY86" s="55" t="str">
        <f t="shared" si="103"/>
        <v/>
      </c>
      <c r="AZ86" s="55" t="str">
        <f t="shared" si="103"/>
        <v/>
      </c>
      <c r="BA86" s="55" t="str">
        <f t="shared" si="103"/>
        <v/>
      </c>
      <c r="BB86" s="55" t="str">
        <f t="shared" si="103"/>
        <v/>
      </c>
      <c r="BC86" s="55" t="str">
        <f t="shared" si="103"/>
        <v/>
      </c>
      <c r="BD86" s="55" t="str">
        <f t="shared" si="103"/>
        <v/>
      </c>
      <c r="BE86" s="55" t="str">
        <f t="shared" si="104"/>
        <v/>
      </c>
      <c r="BF86" s="55" t="str">
        <f t="shared" si="104"/>
        <v/>
      </c>
      <c r="BG86" s="55" t="str">
        <f t="shared" si="104"/>
        <v/>
      </c>
      <c r="BH86" s="55" t="str">
        <f t="shared" si="104"/>
        <v/>
      </c>
      <c r="BI86" s="55" t="str">
        <f t="shared" si="104"/>
        <v/>
      </c>
      <c r="BJ86" s="55" t="str">
        <f t="shared" si="104"/>
        <v/>
      </c>
      <c r="BK86" s="55" t="str">
        <f t="shared" si="104"/>
        <v/>
      </c>
      <c r="BL86" s="55" t="str">
        <f t="shared" si="104"/>
        <v/>
      </c>
      <c r="BM86" s="55" t="str">
        <f t="shared" si="104"/>
        <v/>
      </c>
      <c r="BN86" s="55" t="str">
        <f t="shared" si="104"/>
        <v/>
      </c>
      <c r="BO86" s="55" t="str">
        <f t="shared" si="104"/>
        <v/>
      </c>
      <c r="BP86" s="55" t="str">
        <f t="shared" si="104"/>
        <v/>
      </c>
      <c r="BQ86" s="55" t="str">
        <f t="shared" si="104"/>
        <v/>
      </c>
      <c r="BR86" s="55" t="str">
        <f t="shared" si="104"/>
        <v/>
      </c>
      <c r="BS86" s="55" t="str">
        <f t="shared" si="104"/>
        <v/>
      </c>
      <c r="BT86" s="55" t="str">
        <f t="shared" si="104"/>
        <v/>
      </c>
      <c r="BU86" s="55" t="str">
        <f t="shared" si="104"/>
        <v/>
      </c>
      <c r="BV86" s="55" t="str">
        <f t="shared" si="104"/>
        <v/>
      </c>
      <c r="BW86" s="55" t="str">
        <f t="shared" si="104"/>
        <v/>
      </c>
      <c r="BX86" s="55" t="str">
        <f t="shared" si="104"/>
        <v/>
      </c>
      <c r="BY86" s="55" t="str">
        <f t="shared" si="105"/>
        <v/>
      </c>
      <c r="BZ86" s="55" t="str">
        <f t="shared" si="105"/>
        <v/>
      </c>
      <c r="CA86" s="55" t="str">
        <f t="shared" si="105"/>
        <v/>
      </c>
      <c r="CB86" s="55" t="str">
        <f t="shared" si="105"/>
        <v/>
      </c>
      <c r="CC86" s="55" t="str">
        <f t="shared" si="105"/>
        <v/>
      </c>
      <c r="CD86" s="55" t="str">
        <f t="shared" si="105"/>
        <v/>
      </c>
      <c r="CE86" s="55" t="str">
        <f t="shared" si="105"/>
        <v/>
      </c>
      <c r="CF86" s="55" t="str">
        <f t="shared" si="105"/>
        <v/>
      </c>
      <c r="CG86" s="55" t="str">
        <f t="shared" si="105"/>
        <v/>
      </c>
      <c r="CH86" s="55" t="str">
        <f t="shared" si="105"/>
        <v/>
      </c>
      <c r="CI86" s="55" t="str">
        <f t="shared" si="105"/>
        <v/>
      </c>
      <c r="CJ86" s="55" t="str">
        <f t="shared" si="105"/>
        <v/>
      </c>
      <c r="CK86" s="55" t="str">
        <f t="shared" si="105"/>
        <v/>
      </c>
      <c r="CL86" s="55" t="str">
        <f t="shared" si="105"/>
        <v/>
      </c>
      <c r="CM86" s="55" t="str">
        <f t="shared" si="105"/>
        <v/>
      </c>
      <c r="CN86" s="55" t="str">
        <f t="shared" si="105"/>
        <v/>
      </c>
      <c r="CO86" s="55" t="str">
        <f t="shared" si="106"/>
        <v/>
      </c>
      <c r="CP86" s="55" t="str">
        <f t="shared" si="106"/>
        <v/>
      </c>
      <c r="CQ86" s="55" t="str">
        <f t="shared" si="106"/>
        <v/>
      </c>
      <c r="CR86" s="55" t="str">
        <f t="shared" si="106"/>
        <v/>
      </c>
      <c r="CS86" s="55" t="str">
        <f t="shared" si="106"/>
        <v/>
      </c>
      <c r="CT86" s="55" t="str">
        <f t="shared" si="106"/>
        <v/>
      </c>
      <c r="CU86" s="55" t="str">
        <f t="shared" si="106"/>
        <v/>
      </c>
      <c r="CV86" s="55" t="str">
        <f t="shared" si="106"/>
        <v/>
      </c>
      <c r="CW86" s="55" t="str">
        <f t="shared" si="106"/>
        <v/>
      </c>
      <c r="CX86" s="55" t="str">
        <f t="shared" si="106"/>
        <v/>
      </c>
      <c r="CY86" s="55" t="str">
        <f t="shared" si="106"/>
        <v/>
      </c>
      <c r="CZ86" s="55" t="str">
        <f t="shared" si="101"/>
        <v/>
      </c>
      <c r="DA86" s="55" t="str">
        <f t="shared" si="101"/>
        <v/>
      </c>
      <c r="DB86" s="55" t="str">
        <f t="shared" si="101"/>
        <v/>
      </c>
      <c r="DC86" s="55" t="str">
        <f t="shared" si="101"/>
        <v/>
      </c>
      <c r="DD86" s="55" t="str">
        <f t="shared" si="101"/>
        <v/>
      </c>
      <c r="DE86" s="55" t="str">
        <f t="shared" si="101"/>
        <v/>
      </c>
      <c r="DF86" s="55" t="str">
        <f t="shared" si="101"/>
        <v/>
      </c>
      <c r="DG86" s="55" t="str">
        <f t="shared" si="101"/>
        <v/>
      </c>
      <c r="DH86" s="55" t="str">
        <f t="shared" si="101"/>
        <v/>
      </c>
      <c r="DI86" s="55" t="str">
        <f t="shared" si="101"/>
        <v/>
      </c>
      <c r="DJ86" s="55" t="str">
        <f t="shared" si="101"/>
        <v/>
      </c>
      <c r="DK86" s="55" t="str">
        <f t="shared" si="101"/>
        <v/>
      </c>
      <c r="DL86" s="55" t="str">
        <f t="shared" si="101"/>
        <v/>
      </c>
      <c r="DM86" s="55" t="str">
        <f t="shared" si="101"/>
        <v/>
      </c>
      <c r="DN86" s="55" t="str">
        <f t="shared" si="101"/>
        <v/>
      </c>
      <c r="DO86" s="55" t="str">
        <f t="shared" si="101"/>
        <v/>
      </c>
      <c r="DP86" s="55" t="str">
        <f t="shared" si="96"/>
        <v/>
      </c>
      <c r="DQ86" s="55" t="str">
        <f t="shared" si="96"/>
        <v/>
      </c>
      <c r="DR86" s="55" t="str">
        <f t="shared" si="96"/>
        <v/>
      </c>
      <c r="DS86" s="55" t="str">
        <f t="shared" si="96"/>
        <v/>
      </c>
      <c r="DT86" s="110" t="str">
        <f t="shared" si="96"/>
        <v/>
      </c>
      <c r="DU86" s="54"/>
      <c r="DV86" s="25"/>
      <c r="DW86" s="61" t="str">
        <f t="shared" si="97"/>
        <v/>
      </c>
      <c r="DX86" s="50" t="str">
        <f t="shared" si="97"/>
        <v/>
      </c>
      <c r="DY86" s="50" t="str">
        <f t="shared" si="97"/>
        <v/>
      </c>
      <c r="DZ86" s="50" t="str">
        <f t="shared" si="97"/>
        <v/>
      </c>
      <c r="EA86" s="50" t="str">
        <f t="shared" si="97"/>
        <v/>
      </c>
      <c r="EB86" s="50" t="str">
        <f t="shared" si="97"/>
        <v/>
      </c>
      <c r="EC86" s="50" t="str">
        <f t="shared" si="97"/>
        <v/>
      </c>
      <c r="ED86" s="50" t="str">
        <f t="shared" si="97"/>
        <v/>
      </c>
      <c r="EE86" s="50" t="str">
        <f t="shared" si="97"/>
        <v/>
      </c>
      <c r="EF86" s="50" t="str">
        <f t="shared" si="97"/>
        <v/>
      </c>
      <c r="EG86" s="50" t="str">
        <f t="shared" si="97"/>
        <v/>
      </c>
      <c r="EH86" s="50" t="str">
        <f t="shared" si="97"/>
        <v/>
      </c>
      <c r="EI86" s="50" t="str">
        <f t="shared" si="97"/>
        <v/>
      </c>
      <c r="EJ86" s="50" t="str">
        <f t="shared" si="97"/>
        <v/>
      </c>
      <c r="EK86" s="50" t="str">
        <f t="shared" si="97"/>
        <v/>
      </c>
      <c r="EL86" s="50" t="str">
        <f t="shared" si="97"/>
        <v/>
      </c>
      <c r="EM86" s="50" t="str">
        <f t="shared" si="107"/>
        <v/>
      </c>
      <c r="EN86" s="50" t="str">
        <f t="shared" si="107"/>
        <v/>
      </c>
      <c r="EO86" s="50" t="str">
        <f t="shared" si="107"/>
        <v/>
      </c>
      <c r="EP86" s="50" t="str">
        <f t="shared" si="107"/>
        <v/>
      </c>
      <c r="EQ86" s="50" t="str">
        <f t="shared" si="107"/>
        <v/>
      </c>
      <c r="ER86" s="50" t="str">
        <f t="shared" si="107"/>
        <v/>
      </c>
      <c r="ES86" s="50" t="str">
        <f t="shared" si="107"/>
        <v/>
      </c>
      <c r="ET86" s="50" t="str">
        <f t="shared" si="107"/>
        <v/>
      </c>
      <c r="EU86" s="50" t="str">
        <f t="shared" si="107"/>
        <v/>
      </c>
      <c r="EV86" s="50" t="str">
        <f t="shared" si="107"/>
        <v/>
      </c>
      <c r="EW86" s="50" t="str">
        <f t="shared" si="107"/>
        <v/>
      </c>
      <c r="EX86" s="50" t="str">
        <f t="shared" si="107"/>
        <v/>
      </c>
      <c r="EY86" s="50" t="str">
        <f t="shared" si="107"/>
        <v/>
      </c>
      <c r="EZ86" s="50" t="str">
        <f t="shared" si="107"/>
        <v/>
      </c>
      <c r="FA86" s="50" t="str">
        <f t="shared" si="107"/>
        <v/>
      </c>
      <c r="FB86" s="50" t="str">
        <f t="shared" si="107"/>
        <v/>
      </c>
      <c r="FC86" s="50" t="str">
        <f t="shared" si="108"/>
        <v/>
      </c>
      <c r="FD86" s="50" t="str">
        <f t="shared" si="108"/>
        <v/>
      </c>
      <c r="FE86" s="50" t="str">
        <f t="shared" si="108"/>
        <v/>
      </c>
      <c r="FF86" s="50" t="str">
        <f t="shared" si="108"/>
        <v/>
      </c>
      <c r="FG86" s="50" t="str">
        <f t="shared" si="108"/>
        <v/>
      </c>
      <c r="FH86" s="50" t="str">
        <f t="shared" si="108"/>
        <v/>
      </c>
      <c r="FI86" s="50" t="str">
        <f t="shared" si="108"/>
        <v/>
      </c>
      <c r="FJ86" s="50" t="str">
        <f t="shared" si="108"/>
        <v/>
      </c>
      <c r="FK86" s="50" t="str">
        <f t="shared" si="108"/>
        <v/>
      </c>
      <c r="FL86" s="50" t="str">
        <f t="shared" si="108"/>
        <v/>
      </c>
      <c r="FM86" s="50" t="str">
        <f t="shared" si="108"/>
        <v/>
      </c>
      <c r="FN86" s="50" t="str">
        <f t="shared" si="108"/>
        <v/>
      </c>
      <c r="FO86" s="50" t="str">
        <f t="shared" si="108"/>
        <v/>
      </c>
      <c r="FP86" s="50" t="str">
        <f t="shared" si="108"/>
        <v/>
      </c>
      <c r="FQ86" s="50" t="str">
        <f t="shared" si="108"/>
        <v/>
      </c>
      <c r="FR86" s="50" t="str">
        <f t="shared" si="108"/>
        <v/>
      </c>
      <c r="FS86" s="50" t="str">
        <f t="shared" si="109"/>
        <v/>
      </c>
      <c r="FT86" s="50" t="str">
        <f t="shared" si="109"/>
        <v/>
      </c>
      <c r="FU86" s="50" t="str">
        <f t="shared" si="109"/>
        <v/>
      </c>
      <c r="FV86" s="50" t="str">
        <f t="shared" si="109"/>
        <v/>
      </c>
      <c r="FW86" s="50" t="str">
        <f t="shared" si="109"/>
        <v/>
      </c>
      <c r="FX86" s="50" t="str">
        <f t="shared" si="109"/>
        <v/>
      </c>
      <c r="FY86" s="50" t="str">
        <f t="shared" si="109"/>
        <v/>
      </c>
      <c r="FZ86" s="50" t="str">
        <f t="shared" si="109"/>
        <v/>
      </c>
      <c r="GA86" s="50" t="str">
        <f t="shared" si="109"/>
        <v/>
      </c>
      <c r="GB86" s="50" t="str">
        <f t="shared" si="109"/>
        <v/>
      </c>
      <c r="GC86" s="50" t="str">
        <f t="shared" si="109"/>
        <v/>
      </c>
      <c r="GD86" s="50" t="str">
        <f t="shared" si="109"/>
        <v/>
      </c>
      <c r="GE86" s="50" t="str">
        <f t="shared" si="109"/>
        <v/>
      </c>
      <c r="GF86" s="50" t="str">
        <f t="shared" si="109"/>
        <v/>
      </c>
      <c r="GG86" s="50" t="str">
        <f t="shared" si="109"/>
        <v/>
      </c>
      <c r="GH86" s="50" t="str">
        <f t="shared" si="109"/>
        <v/>
      </c>
      <c r="GI86" s="50" t="str">
        <f t="shared" si="110"/>
        <v/>
      </c>
      <c r="GJ86" s="50" t="str">
        <f t="shared" si="110"/>
        <v/>
      </c>
      <c r="GK86" s="50" t="str">
        <f t="shared" si="110"/>
        <v/>
      </c>
      <c r="GL86" s="50" t="str">
        <f t="shared" si="110"/>
        <v/>
      </c>
      <c r="GM86" s="50" t="str">
        <f t="shared" si="110"/>
        <v/>
      </c>
      <c r="GN86" s="50" t="str">
        <f t="shared" si="110"/>
        <v/>
      </c>
      <c r="GO86" s="50" t="str">
        <f t="shared" si="110"/>
        <v/>
      </c>
      <c r="GP86" s="50" t="str">
        <f t="shared" si="110"/>
        <v/>
      </c>
      <c r="GQ86" s="50" t="str">
        <f t="shared" si="110"/>
        <v/>
      </c>
      <c r="GR86" s="50" t="str">
        <f t="shared" si="110"/>
        <v/>
      </c>
      <c r="GS86" s="50" t="str">
        <f t="shared" si="110"/>
        <v/>
      </c>
      <c r="GT86" s="50" t="str">
        <f t="shared" si="110"/>
        <v/>
      </c>
      <c r="GU86" s="50" t="str">
        <f t="shared" si="110"/>
        <v/>
      </c>
      <c r="GV86" s="50" t="str">
        <f t="shared" si="110"/>
        <v/>
      </c>
      <c r="GW86" s="50" t="str">
        <f t="shared" si="110"/>
        <v/>
      </c>
      <c r="GX86" s="50" t="str">
        <f t="shared" si="110"/>
        <v/>
      </c>
      <c r="GY86" s="50" t="str">
        <f t="shared" si="110"/>
        <v/>
      </c>
      <c r="GZ86" s="50" t="str">
        <f t="shared" si="110"/>
        <v/>
      </c>
      <c r="HA86" s="50" t="str">
        <f t="shared" si="110"/>
        <v/>
      </c>
      <c r="HB86" s="50" t="str">
        <f t="shared" si="110"/>
        <v/>
      </c>
      <c r="HC86" s="50" t="str">
        <f t="shared" si="110"/>
        <v/>
      </c>
      <c r="HD86" s="50" t="str">
        <f t="shared" si="110"/>
        <v/>
      </c>
      <c r="HE86" s="50" t="str">
        <f t="shared" si="110"/>
        <v/>
      </c>
      <c r="HF86" s="50" t="str">
        <f t="shared" si="110"/>
        <v/>
      </c>
      <c r="HG86" s="50" t="str">
        <f t="shared" si="99"/>
        <v/>
      </c>
      <c r="HH86" s="50" t="str">
        <f t="shared" si="99"/>
        <v/>
      </c>
      <c r="HI86" s="50" t="str">
        <f t="shared" si="99"/>
        <v/>
      </c>
      <c r="HJ86" s="50" t="str">
        <f t="shared" si="99"/>
        <v/>
      </c>
      <c r="HK86" s="50" t="str">
        <f t="shared" si="99"/>
        <v/>
      </c>
      <c r="HL86" s="50" t="str">
        <f t="shared" si="99"/>
        <v/>
      </c>
      <c r="HM86" s="50" t="str">
        <f t="shared" si="99"/>
        <v/>
      </c>
      <c r="HN86" s="50" t="str">
        <f t="shared" si="99"/>
        <v/>
      </c>
      <c r="HO86" s="50" t="str">
        <f t="shared" si="99"/>
        <v/>
      </c>
      <c r="HP86" s="50" t="str">
        <f t="shared" si="99"/>
        <v/>
      </c>
      <c r="HQ86" s="50" t="str">
        <f t="shared" si="99"/>
        <v/>
      </c>
      <c r="HR86" s="116" t="str">
        <f t="shared" si="99"/>
        <v/>
      </c>
    </row>
    <row r="87" spans="1:226" ht="11.15" customHeight="1" x14ac:dyDescent="0.25">
      <c r="A87" s="26"/>
      <c r="B87" s="27"/>
      <c r="C87" s="28" t="str">
        <f>IF(A87=0,"",VLOOKUP(A87,[3]CO!$A$3:$F$5327,2,0))</f>
        <v/>
      </c>
      <c r="D87" s="29"/>
      <c r="E87" s="29"/>
      <c r="F87" s="29"/>
      <c r="G87" s="30" t="str">
        <f>IF(A87=0,"",VLOOKUP(A87,[3]CO!$A$3:$F$5327,3,0))</f>
        <v/>
      </c>
      <c r="H87" s="95"/>
      <c r="I87" s="31"/>
      <c r="J87" s="31"/>
      <c r="K87" s="31"/>
      <c r="L87" s="31"/>
      <c r="M87" s="32" t="str">
        <f t="shared" si="91"/>
        <v/>
      </c>
      <c r="N87" s="32" t="str">
        <f>IF(B87=0,"",IF(H87="M",HLOOKUP(B87,$Y$12:$DT$13,2),IF(A87=0,"",VLOOKUP(A87,[3]CO!$A$3:$F$5327,4,0))))</f>
        <v/>
      </c>
      <c r="O87" s="32" t="str">
        <f t="shared" si="11"/>
        <v/>
      </c>
      <c r="P87" s="33"/>
      <c r="Q87" s="34" t="str">
        <f t="shared" si="92"/>
        <v/>
      </c>
      <c r="R87" s="35" t="str">
        <f t="shared" si="100"/>
        <v/>
      </c>
      <c r="S87" s="98"/>
      <c r="T87" s="53" t="str">
        <f>IF(A87=0,"",VLOOKUP(A87,[3]CO!$A$3:$F$5318,5,0))</f>
        <v/>
      </c>
      <c r="U87" s="54">
        <f t="shared" si="93"/>
        <v>0</v>
      </c>
      <c r="V87" s="24"/>
      <c r="W87" s="25"/>
      <c r="X87" s="25"/>
      <c r="Y87" s="64" t="str">
        <f t="shared" si="94"/>
        <v/>
      </c>
      <c r="Z87" s="55" t="str">
        <f t="shared" si="94"/>
        <v/>
      </c>
      <c r="AA87" s="55" t="str">
        <f t="shared" si="94"/>
        <v/>
      </c>
      <c r="AB87" s="55" t="str">
        <f t="shared" si="94"/>
        <v/>
      </c>
      <c r="AC87" s="55" t="str">
        <f t="shared" si="94"/>
        <v/>
      </c>
      <c r="AD87" s="55" t="str">
        <f t="shared" si="94"/>
        <v/>
      </c>
      <c r="AE87" s="55" t="str">
        <f t="shared" si="94"/>
        <v/>
      </c>
      <c r="AF87" s="55" t="str">
        <f t="shared" si="94"/>
        <v/>
      </c>
      <c r="AG87" s="55" t="str">
        <f t="shared" si="94"/>
        <v/>
      </c>
      <c r="AH87" s="55" t="str">
        <f t="shared" si="94"/>
        <v/>
      </c>
      <c r="AI87" s="55" t="str">
        <f t="shared" si="94"/>
        <v/>
      </c>
      <c r="AJ87" s="55" t="str">
        <f t="shared" si="94"/>
        <v/>
      </c>
      <c r="AK87" s="55" t="str">
        <f t="shared" si="94"/>
        <v/>
      </c>
      <c r="AL87" s="55" t="str">
        <f t="shared" si="94"/>
        <v/>
      </c>
      <c r="AM87" s="55" t="str">
        <f t="shared" si="94"/>
        <v/>
      </c>
      <c r="AN87" s="55" t="str">
        <f t="shared" si="94"/>
        <v/>
      </c>
      <c r="AO87" s="55" t="str">
        <f t="shared" si="103"/>
        <v/>
      </c>
      <c r="AP87" s="55" t="str">
        <f t="shared" si="103"/>
        <v/>
      </c>
      <c r="AQ87" s="55" t="str">
        <f t="shared" si="103"/>
        <v/>
      </c>
      <c r="AR87" s="55" t="str">
        <f t="shared" si="103"/>
        <v/>
      </c>
      <c r="AS87" s="55" t="str">
        <f t="shared" si="103"/>
        <v/>
      </c>
      <c r="AT87" s="55" t="str">
        <f t="shared" si="103"/>
        <v/>
      </c>
      <c r="AU87" s="55" t="str">
        <f t="shared" si="103"/>
        <v/>
      </c>
      <c r="AV87" s="55" t="str">
        <f t="shared" si="103"/>
        <v/>
      </c>
      <c r="AW87" s="55" t="str">
        <f t="shared" si="103"/>
        <v/>
      </c>
      <c r="AX87" s="55" t="str">
        <f t="shared" si="103"/>
        <v/>
      </c>
      <c r="AY87" s="55" t="str">
        <f t="shared" si="103"/>
        <v/>
      </c>
      <c r="AZ87" s="55" t="str">
        <f t="shared" si="103"/>
        <v/>
      </c>
      <c r="BA87" s="55" t="str">
        <f t="shared" si="103"/>
        <v/>
      </c>
      <c r="BB87" s="55" t="str">
        <f t="shared" si="103"/>
        <v/>
      </c>
      <c r="BC87" s="55" t="str">
        <f t="shared" si="103"/>
        <v/>
      </c>
      <c r="BD87" s="55" t="str">
        <f t="shared" si="103"/>
        <v/>
      </c>
      <c r="BE87" s="55" t="str">
        <f t="shared" si="104"/>
        <v/>
      </c>
      <c r="BF87" s="55" t="str">
        <f t="shared" si="104"/>
        <v/>
      </c>
      <c r="BG87" s="55" t="str">
        <f t="shared" si="104"/>
        <v/>
      </c>
      <c r="BH87" s="55" t="str">
        <f t="shared" si="104"/>
        <v/>
      </c>
      <c r="BI87" s="55" t="str">
        <f t="shared" si="104"/>
        <v/>
      </c>
      <c r="BJ87" s="55" t="str">
        <f t="shared" si="104"/>
        <v/>
      </c>
      <c r="BK87" s="55" t="str">
        <f t="shared" si="104"/>
        <v/>
      </c>
      <c r="BL87" s="55" t="str">
        <f t="shared" si="104"/>
        <v/>
      </c>
      <c r="BM87" s="55" t="str">
        <f t="shared" si="104"/>
        <v/>
      </c>
      <c r="BN87" s="55" t="str">
        <f t="shared" si="104"/>
        <v/>
      </c>
      <c r="BO87" s="55" t="str">
        <f t="shared" si="104"/>
        <v/>
      </c>
      <c r="BP87" s="55" t="str">
        <f t="shared" si="104"/>
        <v/>
      </c>
      <c r="BQ87" s="55" t="str">
        <f t="shared" si="104"/>
        <v/>
      </c>
      <c r="BR87" s="55" t="str">
        <f t="shared" si="104"/>
        <v/>
      </c>
      <c r="BS87" s="55" t="str">
        <f t="shared" si="104"/>
        <v/>
      </c>
      <c r="BT87" s="55" t="str">
        <f t="shared" si="104"/>
        <v/>
      </c>
      <c r="BU87" s="55" t="str">
        <f t="shared" si="104"/>
        <v/>
      </c>
      <c r="BV87" s="55" t="str">
        <f t="shared" si="104"/>
        <v/>
      </c>
      <c r="BW87" s="55" t="str">
        <f t="shared" si="104"/>
        <v/>
      </c>
      <c r="BX87" s="55" t="str">
        <f t="shared" si="104"/>
        <v/>
      </c>
      <c r="BY87" s="55" t="str">
        <f t="shared" si="105"/>
        <v/>
      </c>
      <c r="BZ87" s="55" t="str">
        <f t="shared" si="105"/>
        <v/>
      </c>
      <c r="CA87" s="55" t="str">
        <f t="shared" si="105"/>
        <v/>
      </c>
      <c r="CB87" s="55" t="str">
        <f t="shared" si="105"/>
        <v/>
      </c>
      <c r="CC87" s="55" t="str">
        <f t="shared" si="105"/>
        <v/>
      </c>
      <c r="CD87" s="55" t="str">
        <f t="shared" si="105"/>
        <v/>
      </c>
      <c r="CE87" s="55" t="str">
        <f t="shared" si="105"/>
        <v/>
      </c>
      <c r="CF87" s="55" t="str">
        <f t="shared" si="105"/>
        <v/>
      </c>
      <c r="CG87" s="55" t="str">
        <f t="shared" si="105"/>
        <v/>
      </c>
      <c r="CH87" s="55" t="str">
        <f t="shared" si="105"/>
        <v/>
      </c>
      <c r="CI87" s="55" t="str">
        <f t="shared" si="105"/>
        <v/>
      </c>
      <c r="CJ87" s="55" t="str">
        <f t="shared" si="105"/>
        <v/>
      </c>
      <c r="CK87" s="55" t="str">
        <f t="shared" si="105"/>
        <v/>
      </c>
      <c r="CL87" s="55" t="str">
        <f t="shared" si="105"/>
        <v/>
      </c>
      <c r="CM87" s="55" t="str">
        <f t="shared" si="105"/>
        <v/>
      </c>
      <c r="CN87" s="55" t="str">
        <f t="shared" si="105"/>
        <v/>
      </c>
      <c r="CO87" s="55" t="str">
        <f t="shared" si="106"/>
        <v/>
      </c>
      <c r="CP87" s="55" t="str">
        <f t="shared" si="106"/>
        <v/>
      </c>
      <c r="CQ87" s="55" t="str">
        <f t="shared" si="106"/>
        <v/>
      </c>
      <c r="CR87" s="55" t="str">
        <f t="shared" si="106"/>
        <v/>
      </c>
      <c r="CS87" s="55" t="str">
        <f t="shared" si="106"/>
        <v/>
      </c>
      <c r="CT87" s="55" t="str">
        <f t="shared" si="106"/>
        <v/>
      </c>
      <c r="CU87" s="55" t="str">
        <f t="shared" si="106"/>
        <v/>
      </c>
      <c r="CV87" s="55" t="str">
        <f t="shared" si="106"/>
        <v/>
      </c>
      <c r="CW87" s="55" t="str">
        <f t="shared" si="106"/>
        <v/>
      </c>
      <c r="CX87" s="55" t="str">
        <f t="shared" si="106"/>
        <v/>
      </c>
      <c r="CY87" s="55" t="str">
        <f t="shared" si="106"/>
        <v/>
      </c>
      <c r="CZ87" s="55" t="str">
        <f t="shared" si="101"/>
        <v/>
      </c>
      <c r="DA87" s="55" t="str">
        <f t="shared" si="101"/>
        <v/>
      </c>
      <c r="DB87" s="55" t="str">
        <f t="shared" si="101"/>
        <v/>
      </c>
      <c r="DC87" s="55" t="str">
        <f t="shared" si="101"/>
        <v/>
      </c>
      <c r="DD87" s="55" t="str">
        <f t="shared" si="101"/>
        <v/>
      </c>
      <c r="DE87" s="55" t="str">
        <f t="shared" si="101"/>
        <v/>
      </c>
      <c r="DF87" s="55" t="str">
        <f t="shared" si="101"/>
        <v/>
      </c>
      <c r="DG87" s="55" t="str">
        <f t="shared" si="101"/>
        <v/>
      </c>
      <c r="DH87" s="55" t="str">
        <f t="shared" si="101"/>
        <v/>
      </c>
      <c r="DI87" s="55" t="str">
        <f t="shared" si="101"/>
        <v/>
      </c>
      <c r="DJ87" s="55" t="str">
        <f t="shared" si="101"/>
        <v/>
      </c>
      <c r="DK87" s="55" t="str">
        <f t="shared" si="101"/>
        <v/>
      </c>
      <c r="DL87" s="55" t="str">
        <f t="shared" si="101"/>
        <v/>
      </c>
      <c r="DM87" s="55" t="str">
        <f t="shared" si="101"/>
        <v/>
      </c>
      <c r="DN87" s="55" t="str">
        <f t="shared" si="101"/>
        <v/>
      </c>
      <c r="DO87" s="55" t="str">
        <f t="shared" si="101"/>
        <v/>
      </c>
      <c r="DP87" s="55" t="str">
        <f t="shared" si="96"/>
        <v/>
      </c>
      <c r="DQ87" s="55" t="str">
        <f t="shared" si="96"/>
        <v/>
      </c>
      <c r="DR87" s="55" t="str">
        <f t="shared" si="96"/>
        <v/>
      </c>
      <c r="DS87" s="55" t="str">
        <f t="shared" si="96"/>
        <v/>
      </c>
      <c r="DT87" s="110" t="str">
        <f t="shared" si="96"/>
        <v/>
      </c>
      <c r="DU87" s="54"/>
      <c r="DV87" s="25"/>
      <c r="DW87" s="61" t="str">
        <f t="shared" si="97"/>
        <v/>
      </c>
      <c r="DX87" s="50" t="str">
        <f t="shared" si="97"/>
        <v/>
      </c>
      <c r="DY87" s="50" t="str">
        <f t="shared" si="97"/>
        <v/>
      </c>
      <c r="DZ87" s="50" t="str">
        <f t="shared" si="97"/>
        <v/>
      </c>
      <c r="EA87" s="50" t="str">
        <f t="shared" si="97"/>
        <v/>
      </c>
      <c r="EB87" s="50" t="str">
        <f t="shared" si="97"/>
        <v/>
      </c>
      <c r="EC87" s="50" t="str">
        <f t="shared" si="97"/>
        <v/>
      </c>
      <c r="ED87" s="50" t="str">
        <f t="shared" si="97"/>
        <v/>
      </c>
      <c r="EE87" s="50" t="str">
        <f t="shared" si="97"/>
        <v/>
      </c>
      <c r="EF87" s="50" t="str">
        <f t="shared" si="97"/>
        <v/>
      </c>
      <c r="EG87" s="50" t="str">
        <f t="shared" si="97"/>
        <v/>
      </c>
      <c r="EH87" s="50" t="str">
        <f t="shared" si="97"/>
        <v/>
      </c>
      <c r="EI87" s="50" t="str">
        <f t="shared" si="97"/>
        <v/>
      </c>
      <c r="EJ87" s="50" t="str">
        <f t="shared" si="97"/>
        <v/>
      </c>
      <c r="EK87" s="50" t="str">
        <f t="shared" si="97"/>
        <v/>
      </c>
      <c r="EL87" s="50" t="str">
        <f t="shared" si="97"/>
        <v/>
      </c>
      <c r="EM87" s="50" t="str">
        <f t="shared" si="107"/>
        <v/>
      </c>
      <c r="EN87" s="50" t="str">
        <f t="shared" si="107"/>
        <v/>
      </c>
      <c r="EO87" s="50" t="str">
        <f t="shared" si="107"/>
        <v/>
      </c>
      <c r="EP87" s="50" t="str">
        <f t="shared" si="107"/>
        <v/>
      </c>
      <c r="EQ87" s="50" t="str">
        <f t="shared" si="107"/>
        <v/>
      </c>
      <c r="ER87" s="50" t="str">
        <f t="shared" si="107"/>
        <v/>
      </c>
      <c r="ES87" s="50" t="str">
        <f t="shared" si="107"/>
        <v/>
      </c>
      <c r="ET87" s="50" t="str">
        <f t="shared" si="107"/>
        <v/>
      </c>
      <c r="EU87" s="50" t="str">
        <f t="shared" si="107"/>
        <v/>
      </c>
      <c r="EV87" s="50" t="str">
        <f t="shared" si="107"/>
        <v/>
      </c>
      <c r="EW87" s="50" t="str">
        <f t="shared" si="107"/>
        <v/>
      </c>
      <c r="EX87" s="50" t="str">
        <f t="shared" si="107"/>
        <v/>
      </c>
      <c r="EY87" s="50" t="str">
        <f t="shared" si="107"/>
        <v/>
      </c>
      <c r="EZ87" s="50" t="str">
        <f t="shared" si="107"/>
        <v/>
      </c>
      <c r="FA87" s="50" t="str">
        <f t="shared" si="107"/>
        <v/>
      </c>
      <c r="FB87" s="50" t="str">
        <f t="shared" si="107"/>
        <v/>
      </c>
      <c r="FC87" s="50" t="str">
        <f t="shared" si="108"/>
        <v/>
      </c>
      <c r="FD87" s="50" t="str">
        <f t="shared" si="108"/>
        <v/>
      </c>
      <c r="FE87" s="50" t="str">
        <f t="shared" si="108"/>
        <v/>
      </c>
      <c r="FF87" s="50" t="str">
        <f t="shared" si="108"/>
        <v/>
      </c>
      <c r="FG87" s="50" t="str">
        <f t="shared" si="108"/>
        <v/>
      </c>
      <c r="FH87" s="50" t="str">
        <f t="shared" si="108"/>
        <v/>
      </c>
      <c r="FI87" s="50" t="str">
        <f t="shared" si="108"/>
        <v/>
      </c>
      <c r="FJ87" s="50" t="str">
        <f t="shared" si="108"/>
        <v/>
      </c>
      <c r="FK87" s="50" t="str">
        <f t="shared" si="108"/>
        <v/>
      </c>
      <c r="FL87" s="50" t="str">
        <f t="shared" si="108"/>
        <v/>
      </c>
      <c r="FM87" s="50" t="str">
        <f t="shared" si="108"/>
        <v/>
      </c>
      <c r="FN87" s="50" t="str">
        <f t="shared" si="108"/>
        <v/>
      </c>
      <c r="FO87" s="50" t="str">
        <f t="shared" si="108"/>
        <v/>
      </c>
      <c r="FP87" s="50" t="str">
        <f t="shared" si="108"/>
        <v/>
      </c>
      <c r="FQ87" s="50" t="str">
        <f t="shared" si="108"/>
        <v/>
      </c>
      <c r="FR87" s="50" t="str">
        <f t="shared" si="108"/>
        <v/>
      </c>
      <c r="FS87" s="50" t="str">
        <f t="shared" si="109"/>
        <v/>
      </c>
      <c r="FT87" s="50" t="str">
        <f t="shared" si="109"/>
        <v/>
      </c>
      <c r="FU87" s="50" t="str">
        <f t="shared" si="109"/>
        <v/>
      </c>
      <c r="FV87" s="50" t="str">
        <f t="shared" si="109"/>
        <v/>
      </c>
      <c r="FW87" s="50" t="str">
        <f t="shared" si="109"/>
        <v/>
      </c>
      <c r="FX87" s="50" t="str">
        <f t="shared" si="109"/>
        <v/>
      </c>
      <c r="FY87" s="50" t="str">
        <f t="shared" si="109"/>
        <v/>
      </c>
      <c r="FZ87" s="50" t="str">
        <f t="shared" si="109"/>
        <v/>
      </c>
      <c r="GA87" s="50" t="str">
        <f t="shared" si="109"/>
        <v/>
      </c>
      <c r="GB87" s="50" t="str">
        <f t="shared" si="109"/>
        <v/>
      </c>
      <c r="GC87" s="50" t="str">
        <f t="shared" si="109"/>
        <v/>
      </c>
      <c r="GD87" s="50" t="str">
        <f t="shared" si="109"/>
        <v/>
      </c>
      <c r="GE87" s="50" t="str">
        <f t="shared" si="109"/>
        <v/>
      </c>
      <c r="GF87" s="50" t="str">
        <f t="shared" si="109"/>
        <v/>
      </c>
      <c r="GG87" s="50" t="str">
        <f t="shared" si="109"/>
        <v/>
      </c>
      <c r="GH87" s="50" t="str">
        <f t="shared" si="109"/>
        <v/>
      </c>
      <c r="GI87" s="50" t="str">
        <f t="shared" si="110"/>
        <v/>
      </c>
      <c r="GJ87" s="50" t="str">
        <f t="shared" si="110"/>
        <v/>
      </c>
      <c r="GK87" s="50" t="str">
        <f t="shared" si="110"/>
        <v/>
      </c>
      <c r="GL87" s="50" t="str">
        <f t="shared" si="110"/>
        <v/>
      </c>
      <c r="GM87" s="50" t="str">
        <f t="shared" si="110"/>
        <v/>
      </c>
      <c r="GN87" s="50" t="str">
        <f t="shared" si="110"/>
        <v/>
      </c>
      <c r="GO87" s="50" t="str">
        <f t="shared" si="110"/>
        <v/>
      </c>
      <c r="GP87" s="50" t="str">
        <f t="shared" si="110"/>
        <v/>
      </c>
      <c r="GQ87" s="50" t="str">
        <f t="shared" si="110"/>
        <v/>
      </c>
      <c r="GR87" s="50" t="str">
        <f t="shared" si="110"/>
        <v/>
      </c>
      <c r="GS87" s="50" t="str">
        <f t="shared" si="110"/>
        <v/>
      </c>
      <c r="GT87" s="50" t="str">
        <f t="shared" si="110"/>
        <v/>
      </c>
      <c r="GU87" s="50" t="str">
        <f t="shared" si="110"/>
        <v/>
      </c>
      <c r="GV87" s="50" t="str">
        <f t="shared" si="110"/>
        <v/>
      </c>
      <c r="GW87" s="50" t="str">
        <f t="shared" si="110"/>
        <v/>
      </c>
      <c r="GX87" s="50" t="str">
        <f t="shared" si="110"/>
        <v/>
      </c>
      <c r="GY87" s="50" t="str">
        <f t="shared" si="110"/>
        <v/>
      </c>
      <c r="GZ87" s="50" t="str">
        <f t="shared" si="110"/>
        <v/>
      </c>
      <c r="HA87" s="50" t="str">
        <f t="shared" si="110"/>
        <v/>
      </c>
      <c r="HB87" s="50" t="str">
        <f t="shared" si="110"/>
        <v/>
      </c>
      <c r="HC87" s="50" t="str">
        <f t="shared" si="110"/>
        <v/>
      </c>
      <c r="HD87" s="50" t="str">
        <f t="shared" si="110"/>
        <v/>
      </c>
      <c r="HE87" s="50" t="str">
        <f t="shared" si="110"/>
        <v/>
      </c>
      <c r="HF87" s="50" t="str">
        <f t="shared" si="110"/>
        <v/>
      </c>
      <c r="HG87" s="50" t="str">
        <f t="shared" si="99"/>
        <v/>
      </c>
      <c r="HH87" s="50" t="str">
        <f t="shared" si="99"/>
        <v/>
      </c>
      <c r="HI87" s="50" t="str">
        <f t="shared" si="99"/>
        <v/>
      </c>
      <c r="HJ87" s="50" t="str">
        <f t="shared" si="99"/>
        <v/>
      </c>
      <c r="HK87" s="50" t="str">
        <f t="shared" si="99"/>
        <v/>
      </c>
      <c r="HL87" s="50" t="str">
        <f t="shared" si="99"/>
        <v/>
      </c>
      <c r="HM87" s="50" t="str">
        <f t="shared" si="99"/>
        <v/>
      </c>
      <c r="HN87" s="50" t="str">
        <f t="shared" si="99"/>
        <v/>
      </c>
      <c r="HO87" s="50" t="str">
        <f t="shared" si="99"/>
        <v/>
      </c>
      <c r="HP87" s="50" t="str">
        <f t="shared" si="99"/>
        <v/>
      </c>
      <c r="HQ87" s="50" t="str">
        <f t="shared" si="99"/>
        <v/>
      </c>
      <c r="HR87" s="116" t="str">
        <f t="shared" si="99"/>
        <v/>
      </c>
    </row>
    <row r="88" spans="1:226" ht="11.15" customHeight="1" x14ac:dyDescent="0.25">
      <c r="A88" s="26"/>
      <c r="B88" s="27"/>
      <c r="C88" s="28" t="str">
        <f>IF(A88=0,"",VLOOKUP(A88,[3]CO!$A$3:$F$5327,2,0))</f>
        <v/>
      </c>
      <c r="D88" s="29"/>
      <c r="E88" s="29"/>
      <c r="F88" s="29"/>
      <c r="G88" s="30" t="str">
        <f>IF(A88=0,"",VLOOKUP(A88,[3]CO!$A$3:$F$5327,3,0))</f>
        <v/>
      </c>
      <c r="H88" s="95"/>
      <c r="I88" s="31"/>
      <c r="J88" s="31"/>
      <c r="K88" s="31"/>
      <c r="L88" s="31"/>
      <c r="M88" s="32" t="str">
        <f t="shared" si="91"/>
        <v/>
      </c>
      <c r="N88" s="32" t="str">
        <f>IF(B88=0,"",IF(H88="M",HLOOKUP(B88,$Y$12:$DT$13,2),IF(A88=0,"",VLOOKUP(A88,[3]CO!$A$3:$F$5327,4,0))))</f>
        <v/>
      </c>
      <c r="O88" s="32" t="str">
        <f t="shared" si="11"/>
        <v/>
      </c>
      <c r="P88" s="33"/>
      <c r="Q88" s="34" t="str">
        <f t="shared" si="92"/>
        <v/>
      </c>
      <c r="R88" s="35" t="str">
        <f t="shared" si="100"/>
        <v/>
      </c>
      <c r="S88" s="98"/>
      <c r="T88" s="53" t="str">
        <f>IF(A88=0,"",VLOOKUP(A88,[3]CO!$A$3:$F$5318,5,0))</f>
        <v/>
      </c>
      <c r="U88" s="54">
        <f t="shared" si="93"/>
        <v>0</v>
      </c>
      <c r="V88" s="24"/>
      <c r="W88" s="25"/>
      <c r="X88" s="25"/>
      <c r="Y88" s="64" t="str">
        <f t="shared" si="94"/>
        <v/>
      </c>
      <c r="Z88" s="55" t="str">
        <f t="shared" si="94"/>
        <v/>
      </c>
      <c r="AA88" s="55" t="str">
        <f t="shared" si="94"/>
        <v/>
      </c>
      <c r="AB88" s="55" t="str">
        <f t="shared" si="94"/>
        <v/>
      </c>
      <c r="AC88" s="55" t="str">
        <f t="shared" si="94"/>
        <v/>
      </c>
      <c r="AD88" s="55" t="str">
        <f t="shared" si="94"/>
        <v/>
      </c>
      <c r="AE88" s="55" t="str">
        <f t="shared" si="94"/>
        <v/>
      </c>
      <c r="AF88" s="55" t="str">
        <f t="shared" si="94"/>
        <v/>
      </c>
      <c r="AG88" s="55" t="str">
        <f t="shared" si="94"/>
        <v/>
      </c>
      <c r="AH88" s="55" t="str">
        <f t="shared" si="94"/>
        <v/>
      </c>
      <c r="AI88" s="55" t="str">
        <f t="shared" si="94"/>
        <v/>
      </c>
      <c r="AJ88" s="55" t="str">
        <f t="shared" si="94"/>
        <v/>
      </c>
      <c r="AK88" s="55" t="str">
        <f t="shared" si="94"/>
        <v/>
      </c>
      <c r="AL88" s="55" t="str">
        <f t="shared" si="94"/>
        <v/>
      </c>
      <c r="AM88" s="55" t="str">
        <f t="shared" si="94"/>
        <v/>
      </c>
      <c r="AN88" s="55" t="str">
        <f t="shared" si="94"/>
        <v/>
      </c>
      <c r="AO88" s="55" t="str">
        <f t="shared" si="103"/>
        <v/>
      </c>
      <c r="AP88" s="55" t="str">
        <f t="shared" si="103"/>
        <v/>
      </c>
      <c r="AQ88" s="55" t="str">
        <f t="shared" si="103"/>
        <v/>
      </c>
      <c r="AR88" s="55" t="str">
        <f t="shared" si="103"/>
        <v/>
      </c>
      <c r="AS88" s="55" t="str">
        <f t="shared" si="103"/>
        <v/>
      </c>
      <c r="AT88" s="55" t="str">
        <f t="shared" si="103"/>
        <v/>
      </c>
      <c r="AU88" s="55" t="str">
        <f t="shared" si="103"/>
        <v/>
      </c>
      <c r="AV88" s="55" t="str">
        <f t="shared" si="103"/>
        <v/>
      </c>
      <c r="AW88" s="55" t="str">
        <f t="shared" si="103"/>
        <v/>
      </c>
      <c r="AX88" s="55" t="str">
        <f t="shared" si="103"/>
        <v/>
      </c>
      <c r="AY88" s="55" t="str">
        <f t="shared" si="103"/>
        <v/>
      </c>
      <c r="AZ88" s="55" t="str">
        <f t="shared" si="103"/>
        <v/>
      </c>
      <c r="BA88" s="55" t="str">
        <f t="shared" si="103"/>
        <v/>
      </c>
      <c r="BB88" s="55" t="str">
        <f t="shared" si="103"/>
        <v/>
      </c>
      <c r="BC88" s="55" t="str">
        <f t="shared" si="103"/>
        <v/>
      </c>
      <c r="BD88" s="55" t="str">
        <f t="shared" si="103"/>
        <v/>
      </c>
      <c r="BE88" s="55" t="str">
        <f t="shared" si="104"/>
        <v/>
      </c>
      <c r="BF88" s="55" t="str">
        <f t="shared" si="104"/>
        <v/>
      </c>
      <c r="BG88" s="55" t="str">
        <f t="shared" si="104"/>
        <v/>
      </c>
      <c r="BH88" s="55" t="str">
        <f t="shared" si="104"/>
        <v/>
      </c>
      <c r="BI88" s="55" t="str">
        <f t="shared" si="104"/>
        <v/>
      </c>
      <c r="BJ88" s="55" t="str">
        <f t="shared" si="104"/>
        <v/>
      </c>
      <c r="BK88" s="55" t="str">
        <f t="shared" si="104"/>
        <v/>
      </c>
      <c r="BL88" s="55" t="str">
        <f t="shared" si="104"/>
        <v/>
      </c>
      <c r="BM88" s="55" t="str">
        <f t="shared" si="104"/>
        <v/>
      </c>
      <c r="BN88" s="55" t="str">
        <f t="shared" si="104"/>
        <v/>
      </c>
      <c r="BO88" s="55" t="str">
        <f t="shared" si="104"/>
        <v/>
      </c>
      <c r="BP88" s="55" t="str">
        <f t="shared" si="104"/>
        <v/>
      </c>
      <c r="BQ88" s="55" t="str">
        <f t="shared" si="104"/>
        <v/>
      </c>
      <c r="BR88" s="55" t="str">
        <f t="shared" si="104"/>
        <v/>
      </c>
      <c r="BS88" s="55" t="str">
        <f t="shared" si="104"/>
        <v/>
      </c>
      <c r="BT88" s="55" t="str">
        <f t="shared" si="104"/>
        <v/>
      </c>
      <c r="BU88" s="55" t="str">
        <f t="shared" si="104"/>
        <v/>
      </c>
      <c r="BV88" s="55" t="str">
        <f t="shared" si="104"/>
        <v/>
      </c>
      <c r="BW88" s="55" t="str">
        <f t="shared" si="104"/>
        <v/>
      </c>
      <c r="BX88" s="55" t="str">
        <f t="shared" si="104"/>
        <v/>
      </c>
      <c r="BY88" s="55" t="str">
        <f t="shared" si="105"/>
        <v/>
      </c>
      <c r="BZ88" s="55" t="str">
        <f t="shared" si="105"/>
        <v/>
      </c>
      <c r="CA88" s="55" t="str">
        <f t="shared" si="105"/>
        <v/>
      </c>
      <c r="CB88" s="55" t="str">
        <f t="shared" si="105"/>
        <v/>
      </c>
      <c r="CC88" s="55" t="str">
        <f t="shared" si="105"/>
        <v/>
      </c>
      <c r="CD88" s="55" t="str">
        <f t="shared" si="105"/>
        <v/>
      </c>
      <c r="CE88" s="55" t="str">
        <f t="shared" si="105"/>
        <v/>
      </c>
      <c r="CF88" s="55" t="str">
        <f t="shared" si="105"/>
        <v/>
      </c>
      <c r="CG88" s="55" t="str">
        <f t="shared" si="105"/>
        <v/>
      </c>
      <c r="CH88" s="55" t="str">
        <f t="shared" si="105"/>
        <v/>
      </c>
      <c r="CI88" s="55" t="str">
        <f t="shared" si="105"/>
        <v/>
      </c>
      <c r="CJ88" s="55" t="str">
        <f t="shared" si="105"/>
        <v/>
      </c>
      <c r="CK88" s="55" t="str">
        <f t="shared" si="105"/>
        <v/>
      </c>
      <c r="CL88" s="55" t="str">
        <f t="shared" si="105"/>
        <v/>
      </c>
      <c r="CM88" s="55" t="str">
        <f t="shared" si="105"/>
        <v/>
      </c>
      <c r="CN88" s="55" t="str">
        <f t="shared" si="105"/>
        <v/>
      </c>
      <c r="CO88" s="55" t="str">
        <f t="shared" si="106"/>
        <v/>
      </c>
      <c r="CP88" s="55" t="str">
        <f t="shared" si="106"/>
        <v/>
      </c>
      <c r="CQ88" s="55" t="str">
        <f t="shared" si="106"/>
        <v/>
      </c>
      <c r="CR88" s="55" t="str">
        <f t="shared" si="106"/>
        <v/>
      </c>
      <c r="CS88" s="55" t="str">
        <f t="shared" si="106"/>
        <v/>
      </c>
      <c r="CT88" s="55" t="str">
        <f t="shared" si="106"/>
        <v/>
      </c>
      <c r="CU88" s="55" t="str">
        <f t="shared" si="106"/>
        <v/>
      </c>
      <c r="CV88" s="55" t="str">
        <f t="shared" si="106"/>
        <v/>
      </c>
      <c r="CW88" s="55" t="str">
        <f t="shared" si="106"/>
        <v/>
      </c>
      <c r="CX88" s="55" t="str">
        <f t="shared" si="106"/>
        <v/>
      </c>
      <c r="CY88" s="55" t="str">
        <f t="shared" si="106"/>
        <v/>
      </c>
      <c r="CZ88" s="55" t="str">
        <f t="shared" si="101"/>
        <v/>
      </c>
      <c r="DA88" s="55" t="str">
        <f t="shared" si="101"/>
        <v/>
      </c>
      <c r="DB88" s="55" t="str">
        <f t="shared" si="101"/>
        <v/>
      </c>
      <c r="DC88" s="55" t="str">
        <f t="shared" si="101"/>
        <v/>
      </c>
      <c r="DD88" s="55" t="str">
        <f t="shared" si="101"/>
        <v/>
      </c>
      <c r="DE88" s="55" t="str">
        <f t="shared" si="101"/>
        <v/>
      </c>
      <c r="DF88" s="55" t="str">
        <f t="shared" si="101"/>
        <v/>
      </c>
      <c r="DG88" s="55" t="str">
        <f t="shared" si="101"/>
        <v/>
      </c>
      <c r="DH88" s="55" t="str">
        <f t="shared" si="101"/>
        <v/>
      </c>
      <c r="DI88" s="55" t="str">
        <f t="shared" si="101"/>
        <v/>
      </c>
      <c r="DJ88" s="55" t="str">
        <f t="shared" si="101"/>
        <v/>
      </c>
      <c r="DK88" s="55" t="str">
        <f t="shared" si="101"/>
        <v/>
      </c>
      <c r="DL88" s="55" t="str">
        <f t="shared" si="101"/>
        <v/>
      </c>
      <c r="DM88" s="55" t="str">
        <f t="shared" si="101"/>
        <v/>
      </c>
      <c r="DN88" s="55" t="str">
        <f t="shared" si="101"/>
        <v/>
      </c>
      <c r="DO88" s="55" t="str">
        <f t="shared" si="101"/>
        <v/>
      </c>
      <c r="DP88" s="55" t="str">
        <f t="shared" si="96"/>
        <v/>
      </c>
      <c r="DQ88" s="55" t="str">
        <f t="shared" si="96"/>
        <v/>
      </c>
      <c r="DR88" s="55" t="str">
        <f t="shared" si="96"/>
        <v/>
      </c>
      <c r="DS88" s="55" t="str">
        <f t="shared" si="96"/>
        <v/>
      </c>
      <c r="DT88" s="110" t="str">
        <f t="shared" si="96"/>
        <v/>
      </c>
      <c r="DU88" s="54"/>
      <c r="DV88" s="25"/>
      <c r="DW88" s="61" t="str">
        <f t="shared" si="97"/>
        <v/>
      </c>
      <c r="DX88" s="50" t="str">
        <f t="shared" si="97"/>
        <v/>
      </c>
      <c r="DY88" s="50" t="str">
        <f t="shared" si="97"/>
        <v/>
      </c>
      <c r="DZ88" s="50" t="str">
        <f t="shared" si="97"/>
        <v/>
      </c>
      <c r="EA88" s="50" t="str">
        <f t="shared" si="97"/>
        <v/>
      </c>
      <c r="EB88" s="50" t="str">
        <f t="shared" si="97"/>
        <v/>
      </c>
      <c r="EC88" s="50" t="str">
        <f t="shared" si="97"/>
        <v/>
      </c>
      <c r="ED88" s="50" t="str">
        <f t="shared" si="97"/>
        <v/>
      </c>
      <c r="EE88" s="50" t="str">
        <f t="shared" si="97"/>
        <v/>
      </c>
      <c r="EF88" s="50" t="str">
        <f t="shared" si="97"/>
        <v/>
      </c>
      <c r="EG88" s="50" t="str">
        <f t="shared" si="97"/>
        <v/>
      </c>
      <c r="EH88" s="50" t="str">
        <f t="shared" si="97"/>
        <v/>
      </c>
      <c r="EI88" s="50" t="str">
        <f t="shared" si="97"/>
        <v/>
      </c>
      <c r="EJ88" s="50" t="str">
        <f t="shared" si="97"/>
        <v/>
      </c>
      <c r="EK88" s="50" t="str">
        <f t="shared" si="97"/>
        <v/>
      </c>
      <c r="EL88" s="50" t="str">
        <f t="shared" si="97"/>
        <v/>
      </c>
      <c r="EM88" s="50" t="str">
        <f t="shared" si="107"/>
        <v/>
      </c>
      <c r="EN88" s="50" t="str">
        <f t="shared" si="107"/>
        <v/>
      </c>
      <c r="EO88" s="50" t="str">
        <f t="shared" si="107"/>
        <v/>
      </c>
      <c r="EP88" s="50" t="str">
        <f t="shared" si="107"/>
        <v/>
      </c>
      <c r="EQ88" s="50" t="str">
        <f t="shared" si="107"/>
        <v/>
      </c>
      <c r="ER88" s="50" t="str">
        <f t="shared" si="107"/>
        <v/>
      </c>
      <c r="ES88" s="50" t="str">
        <f t="shared" si="107"/>
        <v/>
      </c>
      <c r="ET88" s="50" t="str">
        <f t="shared" si="107"/>
        <v/>
      </c>
      <c r="EU88" s="50" t="str">
        <f t="shared" si="107"/>
        <v/>
      </c>
      <c r="EV88" s="50" t="str">
        <f t="shared" si="107"/>
        <v/>
      </c>
      <c r="EW88" s="50" t="str">
        <f t="shared" si="107"/>
        <v/>
      </c>
      <c r="EX88" s="50" t="str">
        <f t="shared" si="107"/>
        <v/>
      </c>
      <c r="EY88" s="50" t="str">
        <f t="shared" si="107"/>
        <v/>
      </c>
      <c r="EZ88" s="50" t="str">
        <f t="shared" si="107"/>
        <v/>
      </c>
      <c r="FA88" s="50" t="str">
        <f t="shared" si="107"/>
        <v/>
      </c>
      <c r="FB88" s="50" t="str">
        <f t="shared" si="107"/>
        <v/>
      </c>
      <c r="FC88" s="50" t="str">
        <f t="shared" si="108"/>
        <v/>
      </c>
      <c r="FD88" s="50" t="str">
        <f t="shared" si="108"/>
        <v/>
      </c>
      <c r="FE88" s="50" t="str">
        <f t="shared" si="108"/>
        <v/>
      </c>
      <c r="FF88" s="50" t="str">
        <f t="shared" si="108"/>
        <v/>
      </c>
      <c r="FG88" s="50" t="str">
        <f t="shared" si="108"/>
        <v/>
      </c>
      <c r="FH88" s="50" t="str">
        <f t="shared" si="108"/>
        <v/>
      </c>
      <c r="FI88" s="50" t="str">
        <f t="shared" si="108"/>
        <v/>
      </c>
      <c r="FJ88" s="50" t="str">
        <f t="shared" si="108"/>
        <v/>
      </c>
      <c r="FK88" s="50" t="str">
        <f t="shared" si="108"/>
        <v/>
      </c>
      <c r="FL88" s="50" t="str">
        <f t="shared" si="108"/>
        <v/>
      </c>
      <c r="FM88" s="50" t="str">
        <f t="shared" si="108"/>
        <v/>
      </c>
      <c r="FN88" s="50" t="str">
        <f t="shared" si="108"/>
        <v/>
      </c>
      <c r="FO88" s="50" t="str">
        <f t="shared" si="108"/>
        <v/>
      </c>
      <c r="FP88" s="50" t="str">
        <f t="shared" si="108"/>
        <v/>
      </c>
      <c r="FQ88" s="50" t="str">
        <f t="shared" si="108"/>
        <v/>
      </c>
      <c r="FR88" s="50" t="str">
        <f t="shared" si="108"/>
        <v/>
      </c>
      <c r="FS88" s="50" t="str">
        <f t="shared" si="109"/>
        <v/>
      </c>
      <c r="FT88" s="50" t="str">
        <f t="shared" si="109"/>
        <v/>
      </c>
      <c r="FU88" s="50" t="str">
        <f t="shared" si="109"/>
        <v/>
      </c>
      <c r="FV88" s="50" t="str">
        <f t="shared" si="109"/>
        <v/>
      </c>
      <c r="FW88" s="50" t="str">
        <f t="shared" si="109"/>
        <v/>
      </c>
      <c r="FX88" s="50" t="str">
        <f t="shared" si="109"/>
        <v/>
      </c>
      <c r="FY88" s="50" t="str">
        <f t="shared" si="109"/>
        <v/>
      </c>
      <c r="FZ88" s="50" t="str">
        <f t="shared" si="109"/>
        <v/>
      </c>
      <c r="GA88" s="50" t="str">
        <f t="shared" si="109"/>
        <v/>
      </c>
      <c r="GB88" s="50" t="str">
        <f t="shared" si="109"/>
        <v/>
      </c>
      <c r="GC88" s="50" t="str">
        <f t="shared" si="109"/>
        <v/>
      </c>
      <c r="GD88" s="50" t="str">
        <f t="shared" si="109"/>
        <v/>
      </c>
      <c r="GE88" s="50" t="str">
        <f t="shared" si="109"/>
        <v/>
      </c>
      <c r="GF88" s="50" t="str">
        <f t="shared" si="109"/>
        <v/>
      </c>
      <c r="GG88" s="50" t="str">
        <f t="shared" si="109"/>
        <v/>
      </c>
      <c r="GH88" s="50" t="str">
        <f t="shared" si="109"/>
        <v/>
      </c>
      <c r="GI88" s="50" t="str">
        <f t="shared" si="110"/>
        <v/>
      </c>
      <c r="GJ88" s="50" t="str">
        <f t="shared" si="110"/>
        <v/>
      </c>
      <c r="GK88" s="50" t="str">
        <f t="shared" si="110"/>
        <v/>
      </c>
      <c r="GL88" s="50" t="str">
        <f t="shared" si="110"/>
        <v/>
      </c>
      <c r="GM88" s="50" t="str">
        <f t="shared" si="110"/>
        <v/>
      </c>
      <c r="GN88" s="50" t="str">
        <f t="shared" si="110"/>
        <v/>
      </c>
      <c r="GO88" s="50" t="str">
        <f t="shared" si="110"/>
        <v/>
      </c>
      <c r="GP88" s="50" t="str">
        <f t="shared" si="110"/>
        <v/>
      </c>
      <c r="GQ88" s="50" t="str">
        <f t="shared" si="110"/>
        <v/>
      </c>
      <c r="GR88" s="50" t="str">
        <f t="shared" si="110"/>
        <v/>
      </c>
      <c r="GS88" s="50" t="str">
        <f t="shared" si="110"/>
        <v/>
      </c>
      <c r="GT88" s="50" t="str">
        <f t="shared" si="110"/>
        <v/>
      </c>
      <c r="GU88" s="50" t="str">
        <f t="shared" si="110"/>
        <v/>
      </c>
      <c r="GV88" s="50" t="str">
        <f t="shared" si="110"/>
        <v/>
      </c>
      <c r="GW88" s="50" t="str">
        <f t="shared" si="110"/>
        <v/>
      </c>
      <c r="GX88" s="50" t="str">
        <f t="shared" si="110"/>
        <v/>
      </c>
      <c r="GY88" s="50" t="str">
        <f t="shared" si="110"/>
        <v/>
      </c>
      <c r="GZ88" s="50" t="str">
        <f t="shared" si="110"/>
        <v/>
      </c>
      <c r="HA88" s="50" t="str">
        <f t="shared" si="110"/>
        <v/>
      </c>
      <c r="HB88" s="50" t="str">
        <f t="shared" si="110"/>
        <v/>
      </c>
      <c r="HC88" s="50" t="str">
        <f t="shared" si="110"/>
        <v/>
      </c>
      <c r="HD88" s="50" t="str">
        <f t="shared" si="110"/>
        <v/>
      </c>
      <c r="HE88" s="50" t="str">
        <f t="shared" si="110"/>
        <v/>
      </c>
      <c r="HF88" s="50" t="str">
        <f t="shared" si="110"/>
        <v/>
      </c>
      <c r="HG88" s="50" t="str">
        <f t="shared" si="99"/>
        <v/>
      </c>
      <c r="HH88" s="50" t="str">
        <f t="shared" si="99"/>
        <v/>
      </c>
      <c r="HI88" s="50" t="str">
        <f t="shared" si="99"/>
        <v/>
      </c>
      <c r="HJ88" s="50" t="str">
        <f t="shared" si="99"/>
        <v/>
      </c>
      <c r="HK88" s="50" t="str">
        <f t="shared" si="99"/>
        <v/>
      </c>
      <c r="HL88" s="50" t="str">
        <f t="shared" si="99"/>
        <v/>
      </c>
      <c r="HM88" s="50" t="str">
        <f t="shared" si="99"/>
        <v/>
      </c>
      <c r="HN88" s="50" t="str">
        <f t="shared" si="99"/>
        <v/>
      </c>
      <c r="HO88" s="50" t="str">
        <f t="shared" si="99"/>
        <v/>
      </c>
      <c r="HP88" s="50" t="str">
        <f t="shared" si="99"/>
        <v/>
      </c>
      <c r="HQ88" s="50" t="str">
        <f t="shared" si="99"/>
        <v/>
      </c>
      <c r="HR88" s="116" t="str">
        <f t="shared" si="99"/>
        <v/>
      </c>
    </row>
    <row r="89" spans="1:226" ht="11.15" customHeight="1" x14ac:dyDescent="0.25">
      <c r="A89" s="26"/>
      <c r="B89" s="27"/>
      <c r="C89" s="28" t="str">
        <f>IF(A89=0,"",VLOOKUP(A89,[3]CO!$A$3:$F$5327,2,0))</f>
        <v/>
      </c>
      <c r="D89" s="29"/>
      <c r="E89" s="29"/>
      <c r="F89" s="29"/>
      <c r="G89" s="30" t="str">
        <f>IF(A89=0,"",VLOOKUP(A89,[3]CO!$A$3:$F$5327,3,0))</f>
        <v/>
      </c>
      <c r="H89" s="95"/>
      <c r="I89" s="31"/>
      <c r="J89" s="31"/>
      <c r="K89" s="31"/>
      <c r="L89" s="31"/>
      <c r="M89" s="32" t="str">
        <f t="shared" si="91"/>
        <v/>
      </c>
      <c r="N89" s="32" t="str">
        <f>IF(B89=0,"",IF(H89="M",HLOOKUP(B89,$Y$12:$DT$13,2),IF(A89=0,"",VLOOKUP(A89,[3]CO!$A$3:$F$5327,4,0))))</f>
        <v/>
      </c>
      <c r="O89" s="32" t="str">
        <f t="shared" si="11"/>
        <v/>
      </c>
      <c r="P89" s="33"/>
      <c r="Q89" s="34" t="str">
        <f t="shared" si="92"/>
        <v/>
      </c>
      <c r="R89" s="35" t="str">
        <f t="shared" si="100"/>
        <v/>
      </c>
      <c r="S89" s="98"/>
      <c r="T89" s="53" t="str">
        <f>IF(A89=0,"",VLOOKUP(A89,[3]CO!$A$3:$F$5318,5,0))</f>
        <v/>
      </c>
      <c r="U89" s="54">
        <f t="shared" si="93"/>
        <v>0</v>
      </c>
      <c r="V89" s="24"/>
      <c r="W89" s="25"/>
      <c r="X89" s="25"/>
      <c r="Y89" s="64" t="str">
        <f t="shared" si="94"/>
        <v/>
      </c>
      <c r="Z89" s="55" t="str">
        <f t="shared" si="94"/>
        <v/>
      </c>
      <c r="AA89" s="55" t="str">
        <f t="shared" si="94"/>
        <v/>
      </c>
      <c r="AB89" s="55" t="str">
        <f t="shared" si="94"/>
        <v/>
      </c>
      <c r="AC89" s="55" t="str">
        <f t="shared" si="94"/>
        <v/>
      </c>
      <c r="AD89" s="55" t="str">
        <f t="shared" si="94"/>
        <v/>
      </c>
      <c r="AE89" s="55" t="str">
        <f t="shared" si="94"/>
        <v/>
      </c>
      <c r="AF89" s="55" t="str">
        <f t="shared" si="94"/>
        <v/>
      </c>
      <c r="AG89" s="55" t="str">
        <f t="shared" si="94"/>
        <v/>
      </c>
      <c r="AH89" s="55" t="str">
        <f t="shared" si="94"/>
        <v/>
      </c>
      <c r="AI89" s="55" t="str">
        <f t="shared" si="94"/>
        <v/>
      </c>
      <c r="AJ89" s="55" t="str">
        <f t="shared" si="94"/>
        <v/>
      </c>
      <c r="AK89" s="55" t="str">
        <f t="shared" si="94"/>
        <v/>
      </c>
      <c r="AL89" s="55" t="str">
        <f t="shared" si="94"/>
        <v/>
      </c>
      <c r="AM89" s="55" t="str">
        <f t="shared" si="94"/>
        <v/>
      </c>
      <c r="AN89" s="55" t="str">
        <f t="shared" si="94"/>
        <v/>
      </c>
      <c r="AO89" s="55" t="str">
        <f t="shared" si="103"/>
        <v/>
      </c>
      <c r="AP89" s="55" t="str">
        <f t="shared" si="103"/>
        <v/>
      </c>
      <c r="AQ89" s="55" t="str">
        <f t="shared" si="103"/>
        <v/>
      </c>
      <c r="AR89" s="55" t="str">
        <f t="shared" si="103"/>
        <v/>
      </c>
      <c r="AS89" s="55" t="str">
        <f t="shared" si="103"/>
        <v/>
      </c>
      <c r="AT89" s="55" t="str">
        <f t="shared" si="103"/>
        <v/>
      </c>
      <c r="AU89" s="55" t="str">
        <f t="shared" si="103"/>
        <v/>
      </c>
      <c r="AV89" s="55" t="str">
        <f t="shared" si="103"/>
        <v/>
      </c>
      <c r="AW89" s="55" t="str">
        <f t="shared" si="103"/>
        <v/>
      </c>
      <c r="AX89" s="55" t="str">
        <f t="shared" si="103"/>
        <v/>
      </c>
      <c r="AY89" s="55" t="str">
        <f t="shared" si="103"/>
        <v/>
      </c>
      <c r="AZ89" s="55" t="str">
        <f t="shared" si="103"/>
        <v/>
      </c>
      <c r="BA89" s="55" t="str">
        <f t="shared" si="103"/>
        <v/>
      </c>
      <c r="BB89" s="55" t="str">
        <f t="shared" si="103"/>
        <v/>
      </c>
      <c r="BC89" s="55" t="str">
        <f t="shared" si="103"/>
        <v/>
      </c>
      <c r="BD89" s="55" t="str">
        <f t="shared" si="103"/>
        <v/>
      </c>
      <c r="BE89" s="55" t="str">
        <f t="shared" si="104"/>
        <v/>
      </c>
      <c r="BF89" s="55" t="str">
        <f t="shared" si="104"/>
        <v/>
      </c>
      <c r="BG89" s="55" t="str">
        <f t="shared" si="104"/>
        <v/>
      </c>
      <c r="BH89" s="55" t="str">
        <f t="shared" si="104"/>
        <v/>
      </c>
      <c r="BI89" s="55" t="str">
        <f t="shared" si="104"/>
        <v/>
      </c>
      <c r="BJ89" s="55" t="str">
        <f t="shared" si="104"/>
        <v/>
      </c>
      <c r="BK89" s="55" t="str">
        <f t="shared" si="104"/>
        <v/>
      </c>
      <c r="BL89" s="55" t="str">
        <f t="shared" si="104"/>
        <v/>
      </c>
      <c r="BM89" s="55" t="str">
        <f t="shared" si="104"/>
        <v/>
      </c>
      <c r="BN89" s="55" t="str">
        <f t="shared" si="104"/>
        <v/>
      </c>
      <c r="BO89" s="55" t="str">
        <f t="shared" si="104"/>
        <v/>
      </c>
      <c r="BP89" s="55" t="str">
        <f t="shared" si="104"/>
        <v/>
      </c>
      <c r="BQ89" s="55" t="str">
        <f t="shared" si="104"/>
        <v/>
      </c>
      <c r="BR89" s="55" t="str">
        <f t="shared" si="104"/>
        <v/>
      </c>
      <c r="BS89" s="55" t="str">
        <f t="shared" si="104"/>
        <v/>
      </c>
      <c r="BT89" s="55" t="str">
        <f t="shared" si="104"/>
        <v/>
      </c>
      <c r="BU89" s="55" t="str">
        <f t="shared" si="104"/>
        <v/>
      </c>
      <c r="BV89" s="55" t="str">
        <f t="shared" si="104"/>
        <v/>
      </c>
      <c r="BW89" s="55" t="str">
        <f t="shared" si="104"/>
        <v/>
      </c>
      <c r="BX89" s="55" t="str">
        <f t="shared" si="104"/>
        <v/>
      </c>
      <c r="BY89" s="55" t="str">
        <f t="shared" si="105"/>
        <v/>
      </c>
      <c r="BZ89" s="55" t="str">
        <f t="shared" si="105"/>
        <v/>
      </c>
      <c r="CA89" s="55" t="str">
        <f t="shared" si="105"/>
        <v/>
      </c>
      <c r="CB89" s="55" t="str">
        <f t="shared" si="105"/>
        <v/>
      </c>
      <c r="CC89" s="55" t="str">
        <f t="shared" si="105"/>
        <v/>
      </c>
      <c r="CD89" s="55" t="str">
        <f t="shared" si="105"/>
        <v/>
      </c>
      <c r="CE89" s="55" t="str">
        <f t="shared" si="105"/>
        <v/>
      </c>
      <c r="CF89" s="55" t="str">
        <f t="shared" si="105"/>
        <v/>
      </c>
      <c r="CG89" s="55" t="str">
        <f t="shared" si="105"/>
        <v/>
      </c>
      <c r="CH89" s="55" t="str">
        <f t="shared" si="105"/>
        <v/>
      </c>
      <c r="CI89" s="55" t="str">
        <f t="shared" si="105"/>
        <v/>
      </c>
      <c r="CJ89" s="55" t="str">
        <f t="shared" si="105"/>
        <v/>
      </c>
      <c r="CK89" s="55" t="str">
        <f t="shared" si="105"/>
        <v/>
      </c>
      <c r="CL89" s="55" t="str">
        <f t="shared" si="105"/>
        <v/>
      </c>
      <c r="CM89" s="55" t="str">
        <f t="shared" si="105"/>
        <v/>
      </c>
      <c r="CN89" s="55" t="str">
        <f t="shared" si="105"/>
        <v/>
      </c>
      <c r="CO89" s="55" t="str">
        <f t="shared" si="106"/>
        <v/>
      </c>
      <c r="CP89" s="55" t="str">
        <f t="shared" si="106"/>
        <v/>
      </c>
      <c r="CQ89" s="55" t="str">
        <f t="shared" si="106"/>
        <v/>
      </c>
      <c r="CR89" s="55" t="str">
        <f t="shared" si="106"/>
        <v/>
      </c>
      <c r="CS89" s="55" t="str">
        <f t="shared" si="106"/>
        <v/>
      </c>
      <c r="CT89" s="55" t="str">
        <f t="shared" si="106"/>
        <v/>
      </c>
      <c r="CU89" s="55" t="str">
        <f t="shared" si="106"/>
        <v/>
      </c>
      <c r="CV89" s="55" t="str">
        <f t="shared" si="106"/>
        <v/>
      </c>
      <c r="CW89" s="55" t="str">
        <f t="shared" si="106"/>
        <v/>
      </c>
      <c r="CX89" s="55" t="str">
        <f t="shared" si="106"/>
        <v/>
      </c>
      <c r="CY89" s="55" t="str">
        <f t="shared" si="106"/>
        <v/>
      </c>
      <c r="CZ89" s="55" t="str">
        <f t="shared" si="101"/>
        <v/>
      </c>
      <c r="DA89" s="55" t="str">
        <f t="shared" si="101"/>
        <v/>
      </c>
      <c r="DB89" s="55" t="str">
        <f t="shared" si="101"/>
        <v/>
      </c>
      <c r="DC89" s="55" t="str">
        <f t="shared" si="101"/>
        <v/>
      </c>
      <c r="DD89" s="55" t="str">
        <f t="shared" si="101"/>
        <v/>
      </c>
      <c r="DE89" s="55" t="str">
        <f t="shared" si="101"/>
        <v/>
      </c>
      <c r="DF89" s="55" t="str">
        <f t="shared" si="101"/>
        <v/>
      </c>
      <c r="DG89" s="55" t="str">
        <f t="shared" si="101"/>
        <v/>
      </c>
      <c r="DH89" s="55" t="str">
        <f t="shared" si="101"/>
        <v/>
      </c>
      <c r="DI89" s="55" t="str">
        <f t="shared" si="101"/>
        <v/>
      </c>
      <c r="DJ89" s="55" t="str">
        <f t="shared" si="101"/>
        <v/>
      </c>
      <c r="DK89" s="55" t="str">
        <f t="shared" si="101"/>
        <v/>
      </c>
      <c r="DL89" s="55" t="str">
        <f t="shared" si="101"/>
        <v/>
      </c>
      <c r="DM89" s="55" t="str">
        <f t="shared" si="101"/>
        <v/>
      </c>
      <c r="DN89" s="55" t="str">
        <f t="shared" si="101"/>
        <v/>
      </c>
      <c r="DO89" s="55" t="str">
        <f t="shared" si="101"/>
        <v/>
      </c>
      <c r="DP89" s="55" t="str">
        <f t="shared" si="96"/>
        <v/>
      </c>
      <c r="DQ89" s="55" t="str">
        <f t="shared" si="96"/>
        <v/>
      </c>
      <c r="DR89" s="55" t="str">
        <f t="shared" si="96"/>
        <v/>
      </c>
      <c r="DS89" s="55" t="str">
        <f t="shared" si="96"/>
        <v/>
      </c>
      <c r="DT89" s="110" t="str">
        <f t="shared" si="96"/>
        <v/>
      </c>
      <c r="DU89" s="54"/>
      <c r="DV89" s="25"/>
      <c r="DW89" s="61" t="str">
        <f t="shared" si="97"/>
        <v/>
      </c>
      <c r="DX89" s="50" t="str">
        <f t="shared" si="97"/>
        <v/>
      </c>
      <c r="DY89" s="50" t="str">
        <f t="shared" si="97"/>
        <v/>
      </c>
      <c r="DZ89" s="50" t="str">
        <f t="shared" si="97"/>
        <v/>
      </c>
      <c r="EA89" s="50" t="str">
        <f t="shared" si="97"/>
        <v/>
      </c>
      <c r="EB89" s="50" t="str">
        <f t="shared" si="97"/>
        <v/>
      </c>
      <c r="EC89" s="50" t="str">
        <f t="shared" si="97"/>
        <v/>
      </c>
      <c r="ED89" s="50" t="str">
        <f t="shared" si="97"/>
        <v/>
      </c>
      <c r="EE89" s="50" t="str">
        <f t="shared" si="97"/>
        <v/>
      </c>
      <c r="EF89" s="50" t="str">
        <f t="shared" si="97"/>
        <v/>
      </c>
      <c r="EG89" s="50" t="str">
        <f t="shared" si="97"/>
        <v/>
      </c>
      <c r="EH89" s="50" t="str">
        <f t="shared" si="97"/>
        <v/>
      </c>
      <c r="EI89" s="50" t="str">
        <f t="shared" si="97"/>
        <v/>
      </c>
      <c r="EJ89" s="50" t="str">
        <f t="shared" si="97"/>
        <v/>
      </c>
      <c r="EK89" s="50" t="str">
        <f t="shared" si="97"/>
        <v/>
      </c>
      <c r="EL89" s="50" t="str">
        <f t="shared" si="97"/>
        <v/>
      </c>
      <c r="EM89" s="50" t="str">
        <f t="shared" si="107"/>
        <v/>
      </c>
      <c r="EN89" s="50" t="str">
        <f t="shared" si="107"/>
        <v/>
      </c>
      <c r="EO89" s="50" t="str">
        <f t="shared" si="107"/>
        <v/>
      </c>
      <c r="EP89" s="50" t="str">
        <f t="shared" si="107"/>
        <v/>
      </c>
      <c r="EQ89" s="50" t="str">
        <f t="shared" si="107"/>
        <v/>
      </c>
      <c r="ER89" s="50" t="str">
        <f t="shared" si="107"/>
        <v/>
      </c>
      <c r="ES89" s="50" t="str">
        <f t="shared" si="107"/>
        <v/>
      </c>
      <c r="ET89" s="50" t="str">
        <f t="shared" si="107"/>
        <v/>
      </c>
      <c r="EU89" s="50" t="str">
        <f t="shared" si="107"/>
        <v/>
      </c>
      <c r="EV89" s="50" t="str">
        <f t="shared" si="107"/>
        <v/>
      </c>
      <c r="EW89" s="50" t="str">
        <f t="shared" si="107"/>
        <v/>
      </c>
      <c r="EX89" s="50" t="str">
        <f t="shared" si="107"/>
        <v/>
      </c>
      <c r="EY89" s="50" t="str">
        <f t="shared" si="107"/>
        <v/>
      </c>
      <c r="EZ89" s="50" t="str">
        <f t="shared" si="107"/>
        <v/>
      </c>
      <c r="FA89" s="50" t="str">
        <f t="shared" si="107"/>
        <v/>
      </c>
      <c r="FB89" s="50" t="str">
        <f t="shared" si="107"/>
        <v/>
      </c>
      <c r="FC89" s="50" t="str">
        <f t="shared" si="108"/>
        <v/>
      </c>
      <c r="FD89" s="50" t="str">
        <f t="shared" si="108"/>
        <v/>
      </c>
      <c r="FE89" s="50" t="str">
        <f t="shared" si="108"/>
        <v/>
      </c>
      <c r="FF89" s="50" t="str">
        <f t="shared" si="108"/>
        <v/>
      </c>
      <c r="FG89" s="50" t="str">
        <f t="shared" si="108"/>
        <v/>
      </c>
      <c r="FH89" s="50" t="str">
        <f t="shared" si="108"/>
        <v/>
      </c>
      <c r="FI89" s="50" t="str">
        <f t="shared" si="108"/>
        <v/>
      </c>
      <c r="FJ89" s="50" t="str">
        <f t="shared" si="108"/>
        <v/>
      </c>
      <c r="FK89" s="50" t="str">
        <f t="shared" si="108"/>
        <v/>
      </c>
      <c r="FL89" s="50" t="str">
        <f t="shared" si="108"/>
        <v/>
      </c>
      <c r="FM89" s="50" t="str">
        <f t="shared" si="108"/>
        <v/>
      </c>
      <c r="FN89" s="50" t="str">
        <f t="shared" si="108"/>
        <v/>
      </c>
      <c r="FO89" s="50" t="str">
        <f t="shared" si="108"/>
        <v/>
      </c>
      <c r="FP89" s="50" t="str">
        <f t="shared" si="108"/>
        <v/>
      </c>
      <c r="FQ89" s="50" t="str">
        <f t="shared" si="108"/>
        <v/>
      </c>
      <c r="FR89" s="50" t="str">
        <f t="shared" si="108"/>
        <v/>
      </c>
      <c r="FS89" s="50" t="str">
        <f t="shared" si="109"/>
        <v/>
      </c>
      <c r="FT89" s="50" t="str">
        <f t="shared" si="109"/>
        <v/>
      </c>
      <c r="FU89" s="50" t="str">
        <f t="shared" si="109"/>
        <v/>
      </c>
      <c r="FV89" s="50" t="str">
        <f t="shared" si="109"/>
        <v/>
      </c>
      <c r="FW89" s="50" t="str">
        <f t="shared" si="109"/>
        <v/>
      </c>
      <c r="FX89" s="50" t="str">
        <f t="shared" si="109"/>
        <v/>
      </c>
      <c r="FY89" s="50" t="str">
        <f t="shared" si="109"/>
        <v/>
      </c>
      <c r="FZ89" s="50" t="str">
        <f t="shared" si="109"/>
        <v/>
      </c>
      <c r="GA89" s="50" t="str">
        <f t="shared" si="109"/>
        <v/>
      </c>
      <c r="GB89" s="50" t="str">
        <f t="shared" si="109"/>
        <v/>
      </c>
      <c r="GC89" s="50" t="str">
        <f t="shared" si="109"/>
        <v/>
      </c>
      <c r="GD89" s="50" t="str">
        <f t="shared" si="109"/>
        <v/>
      </c>
      <c r="GE89" s="50" t="str">
        <f t="shared" si="109"/>
        <v/>
      </c>
      <c r="GF89" s="50" t="str">
        <f t="shared" si="109"/>
        <v/>
      </c>
      <c r="GG89" s="50" t="str">
        <f t="shared" si="109"/>
        <v/>
      </c>
      <c r="GH89" s="50" t="str">
        <f t="shared" si="109"/>
        <v/>
      </c>
      <c r="GI89" s="50" t="str">
        <f t="shared" si="110"/>
        <v/>
      </c>
      <c r="GJ89" s="50" t="str">
        <f t="shared" si="110"/>
        <v/>
      </c>
      <c r="GK89" s="50" t="str">
        <f t="shared" si="110"/>
        <v/>
      </c>
      <c r="GL89" s="50" t="str">
        <f t="shared" si="110"/>
        <v/>
      </c>
      <c r="GM89" s="50" t="str">
        <f t="shared" si="110"/>
        <v/>
      </c>
      <c r="GN89" s="50" t="str">
        <f t="shared" si="110"/>
        <v/>
      </c>
      <c r="GO89" s="50" t="str">
        <f t="shared" si="110"/>
        <v/>
      </c>
      <c r="GP89" s="50" t="str">
        <f t="shared" si="110"/>
        <v/>
      </c>
      <c r="GQ89" s="50" t="str">
        <f t="shared" si="110"/>
        <v/>
      </c>
      <c r="GR89" s="50" t="str">
        <f t="shared" si="110"/>
        <v/>
      </c>
      <c r="GS89" s="50" t="str">
        <f t="shared" si="110"/>
        <v/>
      </c>
      <c r="GT89" s="50" t="str">
        <f t="shared" si="110"/>
        <v/>
      </c>
      <c r="GU89" s="50" t="str">
        <f t="shared" si="110"/>
        <v/>
      </c>
      <c r="GV89" s="50" t="str">
        <f t="shared" si="110"/>
        <v/>
      </c>
      <c r="GW89" s="50" t="str">
        <f t="shared" si="110"/>
        <v/>
      </c>
      <c r="GX89" s="50" t="str">
        <f t="shared" si="110"/>
        <v/>
      </c>
      <c r="GY89" s="50" t="str">
        <f t="shared" si="110"/>
        <v/>
      </c>
      <c r="GZ89" s="50" t="str">
        <f t="shared" si="110"/>
        <v/>
      </c>
      <c r="HA89" s="50" t="str">
        <f t="shared" si="110"/>
        <v/>
      </c>
      <c r="HB89" s="50" t="str">
        <f t="shared" si="110"/>
        <v/>
      </c>
      <c r="HC89" s="50" t="str">
        <f t="shared" si="110"/>
        <v/>
      </c>
      <c r="HD89" s="50" t="str">
        <f t="shared" si="110"/>
        <v/>
      </c>
      <c r="HE89" s="50" t="str">
        <f t="shared" si="110"/>
        <v/>
      </c>
      <c r="HF89" s="50" t="str">
        <f t="shared" si="110"/>
        <v/>
      </c>
      <c r="HG89" s="50" t="str">
        <f t="shared" si="99"/>
        <v/>
      </c>
      <c r="HH89" s="50" t="str">
        <f t="shared" si="99"/>
        <v/>
      </c>
      <c r="HI89" s="50" t="str">
        <f t="shared" si="99"/>
        <v/>
      </c>
      <c r="HJ89" s="50" t="str">
        <f t="shared" si="99"/>
        <v/>
      </c>
      <c r="HK89" s="50" t="str">
        <f t="shared" si="99"/>
        <v/>
      </c>
      <c r="HL89" s="50" t="str">
        <f t="shared" si="99"/>
        <v/>
      </c>
      <c r="HM89" s="50" t="str">
        <f t="shared" si="99"/>
        <v/>
      </c>
      <c r="HN89" s="50" t="str">
        <f t="shared" si="99"/>
        <v/>
      </c>
      <c r="HO89" s="50" t="str">
        <f t="shared" si="99"/>
        <v/>
      </c>
      <c r="HP89" s="50" t="str">
        <f t="shared" si="99"/>
        <v/>
      </c>
      <c r="HQ89" s="50" t="str">
        <f t="shared" si="99"/>
        <v/>
      </c>
      <c r="HR89" s="116" t="str">
        <f t="shared" si="99"/>
        <v/>
      </c>
    </row>
    <row r="90" spans="1:226" ht="11.15" customHeight="1" x14ac:dyDescent="0.25">
      <c r="A90" s="26"/>
      <c r="B90" s="27"/>
      <c r="C90" s="28" t="str">
        <f>IF(A90=0,"",VLOOKUP(A90,[3]CO!$A$3:$F$5327,2,0))</f>
        <v/>
      </c>
      <c r="D90" s="29"/>
      <c r="E90" s="29"/>
      <c r="F90" s="29"/>
      <c r="G90" s="30" t="str">
        <f>IF(A90=0,"",VLOOKUP(A90,[3]CO!$A$3:$F$5327,3,0))</f>
        <v/>
      </c>
      <c r="H90" s="95"/>
      <c r="I90" s="31"/>
      <c r="J90" s="31"/>
      <c r="K90" s="31"/>
      <c r="L90" s="31"/>
      <c r="M90" s="32" t="str">
        <f t="shared" si="91"/>
        <v/>
      </c>
      <c r="N90" s="32" t="str">
        <f>IF(B90=0,"",IF(H90="M",HLOOKUP(B90,$Y$12:$DT$13,2),IF(A90=0,"",VLOOKUP(A90,[3]CO!$A$3:$F$5327,4,0))))</f>
        <v/>
      </c>
      <c r="O90" s="32" t="str">
        <f t="shared" si="11"/>
        <v/>
      </c>
      <c r="P90" s="33"/>
      <c r="Q90" s="34" t="str">
        <f t="shared" si="92"/>
        <v/>
      </c>
      <c r="R90" s="35" t="str">
        <f t="shared" si="100"/>
        <v/>
      </c>
      <c r="S90" s="98"/>
      <c r="T90" s="53" t="str">
        <f>IF(A90=0,"",VLOOKUP(A90,[3]CO!$A$3:$F$5318,5,0))</f>
        <v/>
      </c>
      <c r="U90" s="54">
        <f t="shared" si="93"/>
        <v>0</v>
      </c>
      <c r="V90" s="24"/>
      <c r="W90" s="25"/>
      <c r="X90" s="25"/>
      <c r="Y90" s="64" t="str">
        <f t="shared" si="94"/>
        <v/>
      </c>
      <c r="Z90" s="55" t="str">
        <f t="shared" si="94"/>
        <v/>
      </c>
      <c r="AA90" s="55" t="str">
        <f t="shared" si="94"/>
        <v/>
      </c>
      <c r="AB90" s="55" t="str">
        <f t="shared" si="94"/>
        <v/>
      </c>
      <c r="AC90" s="55" t="str">
        <f t="shared" si="94"/>
        <v/>
      </c>
      <c r="AD90" s="55" t="str">
        <f t="shared" si="94"/>
        <v/>
      </c>
      <c r="AE90" s="55" t="str">
        <f t="shared" si="94"/>
        <v/>
      </c>
      <c r="AF90" s="55" t="str">
        <f t="shared" si="94"/>
        <v/>
      </c>
      <c r="AG90" s="55" t="str">
        <f t="shared" si="94"/>
        <v/>
      </c>
      <c r="AH90" s="55" t="str">
        <f t="shared" si="94"/>
        <v/>
      </c>
      <c r="AI90" s="55" t="str">
        <f t="shared" si="94"/>
        <v/>
      </c>
      <c r="AJ90" s="55" t="str">
        <f t="shared" si="94"/>
        <v/>
      </c>
      <c r="AK90" s="55" t="str">
        <f t="shared" si="94"/>
        <v/>
      </c>
      <c r="AL90" s="55" t="str">
        <f t="shared" si="94"/>
        <v/>
      </c>
      <c r="AM90" s="55" t="str">
        <f t="shared" si="94"/>
        <v/>
      </c>
      <c r="AN90" s="55" t="str">
        <f t="shared" si="94"/>
        <v/>
      </c>
      <c r="AO90" s="55" t="str">
        <f t="shared" si="103"/>
        <v/>
      </c>
      <c r="AP90" s="55" t="str">
        <f t="shared" si="103"/>
        <v/>
      </c>
      <c r="AQ90" s="55" t="str">
        <f t="shared" si="103"/>
        <v/>
      </c>
      <c r="AR90" s="55" t="str">
        <f t="shared" si="103"/>
        <v/>
      </c>
      <c r="AS90" s="55" t="str">
        <f t="shared" si="103"/>
        <v/>
      </c>
      <c r="AT90" s="55" t="str">
        <f t="shared" si="103"/>
        <v/>
      </c>
      <c r="AU90" s="55" t="str">
        <f t="shared" si="103"/>
        <v/>
      </c>
      <c r="AV90" s="55" t="str">
        <f t="shared" si="103"/>
        <v/>
      </c>
      <c r="AW90" s="55" t="str">
        <f t="shared" si="103"/>
        <v/>
      </c>
      <c r="AX90" s="55" t="str">
        <f t="shared" si="103"/>
        <v/>
      </c>
      <c r="AY90" s="55" t="str">
        <f t="shared" si="103"/>
        <v/>
      </c>
      <c r="AZ90" s="55" t="str">
        <f t="shared" si="103"/>
        <v/>
      </c>
      <c r="BA90" s="55" t="str">
        <f t="shared" si="103"/>
        <v/>
      </c>
      <c r="BB90" s="55" t="str">
        <f t="shared" si="103"/>
        <v/>
      </c>
      <c r="BC90" s="55" t="str">
        <f t="shared" si="103"/>
        <v/>
      </c>
      <c r="BD90" s="55" t="str">
        <f t="shared" si="103"/>
        <v/>
      </c>
      <c r="BE90" s="55" t="str">
        <f t="shared" si="104"/>
        <v/>
      </c>
      <c r="BF90" s="55" t="str">
        <f t="shared" si="104"/>
        <v/>
      </c>
      <c r="BG90" s="55" t="str">
        <f t="shared" si="104"/>
        <v/>
      </c>
      <c r="BH90" s="55" t="str">
        <f t="shared" si="104"/>
        <v/>
      </c>
      <c r="BI90" s="55" t="str">
        <f t="shared" si="104"/>
        <v/>
      </c>
      <c r="BJ90" s="55" t="str">
        <f t="shared" si="104"/>
        <v/>
      </c>
      <c r="BK90" s="55" t="str">
        <f t="shared" si="104"/>
        <v/>
      </c>
      <c r="BL90" s="55" t="str">
        <f t="shared" si="104"/>
        <v/>
      </c>
      <c r="BM90" s="55" t="str">
        <f t="shared" si="104"/>
        <v/>
      </c>
      <c r="BN90" s="55" t="str">
        <f t="shared" si="104"/>
        <v/>
      </c>
      <c r="BO90" s="55" t="str">
        <f t="shared" si="104"/>
        <v/>
      </c>
      <c r="BP90" s="55" t="str">
        <f t="shared" si="104"/>
        <v/>
      </c>
      <c r="BQ90" s="55" t="str">
        <f t="shared" si="104"/>
        <v/>
      </c>
      <c r="BR90" s="55" t="str">
        <f t="shared" si="104"/>
        <v/>
      </c>
      <c r="BS90" s="55" t="str">
        <f t="shared" si="104"/>
        <v/>
      </c>
      <c r="BT90" s="55" t="str">
        <f t="shared" si="104"/>
        <v/>
      </c>
      <c r="BU90" s="55" t="str">
        <f t="shared" si="104"/>
        <v/>
      </c>
      <c r="BV90" s="55" t="str">
        <f t="shared" si="104"/>
        <v/>
      </c>
      <c r="BW90" s="55" t="str">
        <f t="shared" si="104"/>
        <v/>
      </c>
      <c r="BX90" s="55" t="str">
        <f t="shared" si="104"/>
        <v/>
      </c>
      <c r="BY90" s="55" t="str">
        <f t="shared" si="105"/>
        <v/>
      </c>
      <c r="BZ90" s="55" t="str">
        <f t="shared" si="105"/>
        <v/>
      </c>
      <c r="CA90" s="55" t="str">
        <f t="shared" si="105"/>
        <v/>
      </c>
      <c r="CB90" s="55" t="str">
        <f t="shared" si="105"/>
        <v/>
      </c>
      <c r="CC90" s="55" t="str">
        <f t="shared" si="105"/>
        <v/>
      </c>
      <c r="CD90" s="55" t="str">
        <f t="shared" si="105"/>
        <v/>
      </c>
      <c r="CE90" s="55" t="str">
        <f t="shared" si="105"/>
        <v/>
      </c>
      <c r="CF90" s="55" t="str">
        <f t="shared" si="105"/>
        <v/>
      </c>
      <c r="CG90" s="55" t="str">
        <f t="shared" si="105"/>
        <v/>
      </c>
      <c r="CH90" s="55" t="str">
        <f t="shared" si="105"/>
        <v/>
      </c>
      <c r="CI90" s="55" t="str">
        <f t="shared" si="105"/>
        <v/>
      </c>
      <c r="CJ90" s="55" t="str">
        <f t="shared" si="105"/>
        <v/>
      </c>
      <c r="CK90" s="55" t="str">
        <f t="shared" si="105"/>
        <v/>
      </c>
      <c r="CL90" s="55" t="str">
        <f t="shared" si="105"/>
        <v/>
      </c>
      <c r="CM90" s="55" t="str">
        <f t="shared" si="105"/>
        <v/>
      </c>
      <c r="CN90" s="55" t="str">
        <f t="shared" si="105"/>
        <v/>
      </c>
      <c r="CO90" s="55" t="str">
        <f t="shared" si="106"/>
        <v/>
      </c>
      <c r="CP90" s="55" t="str">
        <f t="shared" si="106"/>
        <v/>
      </c>
      <c r="CQ90" s="55" t="str">
        <f t="shared" si="106"/>
        <v/>
      </c>
      <c r="CR90" s="55" t="str">
        <f t="shared" si="106"/>
        <v/>
      </c>
      <c r="CS90" s="55" t="str">
        <f t="shared" si="106"/>
        <v/>
      </c>
      <c r="CT90" s="55" t="str">
        <f t="shared" si="106"/>
        <v/>
      </c>
      <c r="CU90" s="55" t="str">
        <f t="shared" si="106"/>
        <v/>
      </c>
      <c r="CV90" s="55" t="str">
        <f t="shared" si="106"/>
        <v/>
      </c>
      <c r="CW90" s="55" t="str">
        <f t="shared" si="106"/>
        <v/>
      </c>
      <c r="CX90" s="55" t="str">
        <f t="shared" si="106"/>
        <v/>
      </c>
      <c r="CY90" s="55" t="str">
        <f t="shared" si="106"/>
        <v/>
      </c>
      <c r="CZ90" s="55" t="str">
        <f t="shared" si="101"/>
        <v/>
      </c>
      <c r="DA90" s="55" t="str">
        <f t="shared" si="101"/>
        <v/>
      </c>
      <c r="DB90" s="55" t="str">
        <f t="shared" si="101"/>
        <v/>
      </c>
      <c r="DC90" s="55" t="str">
        <f t="shared" si="101"/>
        <v/>
      </c>
      <c r="DD90" s="55" t="str">
        <f t="shared" si="101"/>
        <v/>
      </c>
      <c r="DE90" s="55" t="str">
        <f t="shared" si="101"/>
        <v/>
      </c>
      <c r="DF90" s="55" t="str">
        <f t="shared" si="101"/>
        <v/>
      </c>
      <c r="DG90" s="55" t="str">
        <f t="shared" si="101"/>
        <v/>
      </c>
      <c r="DH90" s="55" t="str">
        <f t="shared" si="101"/>
        <v/>
      </c>
      <c r="DI90" s="55" t="str">
        <f t="shared" si="101"/>
        <v/>
      </c>
      <c r="DJ90" s="55" t="str">
        <f t="shared" si="101"/>
        <v/>
      </c>
      <c r="DK90" s="55" t="str">
        <f t="shared" si="101"/>
        <v/>
      </c>
      <c r="DL90" s="55" t="str">
        <f t="shared" si="101"/>
        <v/>
      </c>
      <c r="DM90" s="55" t="str">
        <f t="shared" si="101"/>
        <v/>
      </c>
      <c r="DN90" s="55" t="str">
        <f t="shared" si="101"/>
        <v/>
      </c>
      <c r="DO90" s="55" t="str">
        <f t="shared" si="101"/>
        <v/>
      </c>
      <c r="DP90" s="55" t="str">
        <f t="shared" si="96"/>
        <v/>
      </c>
      <c r="DQ90" s="55" t="str">
        <f t="shared" si="96"/>
        <v/>
      </c>
      <c r="DR90" s="55" t="str">
        <f t="shared" si="96"/>
        <v/>
      </c>
      <c r="DS90" s="55" t="str">
        <f t="shared" si="96"/>
        <v/>
      </c>
      <c r="DT90" s="110" t="str">
        <f t="shared" si="96"/>
        <v/>
      </c>
      <c r="DU90" s="54"/>
      <c r="DV90" s="25"/>
      <c r="DW90" s="61" t="str">
        <f t="shared" si="97"/>
        <v/>
      </c>
      <c r="DX90" s="50" t="str">
        <f t="shared" si="97"/>
        <v/>
      </c>
      <c r="DY90" s="50" t="str">
        <f t="shared" si="97"/>
        <v/>
      </c>
      <c r="DZ90" s="50" t="str">
        <f t="shared" si="97"/>
        <v/>
      </c>
      <c r="EA90" s="50" t="str">
        <f t="shared" si="97"/>
        <v/>
      </c>
      <c r="EB90" s="50" t="str">
        <f t="shared" si="97"/>
        <v/>
      </c>
      <c r="EC90" s="50" t="str">
        <f t="shared" si="97"/>
        <v/>
      </c>
      <c r="ED90" s="50" t="str">
        <f t="shared" si="97"/>
        <v/>
      </c>
      <c r="EE90" s="50" t="str">
        <f t="shared" si="97"/>
        <v/>
      </c>
      <c r="EF90" s="50" t="str">
        <f t="shared" si="97"/>
        <v/>
      </c>
      <c r="EG90" s="50" t="str">
        <f t="shared" si="97"/>
        <v/>
      </c>
      <c r="EH90" s="50" t="str">
        <f t="shared" si="97"/>
        <v/>
      </c>
      <c r="EI90" s="50" t="str">
        <f t="shared" si="97"/>
        <v/>
      </c>
      <c r="EJ90" s="50" t="str">
        <f t="shared" si="97"/>
        <v/>
      </c>
      <c r="EK90" s="50" t="str">
        <f t="shared" si="97"/>
        <v/>
      </c>
      <c r="EL90" s="50" t="str">
        <f t="shared" si="97"/>
        <v/>
      </c>
      <c r="EM90" s="50" t="str">
        <f t="shared" si="107"/>
        <v/>
      </c>
      <c r="EN90" s="50" t="str">
        <f t="shared" si="107"/>
        <v/>
      </c>
      <c r="EO90" s="50" t="str">
        <f t="shared" si="107"/>
        <v/>
      </c>
      <c r="EP90" s="50" t="str">
        <f t="shared" si="107"/>
        <v/>
      </c>
      <c r="EQ90" s="50" t="str">
        <f t="shared" si="107"/>
        <v/>
      </c>
      <c r="ER90" s="50" t="str">
        <f t="shared" si="107"/>
        <v/>
      </c>
      <c r="ES90" s="50" t="str">
        <f t="shared" si="107"/>
        <v/>
      </c>
      <c r="ET90" s="50" t="str">
        <f t="shared" si="107"/>
        <v/>
      </c>
      <c r="EU90" s="50" t="str">
        <f t="shared" si="107"/>
        <v/>
      </c>
      <c r="EV90" s="50" t="str">
        <f t="shared" si="107"/>
        <v/>
      </c>
      <c r="EW90" s="50" t="str">
        <f t="shared" si="107"/>
        <v/>
      </c>
      <c r="EX90" s="50" t="str">
        <f t="shared" si="107"/>
        <v/>
      </c>
      <c r="EY90" s="50" t="str">
        <f t="shared" si="107"/>
        <v/>
      </c>
      <c r="EZ90" s="50" t="str">
        <f t="shared" si="107"/>
        <v/>
      </c>
      <c r="FA90" s="50" t="str">
        <f t="shared" si="107"/>
        <v/>
      </c>
      <c r="FB90" s="50" t="str">
        <f t="shared" si="107"/>
        <v/>
      </c>
      <c r="FC90" s="50" t="str">
        <f t="shared" si="108"/>
        <v/>
      </c>
      <c r="FD90" s="50" t="str">
        <f t="shared" si="108"/>
        <v/>
      </c>
      <c r="FE90" s="50" t="str">
        <f t="shared" si="108"/>
        <v/>
      </c>
      <c r="FF90" s="50" t="str">
        <f t="shared" si="108"/>
        <v/>
      </c>
      <c r="FG90" s="50" t="str">
        <f t="shared" si="108"/>
        <v/>
      </c>
      <c r="FH90" s="50" t="str">
        <f t="shared" si="108"/>
        <v/>
      </c>
      <c r="FI90" s="50" t="str">
        <f t="shared" si="108"/>
        <v/>
      </c>
      <c r="FJ90" s="50" t="str">
        <f t="shared" si="108"/>
        <v/>
      </c>
      <c r="FK90" s="50" t="str">
        <f t="shared" si="108"/>
        <v/>
      </c>
      <c r="FL90" s="50" t="str">
        <f t="shared" si="108"/>
        <v/>
      </c>
      <c r="FM90" s="50" t="str">
        <f t="shared" si="108"/>
        <v/>
      </c>
      <c r="FN90" s="50" t="str">
        <f t="shared" si="108"/>
        <v/>
      </c>
      <c r="FO90" s="50" t="str">
        <f t="shared" si="108"/>
        <v/>
      </c>
      <c r="FP90" s="50" t="str">
        <f t="shared" si="108"/>
        <v/>
      </c>
      <c r="FQ90" s="50" t="str">
        <f t="shared" si="108"/>
        <v/>
      </c>
      <c r="FR90" s="50" t="str">
        <f t="shared" si="108"/>
        <v/>
      </c>
      <c r="FS90" s="50" t="str">
        <f t="shared" si="109"/>
        <v/>
      </c>
      <c r="FT90" s="50" t="str">
        <f t="shared" si="109"/>
        <v/>
      </c>
      <c r="FU90" s="50" t="str">
        <f t="shared" si="109"/>
        <v/>
      </c>
      <c r="FV90" s="50" t="str">
        <f t="shared" si="109"/>
        <v/>
      </c>
      <c r="FW90" s="50" t="str">
        <f t="shared" si="109"/>
        <v/>
      </c>
      <c r="FX90" s="50" t="str">
        <f t="shared" si="109"/>
        <v/>
      </c>
      <c r="FY90" s="50" t="str">
        <f t="shared" si="109"/>
        <v/>
      </c>
      <c r="FZ90" s="50" t="str">
        <f t="shared" si="109"/>
        <v/>
      </c>
      <c r="GA90" s="50" t="str">
        <f t="shared" si="109"/>
        <v/>
      </c>
      <c r="GB90" s="50" t="str">
        <f t="shared" si="109"/>
        <v/>
      </c>
      <c r="GC90" s="50" t="str">
        <f t="shared" si="109"/>
        <v/>
      </c>
      <c r="GD90" s="50" t="str">
        <f t="shared" si="109"/>
        <v/>
      </c>
      <c r="GE90" s="50" t="str">
        <f t="shared" si="109"/>
        <v/>
      </c>
      <c r="GF90" s="50" t="str">
        <f t="shared" si="109"/>
        <v/>
      </c>
      <c r="GG90" s="50" t="str">
        <f t="shared" si="109"/>
        <v/>
      </c>
      <c r="GH90" s="50" t="str">
        <f t="shared" si="109"/>
        <v/>
      </c>
      <c r="GI90" s="50" t="str">
        <f t="shared" si="110"/>
        <v/>
      </c>
      <c r="GJ90" s="50" t="str">
        <f t="shared" si="110"/>
        <v/>
      </c>
      <c r="GK90" s="50" t="str">
        <f t="shared" si="110"/>
        <v/>
      </c>
      <c r="GL90" s="50" t="str">
        <f t="shared" si="110"/>
        <v/>
      </c>
      <c r="GM90" s="50" t="str">
        <f t="shared" si="110"/>
        <v/>
      </c>
      <c r="GN90" s="50" t="str">
        <f t="shared" si="110"/>
        <v/>
      </c>
      <c r="GO90" s="50" t="str">
        <f t="shared" si="110"/>
        <v/>
      </c>
      <c r="GP90" s="50" t="str">
        <f t="shared" si="110"/>
        <v/>
      </c>
      <c r="GQ90" s="50" t="str">
        <f t="shared" si="110"/>
        <v/>
      </c>
      <c r="GR90" s="50" t="str">
        <f t="shared" si="110"/>
        <v/>
      </c>
      <c r="GS90" s="50" t="str">
        <f t="shared" si="110"/>
        <v/>
      </c>
      <c r="GT90" s="50" t="str">
        <f t="shared" si="110"/>
        <v/>
      </c>
      <c r="GU90" s="50" t="str">
        <f t="shared" si="110"/>
        <v/>
      </c>
      <c r="GV90" s="50" t="str">
        <f t="shared" si="110"/>
        <v/>
      </c>
      <c r="GW90" s="50" t="str">
        <f t="shared" si="110"/>
        <v/>
      </c>
      <c r="GX90" s="50" t="str">
        <f t="shared" si="110"/>
        <v/>
      </c>
      <c r="GY90" s="50" t="str">
        <f t="shared" si="110"/>
        <v/>
      </c>
      <c r="GZ90" s="50" t="str">
        <f t="shared" si="110"/>
        <v/>
      </c>
      <c r="HA90" s="50" t="str">
        <f t="shared" si="110"/>
        <v/>
      </c>
      <c r="HB90" s="50" t="str">
        <f t="shared" si="110"/>
        <v/>
      </c>
      <c r="HC90" s="50" t="str">
        <f t="shared" si="110"/>
        <v/>
      </c>
      <c r="HD90" s="50" t="str">
        <f t="shared" si="110"/>
        <v/>
      </c>
      <c r="HE90" s="50" t="str">
        <f t="shared" si="110"/>
        <v/>
      </c>
      <c r="HF90" s="50" t="str">
        <f t="shared" si="110"/>
        <v/>
      </c>
      <c r="HG90" s="50" t="str">
        <f t="shared" si="99"/>
        <v/>
      </c>
      <c r="HH90" s="50" t="str">
        <f t="shared" si="99"/>
        <v/>
      </c>
      <c r="HI90" s="50" t="str">
        <f t="shared" si="99"/>
        <v/>
      </c>
      <c r="HJ90" s="50" t="str">
        <f t="shared" si="99"/>
        <v/>
      </c>
      <c r="HK90" s="50" t="str">
        <f t="shared" si="99"/>
        <v/>
      </c>
      <c r="HL90" s="50" t="str">
        <f t="shared" si="99"/>
        <v/>
      </c>
      <c r="HM90" s="50" t="str">
        <f t="shared" si="99"/>
        <v/>
      </c>
      <c r="HN90" s="50" t="str">
        <f t="shared" si="99"/>
        <v/>
      </c>
      <c r="HO90" s="50" t="str">
        <f t="shared" si="99"/>
        <v/>
      </c>
      <c r="HP90" s="50" t="str">
        <f t="shared" si="99"/>
        <v/>
      </c>
      <c r="HQ90" s="50" t="str">
        <f t="shared" si="99"/>
        <v/>
      </c>
      <c r="HR90" s="116" t="str">
        <f t="shared" si="99"/>
        <v/>
      </c>
    </row>
    <row r="91" spans="1:226" ht="11.15" customHeight="1" x14ac:dyDescent="0.25">
      <c r="A91" s="26"/>
      <c r="B91" s="27"/>
      <c r="C91" s="28" t="str">
        <f>IF(A91=0,"",VLOOKUP(A91,[3]CO!$A$3:$F$5327,2,0))</f>
        <v/>
      </c>
      <c r="D91" s="29"/>
      <c r="E91" s="29"/>
      <c r="F91" s="29"/>
      <c r="G91" s="30" t="str">
        <f>IF(A91=0,"",VLOOKUP(A91,[3]CO!$A$3:$F$5327,3,0))</f>
        <v/>
      </c>
      <c r="H91" s="95"/>
      <c r="I91" s="31"/>
      <c r="J91" s="31"/>
      <c r="K91" s="31"/>
      <c r="L91" s="31"/>
      <c r="M91" s="32" t="str">
        <f t="shared" si="91"/>
        <v/>
      </c>
      <c r="N91" s="32" t="str">
        <f>IF(B91=0,"",IF(H91="M",HLOOKUP(B91,$Y$12:$DT$13,2),IF(A91=0,"",VLOOKUP(A91,[3]CO!$A$3:$F$5327,4,0))))</f>
        <v/>
      </c>
      <c r="O91" s="32" t="str">
        <f t="shared" si="11"/>
        <v/>
      </c>
      <c r="P91" s="33"/>
      <c r="Q91" s="34" t="str">
        <f t="shared" si="92"/>
        <v/>
      </c>
      <c r="R91" s="35" t="str">
        <f t="shared" si="100"/>
        <v/>
      </c>
      <c r="S91" s="98"/>
      <c r="T91" s="53" t="str">
        <f>IF(A91=0,"",VLOOKUP(A91,[3]CO!$A$3:$F$5318,5,0))</f>
        <v/>
      </c>
      <c r="U91" s="54">
        <f t="shared" si="93"/>
        <v>0</v>
      </c>
      <c r="V91" s="24"/>
      <c r="W91" s="25"/>
      <c r="X91" s="25"/>
      <c r="Y91" s="64" t="str">
        <f t="shared" si="94"/>
        <v/>
      </c>
      <c r="Z91" s="55" t="str">
        <f t="shared" si="94"/>
        <v/>
      </c>
      <c r="AA91" s="55" t="str">
        <f t="shared" si="94"/>
        <v/>
      </c>
      <c r="AB91" s="55" t="str">
        <f t="shared" si="94"/>
        <v/>
      </c>
      <c r="AC91" s="55" t="str">
        <f t="shared" si="94"/>
        <v/>
      </c>
      <c r="AD91" s="55" t="str">
        <f t="shared" si="94"/>
        <v/>
      </c>
      <c r="AE91" s="55" t="str">
        <f t="shared" si="94"/>
        <v/>
      </c>
      <c r="AF91" s="55" t="str">
        <f t="shared" si="94"/>
        <v/>
      </c>
      <c r="AG91" s="55" t="str">
        <f t="shared" si="94"/>
        <v/>
      </c>
      <c r="AH91" s="55" t="str">
        <f t="shared" si="94"/>
        <v/>
      </c>
      <c r="AI91" s="55" t="str">
        <f t="shared" si="94"/>
        <v/>
      </c>
      <c r="AJ91" s="55" t="str">
        <f t="shared" si="94"/>
        <v/>
      </c>
      <c r="AK91" s="55" t="str">
        <f t="shared" si="94"/>
        <v/>
      </c>
      <c r="AL91" s="55" t="str">
        <f t="shared" si="94"/>
        <v/>
      </c>
      <c r="AM91" s="55" t="str">
        <f t="shared" si="94"/>
        <v/>
      </c>
      <c r="AN91" s="55" t="str">
        <f t="shared" si="94"/>
        <v/>
      </c>
      <c r="AO91" s="55" t="str">
        <f t="shared" si="103"/>
        <v/>
      </c>
      <c r="AP91" s="55" t="str">
        <f t="shared" si="103"/>
        <v/>
      </c>
      <c r="AQ91" s="55" t="str">
        <f t="shared" si="103"/>
        <v/>
      </c>
      <c r="AR91" s="55" t="str">
        <f t="shared" si="103"/>
        <v/>
      </c>
      <c r="AS91" s="55" t="str">
        <f t="shared" si="103"/>
        <v/>
      </c>
      <c r="AT91" s="55" t="str">
        <f t="shared" si="103"/>
        <v/>
      </c>
      <c r="AU91" s="55" t="str">
        <f t="shared" si="103"/>
        <v/>
      </c>
      <c r="AV91" s="55" t="str">
        <f t="shared" si="103"/>
        <v/>
      </c>
      <c r="AW91" s="55" t="str">
        <f t="shared" si="103"/>
        <v/>
      </c>
      <c r="AX91" s="55" t="str">
        <f t="shared" si="103"/>
        <v/>
      </c>
      <c r="AY91" s="55" t="str">
        <f t="shared" si="103"/>
        <v/>
      </c>
      <c r="AZ91" s="55" t="str">
        <f t="shared" si="103"/>
        <v/>
      </c>
      <c r="BA91" s="55" t="str">
        <f t="shared" si="103"/>
        <v/>
      </c>
      <c r="BB91" s="55" t="str">
        <f t="shared" si="103"/>
        <v/>
      </c>
      <c r="BC91" s="55" t="str">
        <f t="shared" si="103"/>
        <v/>
      </c>
      <c r="BD91" s="55" t="str">
        <f t="shared" si="103"/>
        <v/>
      </c>
      <c r="BE91" s="55" t="str">
        <f t="shared" si="104"/>
        <v/>
      </c>
      <c r="BF91" s="55" t="str">
        <f t="shared" si="104"/>
        <v/>
      </c>
      <c r="BG91" s="55" t="str">
        <f t="shared" si="104"/>
        <v/>
      </c>
      <c r="BH91" s="55" t="str">
        <f t="shared" si="104"/>
        <v/>
      </c>
      <c r="BI91" s="55" t="str">
        <f t="shared" si="104"/>
        <v/>
      </c>
      <c r="BJ91" s="55" t="str">
        <f t="shared" si="104"/>
        <v/>
      </c>
      <c r="BK91" s="55" t="str">
        <f t="shared" si="104"/>
        <v/>
      </c>
      <c r="BL91" s="55" t="str">
        <f t="shared" si="104"/>
        <v/>
      </c>
      <c r="BM91" s="55" t="str">
        <f t="shared" si="104"/>
        <v/>
      </c>
      <c r="BN91" s="55" t="str">
        <f t="shared" si="104"/>
        <v/>
      </c>
      <c r="BO91" s="55" t="str">
        <f t="shared" si="104"/>
        <v/>
      </c>
      <c r="BP91" s="55" t="str">
        <f t="shared" si="104"/>
        <v/>
      </c>
      <c r="BQ91" s="55" t="str">
        <f t="shared" si="104"/>
        <v/>
      </c>
      <c r="BR91" s="55" t="str">
        <f t="shared" si="104"/>
        <v/>
      </c>
      <c r="BS91" s="55" t="str">
        <f t="shared" si="104"/>
        <v/>
      </c>
      <c r="BT91" s="55" t="str">
        <f t="shared" si="104"/>
        <v/>
      </c>
      <c r="BU91" s="55" t="str">
        <f t="shared" si="104"/>
        <v/>
      </c>
      <c r="BV91" s="55" t="str">
        <f t="shared" si="104"/>
        <v/>
      </c>
      <c r="BW91" s="55" t="str">
        <f t="shared" si="104"/>
        <v/>
      </c>
      <c r="BX91" s="55" t="str">
        <f t="shared" si="104"/>
        <v/>
      </c>
      <c r="BY91" s="55" t="str">
        <f t="shared" si="105"/>
        <v/>
      </c>
      <c r="BZ91" s="55" t="str">
        <f t="shared" si="105"/>
        <v/>
      </c>
      <c r="CA91" s="55" t="str">
        <f t="shared" si="105"/>
        <v/>
      </c>
      <c r="CB91" s="55" t="str">
        <f t="shared" si="105"/>
        <v/>
      </c>
      <c r="CC91" s="55" t="str">
        <f t="shared" si="105"/>
        <v/>
      </c>
      <c r="CD91" s="55" t="str">
        <f t="shared" si="105"/>
        <v/>
      </c>
      <c r="CE91" s="55" t="str">
        <f t="shared" si="105"/>
        <v/>
      </c>
      <c r="CF91" s="55" t="str">
        <f t="shared" si="105"/>
        <v/>
      </c>
      <c r="CG91" s="55" t="str">
        <f t="shared" si="105"/>
        <v/>
      </c>
      <c r="CH91" s="55" t="str">
        <f t="shared" si="105"/>
        <v/>
      </c>
      <c r="CI91" s="55" t="str">
        <f t="shared" si="105"/>
        <v/>
      </c>
      <c r="CJ91" s="55" t="str">
        <f t="shared" si="105"/>
        <v/>
      </c>
      <c r="CK91" s="55" t="str">
        <f t="shared" si="105"/>
        <v/>
      </c>
      <c r="CL91" s="55" t="str">
        <f t="shared" si="105"/>
        <v/>
      </c>
      <c r="CM91" s="55" t="str">
        <f t="shared" si="105"/>
        <v/>
      </c>
      <c r="CN91" s="55" t="str">
        <f t="shared" si="105"/>
        <v/>
      </c>
      <c r="CO91" s="55" t="str">
        <f t="shared" si="106"/>
        <v/>
      </c>
      <c r="CP91" s="55" t="str">
        <f t="shared" si="106"/>
        <v/>
      </c>
      <c r="CQ91" s="55" t="str">
        <f t="shared" si="106"/>
        <v/>
      </c>
      <c r="CR91" s="55" t="str">
        <f t="shared" si="106"/>
        <v/>
      </c>
      <c r="CS91" s="55" t="str">
        <f t="shared" si="106"/>
        <v/>
      </c>
      <c r="CT91" s="55" t="str">
        <f t="shared" si="106"/>
        <v/>
      </c>
      <c r="CU91" s="55" t="str">
        <f t="shared" si="106"/>
        <v/>
      </c>
      <c r="CV91" s="55" t="str">
        <f t="shared" si="106"/>
        <v/>
      </c>
      <c r="CW91" s="55" t="str">
        <f t="shared" si="106"/>
        <v/>
      </c>
      <c r="CX91" s="55" t="str">
        <f t="shared" si="106"/>
        <v/>
      </c>
      <c r="CY91" s="55" t="str">
        <f t="shared" si="106"/>
        <v/>
      </c>
      <c r="CZ91" s="55" t="str">
        <f t="shared" si="101"/>
        <v/>
      </c>
      <c r="DA91" s="55" t="str">
        <f t="shared" si="101"/>
        <v/>
      </c>
      <c r="DB91" s="55" t="str">
        <f t="shared" si="101"/>
        <v/>
      </c>
      <c r="DC91" s="55" t="str">
        <f t="shared" si="101"/>
        <v/>
      </c>
      <c r="DD91" s="55" t="str">
        <f t="shared" si="101"/>
        <v/>
      </c>
      <c r="DE91" s="55" t="str">
        <f t="shared" si="101"/>
        <v/>
      </c>
      <c r="DF91" s="55" t="str">
        <f t="shared" si="101"/>
        <v/>
      </c>
      <c r="DG91" s="55" t="str">
        <f t="shared" si="101"/>
        <v/>
      </c>
      <c r="DH91" s="55" t="str">
        <f t="shared" si="101"/>
        <v/>
      </c>
      <c r="DI91" s="55" t="str">
        <f t="shared" si="101"/>
        <v/>
      </c>
      <c r="DJ91" s="55" t="str">
        <f t="shared" si="101"/>
        <v/>
      </c>
      <c r="DK91" s="55" t="str">
        <f t="shared" si="101"/>
        <v/>
      </c>
      <c r="DL91" s="55" t="str">
        <f t="shared" si="101"/>
        <v/>
      </c>
      <c r="DM91" s="55" t="str">
        <f t="shared" si="101"/>
        <v/>
      </c>
      <c r="DN91" s="55" t="str">
        <f t="shared" si="101"/>
        <v/>
      </c>
      <c r="DO91" s="55" t="str">
        <f t="shared" si="101"/>
        <v/>
      </c>
      <c r="DP91" s="55" t="str">
        <f t="shared" si="96"/>
        <v/>
      </c>
      <c r="DQ91" s="55" t="str">
        <f t="shared" si="96"/>
        <v/>
      </c>
      <c r="DR91" s="55" t="str">
        <f t="shared" si="96"/>
        <v/>
      </c>
      <c r="DS91" s="55" t="str">
        <f t="shared" si="96"/>
        <v/>
      </c>
      <c r="DT91" s="110" t="str">
        <f t="shared" si="96"/>
        <v/>
      </c>
      <c r="DU91" s="54"/>
      <c r="DV91" s="25"/>
      <c r="DW91" s="61" t="str">
        <f t="shared" si="97"/>
        <v/>
      </c>
      <c r="DX91" s="50" t="str">
        <f t="shared" si="97"/>
        <v/>
      </c>
      <c r="DY91" s="50" t="str">
        <f t="shared" si="97"/>
        <v/>
      </c>
      <c r="DZ91" s="50" t="str">
        <f t="shared" si="97"/>
        <v/>
      </c>
      <c r="EA91" s="50" t="str">
        <f t="shared" si="97"/>
        <v/>
      </c>
      <c r="EB91" s="50" t="str">
        <f t="shared" si="97"/>
        <v/>
      </c>
      <c r="EC91" s="50" t="str">
        <f t="shared" si="97"/>
        <v/>
      </c>
      <c r="ED91" s="50" t="str">
        <f t="shared" si="97"/>
        <v/>
      </c>
      <c r="EE91" s="50" t="str">
        <f t="shared" si="97"/>
        <v/>
      </c>
      <c r="EF91" s="50" t="str">
        <f t="shared" si="97"/>
        <v/>
      </c>
      <c r="EG91" s="50" t="str">
        <f t="shared" si="97"/>
        <v/>
      </c>
      <c r="EH91" s="50" t="str">
        <f t="shared" si="97"/>
        <v/>
      </c>
      <c r="EI91" s="50" t="str">
        <f t="shared" si="97"/>
        <v/>
      </c>
      <c r="EJ91" s="50" t="str">
        <f t="shared" si="97"/>
        <v/>
      </c>
      <c r="EK91" s="50" t="str">
        <f t="shared" si="97"/>
        <v/>
      </c>
      <c r="EL91" s="50" t="str">
        <f t="shared" si="97"/>
        <v/>
      </c>
      <c r="EM91" s="50" t="str">
        <f t="shared" si="107"/>
        <v/>
      </c>
      <c r="EN91" s="50" t="str">
        <f t="shared" si="107"/>
        <v/>
      </c>
      <c r="EO91" s="50" t="str">
        <f t="shared" si="107"/>
        <v/>
      </c>
      <c r="EP91" s="50" t="str">
        <f t="shared" si="107"/>
        <v/>
      </c>
      <c r="EQ91" s="50" t="str">
        <f t="shared" si="107"/>
        <v/>
      </c>
      <c r="ER91" s="50" t="str">
        <f t="shared" si="107"/>
        <v/>
      </c>
      <c r="ES91" s="50" t="str">
        <f t="shared" si="107"/>
        <v/>
      </c>
      <c r="ET91" s="50" t="str">
        <f t="shared" si="107"/>
        <v/>
      </c>
      <c r="EU91" s="50" t="str">
        <f t="shared" si="107"/>
        <v/>
      </c>
      <c r="EV91" s="50" t="str">
        <f t="shared" si="107"/>
        <v/>
      </c>
      <c r="EW91" s="50" t="str">
        <f t="shared" si="107"/>
        <v/>
      </c>
      <c r="EX91" s="50" t="str">
        <f t="shared" si="107"/>
        <v/>
      </c>
      <c r="EY91" s="50" t="str">
        <f t="shared" si="107"/>
        <v/>
      </c>
      <c r="EZ91" s="50" t="str">
        <f t="shared" si="107"/>
        <v/>
      </c>
      <c r="FA91" s="50" t="str">
        <f t="shared" si="107"/>
        <v/>
      </c>
      <c r="FB91" s="50" t="str">
        <f t="shared" si="107"/>
        <v/>
      </c>
      <c r="FC91" s="50" t="str">
        <f t="shared" si="108"/>
        <v/>
      </c>
      <c r="FD91" s="50" t="str">
        <f t="shared" si="108"/>
        <v/>
      </c>
      <c r="FE91" s="50" t="str">
        <f t="shared" si="108"/>
        <v/>
      </c>
      <c r="FF91" s="50" t="str">
        <f t="shared" si="108"/>
        <v/>
      </c>
      <c r="FG91" s="50" t="str">
        <f t="shared" si="108"/>
        <v/>
      </c>
      <c r="FH91" s="50" t="str">
        <f t="shared" si="108"/>
        <v/>
      </c>
      <c r="FI91" s="50" t="str">
        <f t="shared" si="108"/>
        <v/>
      </c>
      <c r="FJ91" s="50" t="str">
        <f t="shared" si="108"/>
        <v/>
      </c>
      <c r="FK91" s="50" t="str">
        <f t="shared" si="108"/>
        <v/>
      </c>
      <c r="FL91" s="50" t="str">
        <f t="shared" si="108"/>
        <v/>
      </c>
      <c r="FM91" s="50" t="str">
        <f t="shared" si="108"/>
        <v/>
      </c>
      <c r="FN91" s="50" t="str">
        <f t="shared" si="108"/>
        <v/>
      </c>
      <c r="FO91" s="50" t="str">
        <f t="shared" si="108"/>
        <v/>
      </c>
      <c r="FP91" s="50" t="str">
        <f t="shared" si="108"/>
        <v/>
      </c>
      <c r="FQ91" s="50" t="str">
        <f t="shared" si="108"/>
        <v/>
      </c>
      <c r="FR91" s="50" t="str">
        <f t="shared" si="108"/>
        <v/>
      </c>
      <c r="FS91" s="50" t="str">
        <f t="shared" si="109"/>
        <v/>
      </c>
      <c r="FT91" s="50" t="str">
        <f t="shared" si="109"/>
        <v/>
      </c>
      <c r="FU91" s="50" t="str">
        <f t="shared" si="109"/>
        <v/>
      </c>
      <c r="FV91" s="50" t="str">
        <f t="shared" si="109"/>
        <v/>
      </c>
      <c r="FW91" s="50" t="str">
        <f t="shared" si="109"/>
        <v/>
      </c>
      <c r="FX91" s="50" t="str">
        <f t="shared" si="109"/>
        <v/>
      </c>
      <c r="FY91" s="50" t="str">
        <f t="shared" si="109"/>
        <v/>
      </c>
      <c r="FZ91" s="50" t="str">
        <f t="shared" si="109"/>
        <v/>
      </c>
      <c r="GA91" s="50" t="str">
        <f t="shared" si="109"/>
        <v/>
      </c>
      <c r="GB91" s="50" t="str">
        <f t="shared" si="109"/>
        <v/>
      </c>
      <c r="GC91" s="50" t="str">
        <f t="shared" si="109"/>
        <v/>
      </c>
      <c r="GD91" s="50" t="str">
        <f t="shared" si="109"/>
        <v/>
      </c>
      <c r="GE91" s="50" t="str">
        <f t="shared" si="109"/>
        <v/>
      </c>
      <c r="GF91" s="50" t="str">
        <f t="shared" si="109"/>
        <v/>
      </c>
      <c r="GG91" s="50" t="str">
        <f t="shared" si="109"/>
        <v/>
      </c>
      <c r="GH91" s="50" t="str">
        <f t="shared" si="109"/>
        <v/>
      </c>
      <c r="GI91" s="50" t="str">
        <f t="shared" si="110"/>
        <v/>
      </c>
      <c r="GJ91" s="50" t="str">
        <f t="shared" si="110"/>
        <v/>
      </c>
      <c r="GK91" s="50" t="str">
        <f t="shared" si="110"/>
        <v/>
      </c>
      <c r="GL91" s="50" t="str">
        <f t="shared" si="110"/>
        <v/>
      </c>
      <c r="GM91" s="50" t="str">
        <f t="shared" si="110"/>
        <v/>
      </c>
      <c r="GN91" s="50" t="str">
        <f t="shared" si="110"/>
        <v/>
      </c>
      <c r="GO91" s="50" t="str">
        <f t="shared" si="110"/>
        <v/>
      </c>
      <c r="GP91" s="50" t="str">
        <f t="shared" si="110"/>
        <v/>
      </c>
      <c r="GQ91" s="50" t="str">
        <f t="shared" si="110"/>
        <v/>
      </c>
      <c r="GR91" s="50" t="str">
        <f t="shared" si="110"/>
        <v/>
      </c>
      <c r="GS91" s="50" t="str">
        <f t="shared" si="110"/>
        <v/>
      </c>
      <c r="GT91" s="50" t="str">
        <f t="shared" si="110"/>
        <v/>
      </c>
      <c r="GU91" s="50" t="str">
        <f t="shared" si="110"/>
        <v/>
      </c>
      <c r="GV91" s="50" t="str">
        <f t="shared" si="110"/>
        <v/>
      </c>
      <c r="GW91" s="50" t="str">
        <f t="shared" si="110"/>
        <v/>
      </c>
      <c r="GX91" s="50" t="str">
        <f t="shared" si="110"/>
        <v/>
      </c>
      <c r="GY91" s="50" t="str">
        <f t="shared" si="110"/>
        <v/>
      </c>
      <c r="GZ91" s="50" t="str">
        <f t="shared" si="110"/>
        <v/>
      </c>
      <c r="HA91" s="50" t="str">
        <f t="shared" si="110"/>
        <v/>
      </c>
      <c r="HB91" s="50" t="str">
        <f t="shared" si="110"/>
        <v/>
      </c>
      <c r="HC91" s="50" t="str">
        <f t="shared" si="110"/>
        <v/>
      </c>
      <c r="HD91" s="50" t="str">
        <f t="shared" si="110"/>
        <v/>
      </c>
      <c r="HE91" s="50" t="str">
        <f t="shared" si="110"/>
        <v/>
      </c>
      <c r="HF91" s="50" t="str">
        <f t="shared" si="110"/>
        <v/>
      </c>
      <c r="HG91" s="50" t="str">
        <f t="shared" si="99"/>
        <v/>
      </c>
      <c r="HH91" s="50" t="str">
        <f t="shared" si="99"/>
        <v/>
      </c>
      <c r="HI91" s="50" t="str">
        <f t="shared" si="99"/>
        <v/>
      </c>
      <c r="HJ91" s="50" t="str">
        <f t="shared" si="99"/>
        <v/>
      </c>
      <c r="HK91" s="50" t="str">
        <f t="shared" si="99"/>
        <v/>
      </c>
      <c r="HL91" s="50" t="str">
        <f t="shared" si="99"/>
        <v/>
      </c>
      <c r="HM91" s="50" t="str">
        <f t="shared" si="99"/>
        <v/>
      </c>
      <c r="HN91" s="50" t="str">
        <f t="shared" si="99"/>
        <v/>
      </c>
      <c r="HO91" s="50" t="str">
        <f t="shared" si="99"/>
        <v/>
      </c>
      <c r="HP91" s="50" t="str">
        <f t="shared" si="99"/>
        <v/>
      </c>
      <c r="HQ91" s="50" t="str">
        <f t="shared" si="99"/>
        <v/>
      </c>
      <c r="HR91" s="116" t="str">
        <f t="shared" si="99"/>
        <v/>
      </c>
    </row>
    <row r="92" spans="1:226" ht="11.15" customHeight="1" x14ac:dyDescent="0.25">
      <c r="A92" s="26"/>
      <c r="B92" s="27"/>
      <c r="C92" s="28" t="str">
        <f>IF(A92=0,"",VLOOKUP(A92,[3]CO!$A$3:$F$5327,2,0))</f>
        <v/>
      </c>
      <c r="D92" s="29"/>
      <c r="E92" s="29"/>
      <c r="F92" s="29"/>
      <c r="G92" s="30" t="str">
        <f>IF(A92=0,"",VLOOKUP(A92,[3]CO!$A$3:$F$5327,3,0))</f>
        <v/>
      </c>
      <c r="H92" s="95"/>
      <c r="I92" s="31"/>
      <c r="J92" s="31"/>
      <c r="K92" s="31"/>
      <c r="L92" s="31"/>
      <c r="M92" s="32" t="str">
        <f t="shared" si="91"/>
        <v/>
      </c>
      <c r="N92" s="32" t="str">
        <f>IF(B92=0,"",IF(H92="M",HLOOKUP(B92,$Y$12:$DT$13,2),IF(A92=0,"",VLOOKUP(A92,[3]CO!$A$3:$F$5327,4,0))))</f>
        <v/>
      </c>
      <c r="O92" s="32" t="str">
        <f t="shared" si="11"/>
        <v/>
      </c>
      <c r="P92" s="33"/>
      <c r="Q92" s="34" t="str">
        <f t="shared" si="92"/>
        <v/>
      </c>
      <c r="R92" s="35" t="str">
        <f t="shared" si="100"/>
        <v/>
      </c>
      <c r="S92" s="98"/>
      <c r="T92" s="53" t="str">
        <f>IF(A92=0,"",VLOOKUP(A92,[3]CO!$A$3:$F$5318,5,0))</f>
        <v/>
      </c>
      <c r="U92" s="54">
        <f t="shared" si="93"/>
        <v>0</v>
      </c>
      <c r="V92" s="24"/>
      <c r="W92" s="25"/>
      <c r="X92" s="25"/>
      <c r="Y92" s="64" t="str">
        <f t="shared" si="94"/>
        <v/>
      </c>
      <c r="Z92" s="55" t="str">
        <f t="shared" si="94"/>
        <v/>
      </c>
      <c r="AA92" s="55" t="str">
        <f t="shared" si="94"/>
        <v/>
      </c>
      <c r="AB92" s="55" t="str">
        <f t="shared" si="94"/>
        <v/>
      </c>
      <c r="AC92" s="55" t="str">
        <f t="shared" si="94"/>
        <v/>
      </c>
      <c r="AD92" s="55" t="str">
        <f t="shared" si="94"/>
        <v/>
      </c>
      <c r="AE92" s="55" t="str">
        <f t="shared" si="94"/>
        <v/>
      </c>
      <c r="AF92" s="55" t="str">
        <f t="shared" si="94"/>
        <v/>
      </c>
      <c r="AG92" s="55" t="str">
        <f t="shared" si="94"/>
        <v/>
      </c>
      <c r="AH92" s="55" t="str">
        <f t="shared" si="94"/>
        <v/>
      </c>
      <c r="AI92" s="55" t="str">
        <f t="shared" si="94"/>
        <v/>
      </c>
      <c r="AJ92" s="55" t="str">
        <f t="shared" si="94"/>
        <v/>
      </c>
      <c r="AK92" s="55" t="str">
        <f t="shared" si="94"/>
        <v/>
      </c>
      <c r="AL92" s="55" t="str">
        <f t="shared" si="94"/>
        <v/>
      </c>
      <c r="AM92" s="55" t="str">
        <f t="shared" si="94"/>
        <v/>
      </c>
      <c r="AN92" s="55" t="str">
        <f t="shared" si="94"/>
        <v/>
      </c>
      <c r="AO92" s="55" t="str">
        <f t="shared" si="103"/>
        <v/>
      </c>
      <c r="AP92" s="55" t="str">
        <f t="shared" si="103"/>
        <v/>
      </c>
      <c r="AQ92" s="55" t="str">
        <f t="shared" si="103"/>
        <v/>
      </c>
      <c r="AR92" s="55" t="str">
        <f t="shared" si="103"/>
        <v/>
      </c>
      <c r="AS92" s="55" t="str">
        <f t="shared" si="103"/>
        <v/>
      </c>
      <c r="AT92" s="55" t="str">
        <f t="shared" si="103"/>
        <v/>
      </c>
      <c r="AU92" s="55" t="str">
        <f t="shared" si="103"/>
        <v/>
      </c>
      <c r="AV92" s="55" t="str">
        <f t="shared" si="103"/>
        <v/>
      </c>
      <c r="AW92" s="55" t="str">
        <f t="shared" si="103"/>
        <v/>
      </c>
      <c r="AX92" s="55" t="str">
        <f t="shared" si="103"/>
        <v/>
      </c>
      <c r="AY92" s="55" t="str">
        <f t="shared" si="103"/>
        <v/>
      </c>
      <c r="AZ92" s="55" t="str">
        <f t="shared" si="103"/>
        <v/>
      </c>
      <c r="BA92" s="55" t="str">
        <f t="shared" si="103"/>
        <v/>
      </c>
      <c r="BB92" s="55" t="str">
        <f t="shared" si="103"/>
        <v/>
      </c>
      <c r="BC92" s="55" t="str">
        <f t="shared" si="103"/>
        <v/>
      </c>
      <c r="BD92" s="55" t="str">
        <f t="shared" si="103"/>
        <v/>
      </c>
      <c r="BE92" s="55" t="str">
        <f t="shared" si="104"/>
        <v/>
      </c>
      <c r="BF92" s="55" t="str">
        <f t="shared" si="104"/>
        <v/>
      </c>
      <c r="BG92" s="55" t="str">
        <f t="shared" si="104"/>
        <v/>
      </c>
      <c r="BH92" s="55" t="str">
        <f t="shared" si="104"/>
        <v/>
      </c>
      <c r="BI92" s="55" t="str">
        <f t="shared" si="104"/>
        <v/>
      </c>
      <c r="BJ92" s="55" t="str">
        <f t="shared" si="104"/>
        <v/>
      </c>
      <c r="BK92" s="55" t="str">
        <f t="shared" si="104"/>
        <v/>
      </c>
      <c r="BL92" s="55" t="str">
        <f t="shared" si="104"/>
        <v/>
      </c>
      <c r="BM92" s="55" t="str">
        <f t="shared" si="104"/>
        <v/>
      </c>
      <c r="BN92" s="55" t="str">
        <f t="shared" si="104"/>
        <v/>
      </c>
      <c r="BO92" s="55" t="str">
        <f t="shared" si="104"/>
        <v/>
      </c>
      <c r="BP92" s="55" t="str">
        <f t="shared" si="104"/>
        <v/>
      </c>
      <c r="BQ92" s="55" t="str">
        <f t="shared" si="104"/>
        <v/>
      </c>
      <c r="BR92" s="55" t="str">
        <f t="shared" si="104"/>
        <v/>
      </c>
      <c r="BS92" s="55" t="str">
        <f t="shared" si="104"/>
        <v/>
      </c>
      <c r="BT92" s="55" t="str">
        <f t="shared" si="104"/>
        <v/>
      </c>
      <c r="BU92" s="55" t="str">
        <f t="shared" si="104"/>
        <v/>
      </c>
      <c r="BV92" s="55" t="str">
        <f t="shared" si="104"/>
        <v/>
      </c>
      <c r="BW92" s="55" t="str">
        <f t="shared" si="104"/>
        <v/>
      </c>
      <c r="BX92" s="55" t="str">
        <f t="shared" si="104"/>
        <v/>
      </c>
      <c r="BY92" s="55" t="str">
        <f t="shared" si="105"/>
        <v/>
      </c>
      <c r="BZ92" s="55" t="str">
        <f t="shared" si="105"/>
        <v/>
      </c>
      <c r="CA92" s="55" t="str">
        <f t="shared" si="105"/>
        <v/>
      </c>
      <c r="CB92" s="55" t="str">
        <f t="shared" si="105"/>
        <v/>
      </c>
      <c r="CC92" s="55" t="str">
        <f t="shared" si="105"/>
        <v/>
      </c>
      <c r="CD92" s="55" t="str">
        <f t="shared" si="105"/>
        <v/>
      </c>
      <c r="CE92" s="55" t="str">
        <f t="shared" si="105"/>
        <v/>
      </c>
      <c r="CF92" s="55" t="str">
        <f t="shared" si="105"/>
        <v/>
      </c>
      <c r="CG92" s="55" t="str">
        <f t="shared" si="105"/>
        <v/>
      </c>
      <c r="CH92" s="55" t="str">
        <f t="shared" si="105"/>
        <v/>
      </c>
      <c r="CI92" s="55" t="str">
        <f t="shared" si="105"/>
        <v/>
      </c>
      <c r="CJ92" s="55" t="str">
        <f t="shared" si="105"/>
        <v/>
      </c>
      <c r="CK92" s="55" t="str">
        <f t="shared" si="105"/>
        <v/>
      </c>
      <c r="CL92" s="55" t="str">
        <f t="shared" si="105"/>
        <v/>
      </c>
      <c r="CM92" s="55" t="str">
        <f t="shared" si="105"/>
        <v/>
      </c>
      <c r="CN92" s="55" t="str">
        <f t="shared" si="105"/>
        <v/>
      </c>
      <c r="CO92" s="55" t="str">
        <f t="shared" si="106"/>
        <v/>
      </c>
      <c r="CP92" s="55" t="str">
        <f t="shared" si="106"/>
        <v/>
      </c>
      <c r="CQ92" s="55" t="str">
        <f t="shared" si="106"/>
        <v/>
      </c>
      <c r="CR92" s="55" t="str">
        <f t="shared" si="106"/>
        <v/>
      </c>
      <c r="CS92" s="55" t="str">
        <f t="shared" si="106"/>
        <v/>
      </c>
      <c r="CT92" s="55" t="str">
        <f t="shared" si="106"/>
        <v/>
      </c>
      <c r="CU92" s="55" t="str">
        <f t="shared" si="106"/>
        <v/>
      </c>
      <c r="CV92" s="55" t="str">
        <f t="shared" si="106"/>
        <v/>
      </c>
      <c r="CW92" s="55" t="str">
        <f t="shared" si="106"/>
        <v/>
      </c>
      <c r="CX92" s="55" t="str">
        <f t="shared" si="106"/>
        <v/>
      </c>
      <c r="CY92" s="55" t="str">
        <f t="shared" si="106"/>
        <v/>
      </c>
      <c r="CZ92" s="55" t="str">
        <f t="shared" si="101"/>
        <v/>
      </c>
      <c r="DA92" s="55" t="str">
        <f t="shared" si="101"/>
        <v/>
      </c>
      <c r="DB92" s="55" t="str">
        <f t="shared" si="101"/>
        <v/>
      </c>
      <c r="DC92" s="55" t="str">
        <f t="shared" si="101"/>
        <v/>
      </c>
      <c r="DD92" s="55" t="str">
        <f t="shared" si="101"/>
        <v/>
      </c>
      <c r="DE92" s="55" t="str">
        <f t="shared" si="101"/>
        <v/>
      </c>
      <c r="DF92" s="55" t="str">
        <f t="shared" si="101"/>
        <v/>
      </c>
      <c r="DG92" s="55" t="str">
        <f t="shared" si="101"/>
        <v/>
      </c>
      <c r="DH92" s="55" t="str">
        <f t="shared" si="101"/>
        <v/>
      </c>
      <c r="DI92" s="55" t="str">
        <f t="shared" si="101"/>
        <v/>
      </c>
      <c r="DJ92" s="55" t="str">
        <f t="shared" si="101"/>
        <v/>
      </c>
      <c r="DK92" s="55" t="str">
        <f t="shared" si="101"/>
        <v/>
      </c>
      <c r="DL92" s="55" t="str">
        <f t="shared" si="101"/>
        <v/>
      </c>
      <c r="DM92" s="55" t="str">
        <f t="shared" si="101"/>
        <v/>
      </c>
      <c r="DN92" s="55" t="str">
        <f t="shared" si="101"/>
        <v/>
      </c>
      <c r="DO92" s="55" t="str">
        <f t="shared" si="101"/>
        <v/>
      </c>
      <c r="DP92" s="55" t="str">
        <f t="shared" si="96"/>
        <v/>
      </c>
      <c r="DQ92" s="55" t="str">
        <f t="shared" si="96"/>
        <v/>
      </c>
      <c r="DR92" s="55" t="str">
        <f t="shared" si="96"/>
        <v/>
      </c>
      <c r="DS92" s="55" t="str">
        <f t="shared" si="96"/>
        <v/>
      </c>
      <c r="DT92" s="110" t="str">
        <f t="shared" si="96"/>
        <v/>
      </c>
      <c r="DU92" s="54"/>
      <c r="DV92" s="25"/>
      <c r="DW92" s="61" t="str">
        <f t="shared" si="97"/>
        <v/>
      </c>
      <c r="DX92" s="50" t="str">
        <f t="shared" si="97"/>
        <v/>
      </c>
      <c r="DY92" s="50" t="str">
        <f t="shared" si="97"/>
        <v/>
      </c>
      <c r="DZ92" s="50" t="str">
        <f t="shared" si="97"/>
        <v/>
      </c>
      <c r="EA92" s="50" t="str">
        <f t="shared" si="97"/>
        <v/>
      </c>
      <c r="EB92" s="50" t="str">
        <f t="shared" si="97"/>
        <v/>
      </c>
      <c r="EC92" s="50" t="str">
        <f t="shared" si="97"/>
        <v/>
      </c>
      <c r="ED92" s="50" t="str">
        <f t="shared" si="97"/>
        <v/>
      </c>
      <c r="EE92" s="50" t="str">
        <f t="shared" si="97"/>
        <v/>
      </c>
      <c r="EF92" s="50" t="str">
        <f t="shared" si="97"/>
        <v/>
      </c>
      <c r="EG92" s="50" t="str">
        <f t="shared" si="97"/>
        <v/>
      </c>
      <c r="EH92" s="50" t="str">
        <f t="shared" si="97"/>
        <v/>
      </c>
      <c r="EI92" s="50" t="str">
        <f t="shared" si="97"/>
        <v/>
      </c>
      <c r="EJ92" s="50" t="str">
        <f t="shared" si="97"/>
        <v/>
      </c>
      <c r="EK92" s="50" t="str">
        <f t="shared" si="97"/>
        <v/>
      </c>
      <c r="EL92" s="50" t="str">
        <f t="shared" si="97"/>
        <v/>
      </c>
      <c r="EM92" s="50" t="str">
        <f t="shared" si="107"/>
        <v/>
      </c>
      <c r="EN92" s="50" t="str">
        <f t="shared" si="107"/>
        <v/>
      </c>
      <c r="EO92" s="50" t="str">
        <f t="shared" si="107"/>
        <v/>
      </c>
      <c r="EP92" s="50" t="str">
        <f t="shared" si="107"/>
        <v/>
      </c>
      <c r="EQ92" s="50" t="str">
        <f t="shared" si="107"/>
        <v/>
      </c>
      <c r="ER92" s="50" t="str">
        <f t="shared" si="107"/>
        <v/>
      </c>
      <c r="ES92" s="50" t="str">
        <f t="shared" si="107"/>
        <v/>
      </c>
      <c r="ET92" s="50" t="str">
        <f t="shared" si="107"/>
        <v/>
      </c>
      <c r="EU92" s="50" t="str">
        <f t="shared" si="107"/>
        <v/>
      </c>
      <c r="EV92" s="50" t="str">
        <f t="shared" si="107"/>
        <v/>
      </c>
      <c r="EW92" s="50" t="str">
        <f t="shared" si="107"/>
        <v/>
      </c>
      <c r="EX92" s="50" t="str">
        <f t="shared" si="107"/>
        <v/>
      </c>
      <c r="EY92" s="50" t="str">
        <f t="shared" si="107"/>
        <v/>
      </c>
      <c r="EZ92" s="50" t="str">
        <f t="shared" si="107"/>
        <v/>
      </c>
      <c r="FA92" s="50" t="str">
        <f t="shared" si="107"/>
        <v/>
      </c>
      <c r="FB92" s="50" t="str">
        <f t="shared" si="107"/>
        <v/>
      </c>
      <c r="FC92" s="50" t="str">
        <f t="shared" si="108"/>
        <v/>
      </c>
      <c r="FD92" s="50" t="str">
        <f t="shared" si="108"/>
        <v/>
      </c>
      <c r="FE92" s="50" t="str">
        <f t="shared" si="108"/>
        <v/>
      </c>
      <c r="FF92" s="50" t="str">
        <f t="shared" si="108"/>
        <v/>
      </c>
      <c r="FG92" s="50" t="str">
        <f t="shared" si="108"/>
        <v/>
      </c>
      <c r="FH92" s="50" t="str">
        <f t="shared" si="108"/>
        <v/>
      </c>
      <c r="FI92" s="50" t="str">
        <f t="shared" si="108"/>
        <v/>
      </c>
      <c r="FJ92" s="50" t="str">
        <f t="shared" si="108"/>
        <v/>
      </c>
      <c r="FK92" s="50" t="str">
        <f t="shared" si="108"/>
        <v/>
      </c>
      <c r="FL92" s="50" t="str">
        <f t="shared" si="108"/>
        <v/>
      </c>
      <c r="FM92" s="50" t="str">
        <f t="shared" si="108"/>
        <v/>
      </c>
      <c r="FN92" s="50" t="str">
        <f t="shared" si="108"/>
        <v/>
      </c>
      <c r="FO92" s="50" t="str">
        <f t="shared" si="108"/>
        <v/>
      </c>
      <c r="FP92" s="50" t="str">
        <f t="shared" si="108"/>
        <v/>
      </c>
      <c r="FQ92" s="50" t="str">
        <f t="shared" si="108"/>
        <v/>
      </c>
      <c r="FR92" s="50" t="str">
        <f t="shared" si="108"/>
        <v/>
      </c>
      <c r="FS92" s="50" t="str">
        <f t="shared" si="109"/>
        <v/>
      </c>
      <c r="FT92" s="50" t="str">
        <f t="shared" si="109"/>
        <v/>
      </c>
      <c r="FU92" s="50" t="str">
        <f t="shared" si="109"/>
        <v/>
      </c>
      <c r="FV92" s="50" t="str">
        <f t="shared" si="109"/>
        <v/>
      </c>
      <c r="FW92" s="50" t="str">
        <f t="shared" si="109"/>
        <v/>
      </c>
      <c r="FX92" s="50" t="str">
        <f t="shared" si="109"/>
        <v/>
      </c>
      <c r="FY92" s="50" t="str">
        <f t="shared" si="109"/>
        <v/>
      </c>
      <c r="FZ92" s="50" t="str">
        <f t="shared" si="109"/>
        <v/>
      </c>
      <c r="GA92" s="50" t="str">
        <f t="shared" si="109"/>
        <v/>
      </c>
      <c r="GB92" s="50" t="str">
        <f t="shared" si="109"/>
        <v/>
      </c>
      <c r="GC92" s="50" t="str">
        <f t="shared" si="109"/>
        <v/>
      </c>
      <c r="GD92" s="50" t="str">
        <f t="shared" si="109"/>
        <v/>
      </c>
      <c r="GE92" s="50" t="str">
        <f t="shared" si="109"/>
        <v/>
      </c>
      <c r="GF92" s="50" t="str">
        <f t="shared" si="109"/>
        <v/>
      </c>
      <c r="GG92" s="50" t="str">
        <f t="shared" si="109"/>
        <v/>
      </c>
      <c r="GH92" s="50" t="str">
        <f t="shared" si="109"/>
        <v/>
      </c>
      <c r="GI92" s="50" t="str">
        <f t="shared" si="110"/>
        <v/>
      </c>
      <c r="GJ92" s="50" t="str">
        <f t="shared" si="110"/>
        <v/>
      </c>
      <c r="GK92" s="50" t="str">
        <f t="shared" si="110"/>
        <v/>
      </c>
      <c r="GL92" s="50" t="str">
        <f t="shared" si="110"/>
        <v/>
      </c>
      <c r="GM92" s="50" t="str">
        <f t="shared" si="110"/>
        <v/>
      </c>
      <c r="GN92" s="50" t="str">
        <f t="shared" si="110"/>
        <v/>
      </c>
      <c r="GO92" s="50" t="str">
        <f t="shared" si="110"/>
        <v/>
      </c>
      <c r="GP92" s="50" t="str">
        <f t="shared" si="110"/>
        <v/>
      </c>
      <c r="GQ92" s="50" t="str">
        <f t="shared" si="110"/>
        <v/>
      </c>
      <c r="GR92" s="50" t="str">
        <f t="shared" si="110"/>
        <v/>
      </c>
      <c r="GS92" s="50" t="str">
        <f t="shared" si="110"/>
        <v/>
      </c>
      <c r="GT92" s="50" t="str">
        <f t="shared" si="110"/>
        <v/>
      </c>
      <c r="GU92" s="50" t="str">
        <f t="shared" si="110"/>
        <v/>
      </c>
      <c r="GV92" s="50" t="str">
        <f t="shared" si="110"/>
        <v/>
      </c>
      <c r="GW92" s="50" t="str">
        <f t="shared" si="110"/>
        <v/>
      </c>
      <c r="GX92" s="50" t="str">
        <f t="shared" si="110"/>
        <v/>
      </c>
      <c r="GY92" s="50" t="str">
        <f t="shared" si="110"/>
        <v/>
      </c>
      <c r="GZ92" s="50" t="str">
        <f t="shared" si="110"/>
        <v/>
      </c>
      <c r="HA92" s="50" t="str">
        <f t="shared" si="110"/>
        <v/>
      </c>
      <c r="HB92" s="50" t="str">
        <f t="shared" si="110"/>
        <v/>
      </c>
      <c r="HC92" s="50" t="str">
        <f t="shared" si="110"/>
        <v/>
      </c>
      <c r="HD92" s="50" t="str">
        <f t="shared" si="110"/>
        <v/>
      </c>
      <c r="HE92" s="50" t="str">
        <f t="shared" si="110"/>
        <v/>
      </c>
      <c r="HF92" s="50" t="str">
        <f t="shared" si="110"/>
        <v/>
      </c>
      <c r="HG92" s="50" t="str">
        <f t="shared" si="99"/>
        <v/>
      </c>
      <c r="HH92" s="50" t="str">
        <f t="shared" si="99"/>
        <v/>
      </c>
      <c r="HI92" s="50" t="str">
        <f t="shared" si="99"/>
        <v/>
      </c>
      <c r="HJ92" s="50" t="str">
        <f t="shared" si="99"/>
        <v/>
      </c>
      <c r="HK92" s="50" t="str">
        <f t="shared" si="99"/>
        <v/>
      </c>
      <c r="HL92" s="50" t="str">
        <f t="shared" si="99"/>
        <v/>
      </c>
      <c r="HM92" s="50" t="str">
        <f t="shared" si="99"/>
        <v/>
      </c>
      <c r="HN92" s="50" t="str">
        <f t="shared" si="99"/>
        <v/>
      </c>
      <c r="HO92" s="50" t="str">
        <f t="shared" si="99"/>
        <v/>
      </c>
      <c r="HP92" s="50" t="str">
        <f t="shared" si="99"/>
        <v/>
      </c>
      <c r="HQ92" s="50" t="str">
        <f t="shared" si="99"/>
        <v/>
      </c>
      <c r="HR92" s="116" t="str">
        <f t="shared" si="99"/>
        <v/>
      </c>
    </row>
    <row r="93" spans="1:226" ht="11.15" customHeight="1" x14ac:dyDescent="0.25">
      <c r="A93" s="26"/>
      <c r="B93" s="27"/>
      <c r="C93" s="28" t="str">
        <f>IF(A93=0,"",VLOOKUP(A93,[3]CO!$A$3:$F$5327,2,0))</f>
        <v/>
      </c>
      <c r="D93" s="29"/>
      <c r="E93" s="29"/>
      <c r="F93" s="29"/>
      <c r="G93" s="30" t="str">
        <f>IF(A93=0,"",VLOOKUP(A93,[3]CO!$A$3:$F$5327,3,0))</f>
        <v/>
      </c>
      <c r="H93" s="95"/>
      <c r="I93" s="31"/>
      <c r="J93" s="31"/>
      <c r="K93" s="31"/>
      <c r="L93" s="31"/>
      <c r="M93" s="32" t="str">
        <f t="shared" si="91"/>
        <v/>
      </c>
      <c r="N93" s="32" t="str">
        <f>IF(B93=0,"",IF(H93="M",HLOOKUP(B93,$Y$12:$DT$13,2),IF(A93=0,"",VLOOKUP(A93,[3]CO!$A$3:$F$5327,4,0))))</f>
        <v/>
      </c>
      <c r="O93" s="32" t="str">
        <f t="shared" si="11"/>
        <v/>
      </c>
      <c r="P93" s="33"/>
      <c r="Q93" s="34" t="str">
        <f t="shared" si="92"/>
        <v/>
      </c>
      <c r="R93" s="35" t="str">
        <f t="shared" si="100"/>
        <v/>
      </c>
      <c r="S93" s="98"/>
      <c r="T93" s="53" t="str">
        <f>IF(A93=0,"",VLOOKUP(A93,[3]CO!$A$3:$F$5318,5,0))</f>
        <v/>
      </c>
      <c r="U93" s="54">
        <f t="shared" si="93"/>
        <v>0</v>
      </c>
      <c r="V93" s="24"/>
      <c r="W93" s="25"/>
      <c r="X93" s="25"/>
      <c r="Y93" s="64" t="str">
        <f t="shared" si="94"/>
        <v/>
      </c>
      <c r="Z93" s="55" t="str">
        <f t="shared" si="94"/>
        <v/>
      </c>
      <c r="AA93" s="55" t="str">
        <f t="shared" si="94"/>
        <v/>
      </c>
      <c r="AB93" s="55" t="str">
        <f t="shared" si="94"/>
        <v/>
      </c>
      <c r="AC93" s="55" t="str">
        <f t="shared" si="94"/>
        <v/>
      </c>
      <c r="AD93" s="55" t="str">
        <f t="shared" si="94"/>
        <v/>
      </c>
      <c r="AE93" s="55" t="str">
        <f t="shared" si="94"/>
        <v/>
      </c>
      <c r="AF93" s="55" t="str">
        <f t="shared" si="94"/>
        <v/>
      </c>
      <c r="AG93" s="55" t="str">
        <f t="shared" si="94"/>
        <v/>
      </c>
      <c r="AH93" s="55" t="str">
        <f t="shared" si="94"/>
        <v/>
      </c>
      <c r="AI93" s="55" t="str">
        <f t="shared" si="94"/>
        <v/>
      </c>
      <c r="AJ93" s="55" t="str">
        <f t="shared" si="94"/>
        <v/>
      </c>
      <c r="AK93" s="55" t="str">
        <f t="shared" si="94"/>
        <v/>
      </c>
      <c r="AL93" s="55" t="str">
        <f t="shared" si="94"/>
        <v/>
      </c>
      <c r="AM93" s="55" t="str">
        <f t="shared" si="94"/>
        <v/>
      </c>
      <c r="AN93" s="55" t="str">
        <f t="shared" si="94"/>
        <v/>
      </c>
      <c r="AO93" s="55" t="str">
        <f t="shared" si="103"/>
        <v/>
      </c>
      <c r="AP93" s="55" t="str">
        <f t="shared" si="103"/>
        <v/>
      </c>
      <c r="AQ93" s="55" t="str">
        <f t="shared" si="103"/>
        <v/>
      </c>
      <c r="AR93" s="55" t="str">
        <f t="shared" si="103"/>
        <v/>
      </c>
      <c r="AS93" s="55" t="str">
        <f t="shared" si="103"/>
        <v/>
      </c>
      <c r="AT93" s="55" t="str">
        <f t="shared" si="103"/>
        <v/>
      </c>
      <c r="AU93" s="55" t="str">
        <f t="shared" si="103"/>
        <v/>
      </c>
      <c r="AV93" s="55" t="str">
        <f t="shared" si="103"/>
        <v/>
      </c>
      <c r="AW93" s="55" t="str">
        <f t="shared" si="103"/>
        <v/>
      </c>
      <c r="AX93" s="55" t="str">
        <f t="shared" si="103"/>
        <v/>
      </c>
      <c r="AY93" s="55" t="str">
        <f t="shared" si="103"/>
        <v/>
      </c>
      <c r="AZ93" s="55" t="str">
        <f t="shared" si="103"/>
        <v/>
      </c>
      <c r="BA93" s="55" t="str">
        <f t="shared" si="103"/>
        <v/>
      </c>
      <c r="BB93" s="55" t="str">
        <f t="shared" si="103"/>
        <v/>
      </c>
      <c r="BC93" s="55" t="str">
        <f t="shared" si="103"/>
        <v/>
      </c>
      <c r="BD93" s="55" t="str">
        <f t="shared" si="103"/>
        <v/>
      </c>
      <c r="BE93" s="55" t="str">
        <f t="shared" si="104"/>
        <v/>
      </c>
      <c r="BF93" s="55" t="str">
        <f t="shared" si="104"/>
        <v/>
      </c>
      <c r="BG93" s="55" t="str">
        <f t="shared" si="104"/>
        <v/>
      </c>
      <c r="BH93" s="55" t="str">
        <f t="shared" si="104"/>
        <v/>
      </c>
      <c r="BI93" s="55" t="str">
        <f t="shared" si="104"/>
        <v/>
      </c>
      <c r="BJ93" s="55" t="str">
        <f t="shared" si="104"/>
        <v/>
      </c>
      <c r="BK93" s="55" t="str">
        <f t="shared" si="104"/>
        <v/>
      </c>
      <c r="BL93" s="55" t="str">
        <f t="shared" si="104"/>
        <v/>
      </c>
      <c r="BM93" s="55" t="str">
        <f t="shared" si="104"/>
        <v/>
      </c>
      <c r="BN93" s="55" t="str">
        <f t="shared" si="104"/>
        <v/>
      </c>
      <c r="BO93" s="55" t="str">
        <f t="shared" si="104"/>
        <v/>
      </c>
      <c r="BP93" s="55" t="str">
        <f t="shared" si="104"/>
        <v/>
      </c>
      <c r="BQ93" s="55" t="str">
        <f t="shared" si="104"/>
        <v/>
      </c>
      <c r="BR93" s="55" t="str">
        <f t="shared" si="104"/>
        <v/>
      </c>
      <c r="BS93" s="55" t="str">
        <f t="shared" si="104"/>
        <v/>
      </c>
      <c r="BT93" s="55" t="str">
        <f t="shared" si="104"/>
        <v/>
      </c>
      <c r="BU93" s="55" t="str">
        <f t="shared" si="104"/>
        <v/>
      </c>
      <c r="BV93" s="55" t="str">
        <f t="shared" si="104"/>
        <v/>
      </c>
      <c r="BW93" s="55" t="str">
        <f t="shared" si="104"/>
        <v/>
      </c>
      <c r="BX93" s="55" t="str">
        <f t="shared" si="104"/>
        <v/>
      </c>
      <c r="BY93" s="55" t="str">
        <f t="shared" si="105"/>
        <v/>
      </c>
      <c r="BZ93" s="55" t="str">
        <f t="shared" si="105"/>
        <v/>
      </c>
      <c r="CA93" s="55" t="str">
        <f t="shared" si="105"/>
        <v/>
      </c>
      <c r="CB93" s="55" t="str">
        <f t="shared" si="105"/>
        <v/>
      </c>
      <c r="CC93" s="55" t="str">
        <f t="shared" si="105"/>
        <v/>
      </c>
      <c r="CD93" s="55" t="str">
        <f t="shared" si="105"/>
        <v/>
      </c>
      <c r="CE93" s="55" t="str">
        <f t="shared" si="105"/>
        <v/>
      </c>
      <c r="CF93" s="55" t="str">
        <f t="shared" si="105"/>
        <v/>
      </c>
      <c r="CG93" s="55" t="str">
        <f t="shared" si="105"/>
        <v/>
      </c>
      <c r="CH93" s="55" t="str">
        <f t="shared" si="105"/>
        <v/>
      </c>
      <c r="CI93" s="55" t="str">
        <f t="shared" si="105"/>
        <v/>
      </c>
      <c r="CJ93" s="55" t="str">
        <f t="shared" si="105"/>
        <v/>
      </c>
      <c r="CK93" s="55" t="str">
        <f t="shared" si="105"/>
        <v/>
      </c>
      <c r="CL93" s="55" t="str">
        <f t="shared" si="105"/>
        <v/>
      </c>
      <c r="CM93" s="55" t="str">
        <f t="shared" si="105"/>
        <v/>
      </c>
      <c r="CN93" s="55" t="str">
        <f t="shared" si="105"/>
        <v/>
      </c>
      <c r="CO93" s="55" t="str">
        <f t="shared" si="106"/>
        <v/>
      </c>
      <c r="CP93" s="55" t="str">
        <f t="shared" si="106"/>
        <v/>
      </c>
      <c r="CQ93" s="55" t="str">
        <f t="shared" si="106"/>
        <v/>
      </c>
      <c r="CR93" s="55" t="str">
        <f t="shared" si="106"/>
        <v/>
      </c>
      <c r="CS93" s="55" t="str">
        <f t="shared" si="106"/>
        <v/>
      </c>
      <c r="CT93" s="55" t="str">
        <f t="shared" si="106"/>
        <v/>
      </c>
      <c r="CU93" s="55" t="str">
        <f t="shared" si="106"/>
        <v/>
      </c>
      <c r="CV93" s="55" t="str">
        <f t="shared" si="106"/>
        <v/>
      </c>
      <c r="CW93" s="55" t="str">
        <f t="shared" si="106"/>
        <v/>
      </c>
      <c r="CX93" s="55" t="str">
        <f t="shared" si="106"/>
        <v/>
      </c>
      <c r="CY93" s="55" t="str">
        <f t="shared" si="106"/>
        <v/>
      </c>
      <c r="CZ93" s="55" t="str">
        <f t="shared" si="101"/>
        <v/>
      </c>
      <c r="DA93" s="55" t="str">
        <f t="shared" si="101"/>
        <v/>
      </c>
      <c r="DB93" s="55" t="str">
        <f t="shared" si="101"/>
        <v/>
      </c>
      <c r="DC93" s="55" t="str">
        <f t="shared" si="101"/>
        <v/>
      </c>
      <c r="DD93" s="55" t="str">
        <f t="shared" si="101"/>
        <v/>
      </c>
      <c r="DE93" s="55" t="str">
        <f t="shared" si="101"/>
        <v/>
      </c>
      <c r="DF93" s="55" t="str">
        <f t="shared" si="101"/>
        <v/>
      </c>
      <c r="DG93" s="55" t="str">
        <f t="shared" si="101"/>
        <v/>
      </c>
      <c r="DH93" s="55" t="str">
        <f t="shared" si="101"/>
        <v/>
      </c>
      <c r="DI93" s="55" t="str">
        <f t="shared" si="101"/>
        <v/>
      </c>
      <c r="DJ93" s="55" t="str">
        <f t="shared" si="101"/>
        <v/>
      </c>
      <c r="DK93" s="55" t="str">
        <f t="shared" si="101"/>
        <v/>
      </c>
      <c r="DL93" s="55" t="str">
        <f t="shared" si="101"/>
        <v/>
      </c>
      <c r="DM93" s="55" t="str">
        <f t="shared" si="101"/>
        <v/>
      </c>
      <c r="DN93" s="55" t="str">
        <f t="shared" si="101"/>
        <v/>
      </c>
      <c r="DO93" s="55" t="str">
        <f t="shared" si="101"/>
        <v/>
      </c>
      <c r="DP93" s="55" t="str">
        <f t="shared" si="96"/>
        <v/>
      </c>
      <c r="DQ93" s="55" t="str">
        <f t="shared" si="96"/>
        <v/>
      </c>
      <c r="DR93" s="55" t="str">
        <f t="shared" si="96"/>
        <v/>
      </c>
      <c r="DS93" s="55" t="str">
        <f t="shared" si="96"/>
        <v/>
      </c>
      <c r="DT93" s="110" t="str">
        <f t="shared" si="96"/>
        <v/>
      </c>
      <c r="DU93" s="54"/>
      <c r="DV93" s="25"/>
      <c r="DW93" s="61" t="str">
        <f t="shared" si="97"/>
        <v/>
      </c>
      <c r="DX93" s="50" t="str">
        <f t="shared" si="97"/>
        <v/>
      </c>
      <c r="DY93" s="50" t="str">
        <f t="shared" si="97"/>
        <v/>
      </c>
      <c r="DZ93" s="50" t="str">
        <f t="shared" si="97"/>
        <v/>
      </c>
      <c r="EA93" s="50" t="str">
        <f t="shared" si="97"/>
        <v/>
      </c>
      <c r="EB93" s="50" t="str">
        <f t="shared" si="97"/>
        <v/>
      </c>
      <c r="EC93" s="50" t="str">
        <f t="shared" si="97"/>
        <v/>
      </c>
      <c r="ED93" s="50" t="str">
        <f t="shared" si="97"/>
        <v/>
      </c>
      <c r="EE93" s="50" t="str">
        <f t="shared" si="97"/>
        <v/>
      </c>
      <c r="EF93" s="50" t="str">
        <f t="shared" si="97"/>
        <v/>
      </c>
      <c r="EG93" s="50" t="str">
        <f t="shared" si="97"/>
        <v/>
      </c>
      <c r="EH93" s="50" t="str">
        <f t="shared" si="97"/>
        <v/>
      </c>
      <c r="EI93" s="50" t="str">
        <f t="shared" si="97"/>
        <v/>
      </c>
      <c r="EJ93" s="50" t="str">
        <f t="shared" si="97"/>
        <v/>
      </c>
      <c r="EK93" s="50" t="str">
        <f t="shared" si="97"/>
        <v/>
      </c>
      <c r="EL93" s="50" t="str">
        <f t="shared" si="97"/>
        <v/>
      </c>
      <c r="EM93" s="50" t="str">
        <f t="shared" si="107"/>
        <v/>
      </c>
      <c r="EN93" s="50" t="str">
        <f t="shared" si="107"/>
        <v/>
      </c>
      <c r="EO93" s="50" t="str">
        <f t="shared" si="107"/>
        <v/>
      </c>
      <c r="EP93" s="50" t="str">
        <f t="shared" si="107"/>
        <v/>
      </c>
      <c r="EQ93" s="50" t="str">
        <f t="shared" si="107"/>
        <v/>
      </c>
      <c r="ER93" s="50" t="str">
        <f t="shared" si="107"/>
        <v/>
      </c>
      <c r="ES93" s="50" t="str">
        <f t="shared" si="107"/>
        <v/>
      </c>
      <c r="ET93" s="50" t="str">
        <f t="shared" si="107"/>
        <v/>
      </c>
      <c r="EU93" s="50" t="str">
        <f t="shared" si="107"/>
        <v/>
      </c>
      <c r="EV93" s="50" t="str">
        <f t="shared" si="107"/>
        <v/>
      </c>
      <c r="EW93" s="50" t="str">
        <f t="shared" si="107"/>
        <v/>
      </c>
      <c r="EX93" s="50" t="str">
        <f t="shared" si="107"/>
        <v/>
      </c>
      <c r="EY93" s="50" t="str">
        <f t="shared" si="107"/>
        <v/>
      </c>
      <c r="EZ93" s="50" t="str">
        <f t="shared" si="107"/>
        <v/>
      </c>
      <c r="FA93" s="50" t="str">
        <f t="shared" si="107"/>
        <v/>
      </c>
      <c r="FB93" s="50" t="str">
        <f t="shared" si="107"/>
        <v/>
      </c>
      <c r="FC93" s="50" t="str">
        <f t="shared" si="108"/>
        <v/>
      </c>
      <c r="FD93" s="50" t="str">
        <f t="shared" si="108"/>
        <v/>
      </c>
      <c r="FE93" s="50" t="str">
        <f t="shared" si="108"/>
        <v/>
      </c>
      <c r="FF93" s="50" t="str">
        <f t="shared" si="108"/>
        <v/>
      </c>
      <c r="FG93" s="50" t="str">
        <f t="shared" si="108"/>
        <v/>
      </c>
      <c r="FH93" s="50" t="str">
        <f t="shared" si="108"/>
        <v/>
      </c>
      <c r="FI93" s="50" t="str">
        <f t="shared" si="108"/>
        <v/>
      </c>
      <c r="FJ93" s="50" t="str">
        <f t="shared" si="108"/>
        <v/>
      </c>
      <c r="FK93" s="50" t="str">
        <f t="shared" si="108"/>
        <v/>
      </c>
      <c r="FL93" s="50" t="str">
        <f t="shared" si="108"/>
        <v/>
      </c>
      <c r="FM93" s="50" t="str">
        <f t="shared" si="108"/>
        <v/>
      </c>
      <c r="FN93" s="50" t="str">
        <f t="shared" si="108"/>
        <v/>
      </c>
      <c r="FO93" s="50" t="str">
        <f t="shared" si="108"/>
        <v/>
      </c>
      <c r="FP93" s="50" t="str">
        <f t="shared" si="108"/>
        <v/>
      </c>
      <c r="FQ93" s="50" t="str">
        <f t="shared" si="108"/>
        <v/>
      </c>
      <c r="FR93" s="50" t="str">
        <f t="shared" si="108"/>
        <v/>
      </c>
      <c r="FS93" s="50" t="str">
        <f t="shared" si="109"/>
        <v/>
      </c>
      <c r="FT93" s="50" t="str">
        <f t="shared" si="109"/>
        <v/>
      </c>
      <c r="FU93" s="50" t="str">
        <f t="shared" si="109"/>
        <v/>
      </c>
      <c r="FV93" s="50" t="str">
        <f t="shared" si="109"/>
        <v/>
      </c>
      <c r="FW93" s="50" t="str">
        <f t="shared" si="109"/>
        <v/>
      </c>
      <c r="FX93" s="50" t="str">
        <f t="shared" si="109"/>
        <v/>
      </c>
      <c r="FY93" s="50" t="str">
        <f t="shared" si="109"/>
        <v/>
      </c>
      <c r="FZ93" s="50" t="str">
        <f t="shared" si="109"/>
        <v/>
      </c>
      <c r="GA93" s="50" t="str">
        <f t="shared" si="109"/>
        <v/>
      </c>
      <c r="GB93" s="50" t="str">
        <f t="shared" si="109"/>
        <v/>
      </c>
      <c r="GC93" s="50" t="str">
        <f t="shared" si="109"/>
        <v/>
      </c>
      <c r="GD93" s="50" t="str">
        <f t="shared" si="109"/>
        <v/>
      </c>
      <c r="GE93" s="50" t="str">
        <f t="shared" si="109"/>
        <v/>
      </c>
      <c r="GF93" s="50" t="str">
        <f t="shared" si="109"/>
        <v/>
      </c>
      <c r="GG93" s="50" t="str">
        <f t="shared" si="109"/>
        <v/>
      </c>
      <c r="GH93" s="50" t="str">
        <f t="shared" si="109"/>
        <v/>
      </c>
      <c r="GI93" s="50" t="str">
        <f t="shared" si="110"/>
        <v/>
      </c>
      <c r="GJ93" s="50" t="str">
        <f t="shared" si="110"/>
        <v/>
      </c>
      <c r="GK93" s="50" t="str">
        <f t="shared" si="110"/>
        <v/>
      </c>
      <c r="GL93" s="50" t="str">
        <f t="shared" si="110"/>
        <v/>
      </c>
      <c r="GM93" s="50" t="str">
        <f t="shared" si="110"/>
        <v/>
      </c>
      <c r="GN93" s="50" t="str">
        <f t="shared" si="110"/>
        <v/>
      </c>
      <c r="GO93" s="50" t="str">
        <f t="shared" si="110"/>
        <v/>
      </c>
      <c r="GP93" s="50" t="str">
        <f t="shared" si="110"/>
        <v/>
      </c>
      <c r="GQ93" s="50" t="str">
        <f t="shared" si="110"/>
        <v/>
      </c>
      <c r="GR93" s="50" t="str">
        <f t="shared" si="110"/>
        <v/>
      </c>
      <c r="GS93" s="50" t="str">
        <f t="shared" si="110"/>
        <v/>
      </c>
      <c r="GT93" s="50" t="str">
        <f t="shared" si="110"/>
        <v/>
      </c>
      <c r="GU93" s="50" t="str">
        <f t="shared" si="110"/>
        <v/>
      </c>
      <c r="GV93" s="50" t="str">
        <f t="shared" si="110"/>
        <v/>
      </c>
      <c r="GW93" s="50" t="str">
        <f t="shared" si="110"/>
        <v/>
      </c>
      <c r="GX93" s="50" t="str">
        <f t="shared" si="110"/>
        <v/>
      </c>
      <c r="GY93" s="50" t="str">
        <f t="shared" si="110"/>
        <v/>
      </c>
      <c r="GZ93" s="50" t="str">
        <f t="shared" si="110"/>
        <v/>
      </c>
      <c r="HA93" s="50" t="str">
        <f t="shared" si="110"/>
        <v/>
      </c>
      <c r="HB93" s="50" t="str">
        <f t="shared" si="110"/>
        <v/>
      </c>
      <c r="HC93" s="50" t="str">
        <f t="shared" si="110"/>
        <v/>
      </c>
      <c r="HD93" s="50" t="str">
        <f t="shared" si="110"/>
        <v/>
      </c>
      <c r="HE93" s="50" t="str">
        <f t="shared" si="110"/>
        <v/>
      </c>
      <c r="HF93" s="50" t="str">
        <f t="shared" si="110"/>
        <v/>
      </c>
      <c r="HG93" s="50" t="str">
        <f t="shared" si="99"/>
        <v/>
      </c>
      <c r="HH93" s="50" t="str">
        <f t="shared" si="99"/>
        <v/>
      </c>
      <c r="HI93" s="50" t="str">
        <f t="shared" si="99"/>
        <v/>
      </c>
      <c r="HJ93" s="50" t="str">
        <f t="shared" si="99"/>
        <v/>
      </c>
      <c r="HK93" s="50" t="str">
        <f t="shared" si="99"/>
        <v/>
      </c>
      <c r="HL93" s="50" t="str">
        <f t="shared" si="99"/>
        <v/>
      </c>
      <c r="HM93" s="50" t="str">
        <f t="shared" si="99"/>
        <v/>
      </c>
      <c r="HN93" s="50" t="str">
        <f t="shared" si="99"/>
        <v/>
      </c>
      <c r="HO93" s="50" t="str">
        <f t="shared" si="99"/>
        <v/>
      </c>
      <c r="HP93" s="50" t="str">
        <f t="shared" si="99"/>
        <v/>
      </c>
      <c r="HQ93" s="50" t="str">
        <f t="shared" si="99"/>
        <v/>
      </c>
      <c r="HR93" s="116" t="str">
        <f t="shared" si="99"/>
        <v/>
      </c>
    </row>
    <row r="94" spans="1:226" ht="11.15" customHeight="1" x14ac:dyDescent="0.25">
      <c r="A94" s="26"/>
      <c r="B94" s="27"/>
      <c r="C94" s="28" t="str">
        <f>IF(A94=0,"",VLOOKUP(A94,[3]CO!$A$3:$F$5327,2,0))</f>
        <v/>
      </c>
      <c r="D94" s="29"/>
      <c r="E94" s="29"/>
      <c r="F94" s="29"/>
      <c r="G94" s="30" t="str">
        <f>IF(A94=0,"",VLOOKUP(A94,[3]CO!$A$3:$F$5327,3,0))</f>
        <v/>
      </c>
      <c r="H94" s="95"/>
      <c r="I94" s="31"/>
      <c r="J94" s="31"/>
      <c r="K94" s="31"/>
      <c r="L94" s="31"/>
      <c r="M94" s="32" t="str">
        <f t="shared" si="91"/>
        <v/>
      </c>
      <c r="N94" s="32" t="str">
        <f>IF(B94=0,"",IF(H94="M",HLOOKUP(B94,$Y$12:$DT$13,2),IF(A94=0,"",VLOOKUP(A94,[3]CO!$A$3:$F$5327,4,0))))</f>
        <v/>
      </c>
      <c r="O94" s="32" t="str">
        <f t="shared" si="11"/>
        <v/>
      </c>
      <c r="P94" s="33"/>
      <c r="Q94" s="34" t="str">
        <f t="shared" si="92"/>
        <v/>
      </c>
      <c r="R94" s="35" t="str">
        <f t="shared" si="100"/>
        <v/>
      </c>
      <c r="S94" s="98"/>
      <c r="T94" s="53" t="str">
        <f>IF(A94=0,"",VLOOKUP(A94,[3]CO!$A$3:$F$5318,5,0))</f>
        <v/>
      </c>
      <c r="U94" s="54">
        <f t="shared" si="93"/>
        <v>0</v>
      </c>
      <c r="V94" s="24"/>
      <c r="W94" s="25"/>
      <c r="X94" s="25"/>
      <c r="Y94" s="64" t="str">
        <f t="shared" si="94"/>
        <v/>
      </c>
      <c r="Z94" s="55" t="str">
        <f t="shared" si="94"/>
        <v/>
      </c>
      <c r="AA94" s="55" t="str">
        <f t="shared" si="94"/>
        <v/>
      </c>
      <c r="AB94" s="55" t="str">
        <f t="shared" si="94"/>
        <v/>
      </c>
      <c r="AC94" s="55" t="str">
        <f t="shared" si="94"/>
        <v/>
      </c>
      <c r="AD94" s="55" t="str">
        <f t="shared" si="94"/>
        <v/>
      </c>
      <c r="AE94" s="55" t="str">
        <f t="shared" si="94"/>
        <v/>
      </c>
      <c r="AF94" s="55" t="str">
        <f t="shared" si="94"/>
        <v/>
      </c>
      <c r="AG94" s="55" t="str">
        <f t="shared" si="94"/>
        <v/>
      </c>
      <c r="AH94" s="55" t="str">
        <f t="shared" si="94"/>
        <v/>
      </c>
      <c r="AI94" s="55" t="str">
        <f t="shared" si="94"/>
        <v/>
      </c>
      <c r="AJ94" s="55" t="str">
        <f t="shared" si="94"/>
        <v/>
      </c>
      <c r="AK94" s="55" t="str">
        <f t="shared" si="94"/>
        <v/>
      </c>
      <c r="AL94" s="55" t="str">
        <f t="shared" si="94"/>
        <v/>
      </c>
      <c r="AM94" s="55" t="str">
        <f t="shared" si="94"/>
        <v/>
      </c>
      <c r="AN94" s="55" t="str">
        <f t="shared" si="94"/>
        <v/>
      </c>
      <c r="AO94" s="55" t="str">
        <f t="shared" si="103"/>
        <v/>
      </c>
      <c r="AP94" s="55" t="str">
        <f t="shared" si="103"/>
        <v/>
      </c>
      <c r="AQ94" s="55" t="str">
        <f t="shared" si="103"/>
        <v/>
      </c>
      <c r="AR94" s="55" t="str">
        <f t="shared" si="103"/>
        <v/>
      </c>
      <c r="AS94" s="55" t="str">
        <f t="shared" si="103"/>
        <v/>
      </c>
      <c r="AT94" s="55" t="str">
        <f t="shared" si="103"/>
        <v/>
      </c>
      <c r="AU94" s="55" t="str">
        <f t="shared" si="103"/>
        <v/>
      </c>
      <c r="AV94" s="55" t="str">
        <f t="shared" si="103"/>
        <v/>
      </c>
      <c r="AW94" s="55" t="str">
        <f t="shared" si="103"/>
        <v/>
      </c>
      <c r="AX94" s="55" t="str">
        <f t="shared" si="103"/>
        <v/>
      </c>
      <c r="AY94" s="55" t="str">
        <f t="shared" si="103"/>
        <v/>
      </c>
      <c r="AZ94" s="55" t="str">
        <f t="shared" si="103"/>
        <v/>
      </c>
      <c r="BA94" s="55" t="str">
        <f t="shared" si="103"/>
        <v/>
      </c>
      <c r="BB94" s="55" t="str">
        <f t="shared" si="103"/>
        <v/>
      </c>
      <c r="BC94" s="55" t="str">
        <f t="shared" si="103"/>
        <v/>
      </c>
      <c r="BD94" s="55" t="str">
        <f t="shared" si="103"/>
        <v/>
      </c>
      <c r="BE94" s="55" t="str">
        <f t="shared" si="104"/>
        <v/>
      </c>
      <c r="BF94" s="55" t="str">
        <f t="shared" si="104"/>
        <v/>
      </c>
      <c r="BG94" s="55" t="str">
        <f t="shared" si="104"/>
        <v/>
      </c>
      <c r="BH94" s="55" t="str">
        <f t="shared" si="104"/>
        <v/>
      </c>
      <c r="BI94" s="55" t="str">
        <f t="shared" si="104"/>
        <v/>
      </c>
      <c r="BJ94" s="55" t="str">
        <f t="shared" si="104"/>
        <v/>
      </c>
      <c r="BK94" s="55" t="str">
        <f t="shared" si="104"/>
        <v/>
      </c>
      <c r="BL94" s="55" t="str">
        <f t="shared" si="104"/>
        <v/>
      </c>
      <c r="BM94" s="55" t="str">
        <f t="shared" si="104"/>
        <v/>
      </c>
      <c r="BN94" s="55" t="str">
        <f t="shared" si="104"/>
        <v/>
      </c>
      <c r="BO94" s="55" t="str">
        <f t="shared" si="104"/>
        <v/>
      </c>
      <c r="BP94" s="55" t="str">
        <f t="shared" si="104"/>
        <v/>
      </c>
      <c r="BQ94" s="55" t="str">
        <f t="shared" si="104"/>
        <v/>
      </c>
      <c r="BR94" s="55" t="str">
        <f t="shared" si="104"/>
        <v/>
      </c>
      <c r="BS94" s="55" t="str">
        <f t="shared" si="104"/>
        <v/>
      </c>
      <c r="BT94" s="55" t="str">
        <f t="shared" si="104"/>
        <v/>
      </c>
      <c r="BU94" s="55" t="str">
        <f t="shared" si="104"/>
        <v/>
      </c>
      <c r="BV94" s="55" t="str">
        <f t="shared" si="104"/>
        <v/>
      </c>
      <c r="BW94" s="55" t="str">
        <f t="shared" si="104"/>
        <v/>
      </c>
      <c r="BX94" s="55" t="str">
        <f t="shared" si="104"/>
        <v/>
      </c>
      <c r="BY94" s="55" t="str">
        <f t="shared" si="105"/>
        <v/>
      </c>
      <c r="BZ94" s="55" t="str">
        <f t="shared" si="105"/>
        <v/>
      </c>
      <c r="CA94" s="55" t="str">
        <f t="shared" si="105"/>
        <v/>
      </c>
      <c r="CB94" s="55" t="str">
        <f t="shared" si="105"/>
        <v/>
      </c>
      <c r="CC94" s="55" t="str">
        <f t="shared" si="105"/>
        <v/>
      </c>
      <c r="CD94" s="55" t="str">
        <f t="shared" si="105"/>
        <v/>
      </c>
      <c r="CE94" s="55" t="str">
        <f t="shared" si="105"/>
        <v/>
      </c>
      <c r="CF94" s="55" t="str">
        <f t="shared" si="105"/>
        <v/>
      </c>
      <c r="CG94" s="55" t="str">
        <f t="shared" si="105"/>
        <v/>
      </c>
      <c r="CH94" s="55" t="str">
        <f t="shared" si="105"/>
        <v/>
      </c>
      <c r="CI94" s="55" t="str">
        <f t="shared" si="105"/>
        <v/>
      </c>
      <c r="CJ94" s="55" t="str">
        <f t="shared" si="105"/>
        <v/>
      </c>
      <c r="CK94" s="55" t="str">
        <f t="shared" si="105"/>
        <v/>
      </c>
      <c r="CL94" s="55" t="str">
        <f t="shared" si="105"/>
        <v/>
      </c>
      <c r="CM94" s="55" t="str">
        <f t="shared" si="105"/>
        <v/>
      </c>
      <c r="CN94" s="55" t="str">
        <f t="shared" si="105"/>
        <v/>
      </c>
      <c r="CO94" s="55" t="str">
        <f t="shared" si="106"/>
        <v/>
      </c>
      <c r="CP94" s="55" t="str">
        <f t="shared" si="106"/>
        <v/>
      </c>
      <c r="CQ94" s="55" t="str">
        <f t="shared" si="106"/>
        <v/>
      </c>
      <c r="CR94" s="55" t="str">
        <f t="shared" si="106"/>
        <v/>
      </c>
      <c r="CS94" s="55" t="str">
        <f t="shared" si="106"/>
        <v/>
      </c>
      <c r="CT94" s="55" t="str">
        <f t="shared" si="106"/>
        <v/>
      </c>
      <c r="CU94" s="55" t="str">
        <f t="shared" si="106"/>
        <v/>
      </c>
      <c r="CV94" s="55" t="str">
        <f t="shared" si="106"/>
        <v/>
      </c>
      <c r="CW94" s="55" t="str">
        <f t="shared" si="106"/>
        <v/>
      </c>
      <c r="CX94" s="55" t="str">
        <f t="shared" si="106"/>
        <v/>
      </c>
      <c r="CY94" s="55" t="str">
        <f t="shared" si="106"/>
        <v/>
      </c>
      <c r="CZ94" s="55" t="str">
        <f t="shared" si="101"/>
        <v/>
      </c>
      <c r="DA94" s="55" t="str">
        <f t="shared" si="101"/>
        <v/>
      </c>
      <c r="DB94" s="55" t="str">
        <f t="shared" si="101"/>
        <v/>
      </c>
      <c r="DC94" s="55" t="str">
        <f t="shared" si="101"/>
        <v/>
      </c>
      <c r="DD94" s="55" t="str">
        <f t="shared" si="101"/>
        <v/>
      </c>
      <c r="DE94" s="55" t="str">
        <f t="shared" si="101"/>
        <v/>
      </c>
      <c r="DF94" s="55" t="str">
        <f t="shared" si="101"/>
        <v/>
      </c>
      <c r="DG94" s="55" t="str">
        <f t="shared" si="101"/>
        <v/>
      </c>
      <c r="DH94" s="55" t="str">
        <f t="shared" si="101"/>
        <v/>
      </c>
      <c r="DI94" s="55" t="str">
        <f t="shared" si="101"/>
        <v/>
      </c>
      <c r="DJ94" s="55" t="str">
        <f t="shared" si="101"/>
        <v/>
      </c>
      <c r="DK94" s="55" t="str">
        <f t="shared" si="101"/>
        <v/>
      </c>
      <c r="DL94" s="55" t="str">
        <f t="shared" si="101"/>
        <v/>
      </c>
      <c r="DM94" s="55" t="str">
        <f t="shared" si="101"/>
        <v/>
      </c>
      <c r="DN94" s="55" t="str">
        <f t="shared" si="101"/>
        <v/>
      </c>
      <c r="DO94" s="55" t="str">
        <f t="shared" si="101"/>
        <v/>
      </c>
      <c r="DP94" s="55" t="str">
        <f t="shared" si="96"/>
        <v/>
      </c>
      <c r="DQ94" s="55" t="str">
        <f t="shared" si="96"/>
        <v/>
      </c>
      <c r="DR94" s="55" t="str">
        <f t="shared" si="96"/>
        <v/>
      </c>
      <c r="DS94" s="55" t="str">
        <f t="shared" si="96"/>
        <v/>
      </c>
      <c r="DT94" s="110" t="str">
        <f t="shared" si="96"/>
        <v/>
      </c>
      <c r="DU94" s="54"/>
      <c r="DV94" s="25"/>
      <c r="DW94" s="61" t="str">
        <f t="shared" si="97"/>
        <v/>
      </c>
      <c r="DX94" s="50" t="str">
        <f t="shared" si="97"/>
        <v/>
      </c>
      <c r="DY94" s="50" t="str">
        <f t="shared" si="97"/>
        <v/>
      </c>
      <c r="DZ94" s="50" t="str">
        <f t="shared" si="97"/>
        <v/>
      </c>
      <c r="EA94" s="50" t="str">
        <f t="shared" si="97"/>
        <v/>
      </c>
      <c r="EB94" s="50" t="str">
        <f t="shared" si="97"/>
        <v/>
      </c>
      <c r="EC94" s="50" t="str">
        <f t="shared" si="97"/>
        <v/>
      </c>
      <c r="ED94" s="50" t="str">
        <f t="shared" si="97"/>
        <v/>
      </c>
      <c r="EE94" s="50" t="str">
        <f t="shared" si="97"/>
        <v/>
      </c>
      <c r="EF94" s="50" t="str">
        <f t="shared" si="97"/>
        <v/>
      </c>
      <c r="EG94" s="50" t="str">
        <f t="shared" si="97"/>
        <v/>
      </c>
      <c r="EH94" s="50" t="str">
        <f t="shared" si="97"/>
        <v/>
      </c>
      <c r="EI94" s="50" t="str">
        <f t="shared" si="97"/>
        <v/>
      </c>
      <c r="EJ94" s="50" t="str">
        <f t="shared" si="97"/>
        <v/>
      </c>
      <c r="EK94" s="50" t="str">
        <f t="shared" si="97"/>
        <v/>
      </c>
      <c r="EL94" s="50" t="str">
        <f t="shared" si="97"/>
        <v/>
      </c>
      <c r="EM94" s="50" t="str">
        <f t="shared" si="107"/>
        <v/>
      </c>
      <c r="EN94" s="50" t="str">
        <f t="shared" si="107"/>
        <v/>
      </c>
      <c r="EO94" s="50" t="str">
        <f t="shared" si="107"/>
        <v/>
      </c>
      <c r="EP94" s="50" t="str">
        <f t="shared" si="107"/>
        <v/>
      </c>
      <c r="EQ94" s="50" t="str">
        <f t="shared" si="107"/>
        <v/>
      </c>
      <c r="ER94" s="50" t="str">
        <f t="shared" si="107"/>
        <v/>
      </c>
      <c r="ES94" s="50" t="str">
        <f t="shared" si="107"/>
        <v/>
      </c>
      <c r="ET94" s="50" t="str">
        <f t="shared" si="107"/>
        <v/>
      </c>
      <c r="EU94" s="50" t="str">
        <f t="shared" si="107"/>
        <v/>
      </c>
      <c r="EV94" s="50" t="str">
        <f t="shared" si="107"/>
        <v/>
      </c>
      <c r="EW94" s="50" t="str">
        <f t="shared" si="107"/>
        <v/>
      </c>
      <c r="EX94" s="50" t="str">
        <f t="shared" si="107"/>
        <v/>
      </c>
      <c r="EY94" s="50" t="str">
        <f t="shared" si="107"/>
        <v/>
      </c>
      <c r="EZ94" s="50" t="str">
        <f t="shared" si="107"/>
        <v/>
      </c>
      <c r="FA94" s="50" t="str">
        <f t="shared" si="107"/>
        <v/>
      </c>
      <c r="FB94" s="50" t="str">
        <f t="shared" si="107"/>
        <v/>
      </c>
      <c r="FC94" s="50" t="str">
        <f t="shared" si="108"/>
        <v/>
      </c>
      <c r="FD94" s="50" t="str">
        <f t="shared" si="108"/>
        <v/>
      </c>
      <c r="FE94" s="50" t="str">
        <f t="shared" si="108"/>
        <v/>
      </c>
      <c r="FF94" s="50" t="str">
        <f t="shared" si="108"/>
        <v/>
      </c>
      <c r="FG94" s="50" t="str">
        <f t="shared" si="108"/>
        <v/>
      </c>
      <c r="FH94" s="50" t="str">
        <f t="shared" si="108"/>
        <v/>
      </c>
      <c r="FI94" s="50" t="str">
        <f t="shared" si="108"/>
        <v/>
      </c>
      <c r="FJ94" s="50" t="str">
        <f t="shared" si="108"/>
        <v/>
      </c>
      <c r="FK94" s="50" t="str">
        <f t="shared" si="108"/>
        <v/>
      </c>
      <c r="FL94" s="50" t="str">
        <f t="shared" si="108"/>
        <v/>
      </c>
      <c r="FM94" s="50" t="str">
        <f t="shared" si="108"/>
        <v/>
      </c>
      <c r="FN94" s="50" t="str">
        <f t="shared" si="108"/>
        <v/>
      </c>
      <c r="FO94" s="50" t="str">
        <f t="shared" si="108"/>
        <v/>
      </c>
      <c r="FP94" s="50" t="str">
        <f t="shared" si="108"/>
        <v/>
      </c>
      <c r="FQ94" s="50" t="str">
        <f t="shared" si="108"/>
        <v/>
      </c>
      <c r="FR94" s="50" t="str">
        <f t="shared" si="108"/>
        <v/>
      </c>
      <c r="FS94" s="50" t="str">
        <f t="shared" si="109"/>
        <v/>
      </c>
      <c r="FT94" s="50" t="str">
        <f t="shared" si="109"/>
        <v/>
      </c>
      <c r="FU94" s="50" t="str">
        <f t="shared" si="109"/>
        <v/>
      </c>
      <c r="FV94" s="50" t="str">
        <f t="shared" si="109"/>
        <v/>
      </c>
      <c r="FW94" s="50" t="str">
        <f t="shared" si="109"/>
        <v/>
      </c>
      <c r="FX94" s="50" t="str">
        <f t="shared" si="109"/>
        <v/>
      </c>
      <c r="FY94" s="50" t="str">
        <f t="shared" si="109"/>
        <v/>
      </c>
      <c r="FZ94" s="50" t="str">
        <f t="shared" si="109"/>
        <v/>
      </c>
      <c r="GA94" s="50" t="str">
        <f t="shared" si="109"/>
        <v/>
      </c>
      <c r="GB94" s="50" t="str">
        <f t="shared" si="109"/>
        <v/>
      </c>
      <c r="GC94" s="50" t="str">
        <f t="shared" si="109"/>
        <v/>
      </c>
      <c r="GD94" s="50" t="str">
        <f t="shared" si="109"/>
        <v/>
      </c>
      <c r="GE94" s="50" t="str">
        <f t="shared" si="109"/>
        <v/>
      </c>
      <c r="GF94" s="50" t="str">
        <f t="shared" si="109"/>
        <v/>
      </c>
      <c r="GG94" s="50" t="str">
        <f t="shared" si="109"/>
        <v/>
      </c>
      <c r="GH94" s="50" t="str">
        <f t="shared" si="109"/>
        <v/>
      </c>
      <c r="GI94" s="50" t="str">
        <f t="shared" si="110"/>
        <v/>
      </c>
      <c r="GJ94" s="50" t="str">
        <f t="shared" si="110"/>
        <v/>
      </c>
      <c r="GK94" s="50" t="str">
        <f t="shared" si="110"/>
        <v/>
      </c>
      <c r="GL94" s="50" t="str">
        <f t="shared" si="110"/>
        <v/>
      </c>
      <c r="GM94" s="50" t="str">
        <f t="shared" si="110"/>
        <v/>
      </c>
      <c r="GN94" s="50" t="str">
        <f t="shared" si="110"/>
        <v/>
      </c>
      <c r="GO94" s="50" t="str">
        <f t="shared" si="110"/>
        <v/>
      </c>
      <c r="GP94" s="50" t="str">
        <f t="shared" si="110"/>
        <v/>
      </c>
      <c r="GQ94" s="50" t="str">
        <f t="shared" si="110"/>
        <v/>
      </c>
      <c r="GR94" s="50" t="str">
        <f t="shared" si="110"/>
        <v/>
      </c>
      <c r="GS94" s="50" t="str">
        <f t="shared" si="110"/>
        <v/>
      </c>
      <c r="GT94" s="50" t="str">
        <f t="shared" si="110"/>
        <v/>
      </c>
      <c r="GU94" s="50" t="str">
        <f t="shared" si="110"/>
        <v/>
      </c>
      <c r="GV94" s="50" t="str">
        <f t="shared" si="110"/>
        <v/>
      </c>
      <c r="GW94" s="50" t="str">
        <f t="shared" si="110"/>
        <v/>
      </c>
      <c r="GX94" s="50" t="str">
        <f t="shared" si="110"/>
        <v/>
      </c>
      <c r="GY94" s="50" t="str">
        <f t="shared" si="110"/>
        <v/>
      </c>
      <c r="GZ94" s="50" t="str">
        <f t="shared" si="110"/>
        <v/>
      </c>
      <c r="HA94" s="50" t="str">
        <f t="shared" si="110"/>
        <v/>
      </c>
      <c r="HB94" s="50" t="str">
        <f t="shared" si="110"/>
        <v/>
      </c>
      <c r="HC94" s="50" t="str">
        <f t="shared" si="110"/>
        <v/>
      </c>
      <c r="HD94" s="50" t="str">
        <f t="shared" si="110"/>
        <v/>
      </c>
      <c r="HE94" s="50" t="str">
        <f t="shared" si="110"/>
        <v/>
      </c>
      <c r="HF94" s="50" t="str">
        <f t="shared" si="110"/>
        <v/>
      </c>
      <c r="HG94" s="50" t="str">
        <f t="shared" si="99"/>
        <v/>
      </c>
      <c r="HH94" s="50" t="str">
        <f t="shared" si="99"/>
        <v/>
      </c>
      <c r="HI94" s="50" t="str">
        <f t="shared" si="99"/>
        <v/>
      </c>
      <c r="HJ94" s="50" t="str">
        <f t="shared" si="99"/>
        <v/>
      </c>
      <c r="HK94" s="50" t="str">
        <f t="shared" si="99"/>
        <v/>
      </c>
      <c r="HL94" s="50" t="str">
        <f t="shared" si="99"/>
        <v/>
      </c>
      <c r="HM94" s="50" t="str">
        <f t="shared" si="99"/>
        <v/>
      </c>
      <c r="HN94" s="50" t="str">
        <f t="shared" si="99"/>
        <v/>
      </c>
      <c r="HO94" s="50" t="str">
        <f t="shared" si="99"/>
        <v/>
      </c>
      <c r="HP94" s="50" t="str">
        <f t="shared" si="99"/>
        <v/>
      </c>
      <c r="HQ94" s="50" t="str">
        <f t="shared" si="99"/>
        <v/>
      </c>
      <c r="HR94" s="116" t="str">
        <f t="shared" si="99"/>
        <v/>
      </c>
    </row>
    <row r="95" spans="1:226" ht="11.15" customHeight="1" x14ac:dyDescent="0.25">
      <c r="A95" s="26"/>
      <c r="B95" s="27"/>
      <c r="C95" s="28" t="str">
        <f>IF(A95=0,"",VLOOKUP(A95,[3]CO!$A$3:$F$5327,2,0))</f>
        <v/>
      </c>
      <c r="D95" s="29"/>
      <c r="E95" s="29"/>
      <c r="F95" s="29"/>
      <c r="G95" s="30" t="str">
        <f>IF(A95=0,"",VLOOKUP(A95,[3]CO!$A$3:$F$5327,3,0))</f>
        <v/>
      </c>
      <c r="H95" s="95"/>
      <c r="I95" s="31"/>
      <c r="J95" s="31"/>
      <c r="K95" s="31"/>
      <c r="L95" s="31"/>
      <c r="M95" s="32" t="str">
        <f t="shared" si="91"/>
        <v/>
      </c>
      <c r="N95" s="32" t="str">
        <f>IF(B95=0,"",IF(H95="M",HLOOKUP(B95,$Y$12:$DT$13,2),IF(A95=0,"",VLOOKUP(A95,[3]CO!$A$3:$F$5327,4,0))))</f>
        <v/>
      </c>
      <c r="O95" s="32" t="str">
        <f t="shared" si="11"/>
        <v/>
      </c>
      <c r="P95" s="33"/>
      <c r="Q95" s="34" t="str">
        <f t="shared" si="92"/>
        <v/>
      </c>
      <c r="R95" s="35" t="str">
        <f t="shared" si="100"/>
        <v/>
      </c>
      <c r="S95" s="98"/>
      <c r="T95" s="53" t="str">
        <f>IF(A95=0,"",VLOOKUP(A95,[3]CO!$A$3:$F$5318,5,0))</f>
        <v/>
      </c>
      <c r="U95" s="54">
        <f t="shared" si="93"/>
        <v>0</v>
      </c>
      <c r="V95" s="24"/>
      <c r="W95" s="25"/>
      <c r="X95" s="25"/>
      <c r="Y95" s="64" t="str">
        <f t="shared" si="94"/>
        <v/>
      </c>
      <c r="Z95" s="55" t="str">
        <f t="shared" si="94"/>
        <v/>
      </c>
      <c r="AA95" s="55" t="str">
        <f t="shared" si="94"/>
        <v/>
      </c>
      <c r="AB95" s="55" t="str">
        <f t="shared" si="94"/>
        <v/>
      </c>
      <c r="AC95" s="55" t="str">
        <f t="shared" si="94"/>
        <v/>
      </c>
      <c r="AD95" s="55" t="str">
        <f t="shared" si="94"/>
        <v/>
      </c>
      <c r="AE95" s="55" t="str">
        <f t="shared" si="94"/>
        <v/>
      </c>
      <c r="AF95" s="55" t="str">
        <f t="shared" si="94"/>
        <v/>
      </c>
      <c r="AG95" s="55" t="str">
        <f t="shared" si="94"/>
        <v/>
      </c>
      <c r="AH95" s="55" t="str">
        <f t="shared" si="94"/>
        <v/>
      </c>
      <c r="AI95" s="55" t="str">
        <f t="shared" si="94"/>
        <v/>
      </c>
      <c r="AJ95" s="55" t="str">
        <f t="shared" si="94"/>
        <v/>
      </c>
      <c r="AK95" s="55" t="str">
        <f t="shared" si="94"/>
        <v/>
      </c>
      <c r="AL95" s="55" t="str">
        <f t="shared" si="94"/>
        <v/>
      </c>
      <c r="AM95" s="55" t="str">
        <f t="shared" si="94"/>
        <v/>
      </c>
      <c r="AN95" s="55" t="str">
        <f t="shared" ref="AN95" si="111">IF($B95=AN$12,$U95,"")</f>
        <v/>
      </c>
      <c r="AO95" s="55" t="str">
        <f t="shared" si="103"/>
        <v/>
      </c>
      <c r="AP95" s="55" t="str">
        <f t="shared" si="103"/>
        <v/>
      </c>
      <c r="AQ95" s="55" t="str">
        <f t="shared" si="103"/>
        <v/>
      </c>
      <c r="AR95" s="55" t="str">
        <f t="shared" si="103"/>
        <v/>
      </c>
      <c r="AS95" s="55" t="str">
        <f t="shared" si="103"/>
        <v/>
      </c>
      <c r="AT95" s="55" t="str">
        <f t="shared" si="103"/>
        <v/>
      </c>
      <c r="AU95" s="55" t="str">
        <f t="shared" si="103"/>
        <v/>
      </c>
      <c r="AV95" s="55" t="str">
        <f t="shared" si="103"/>
        <v/>
      </c>
      <c r="AW95" s="55" t="str">
        <f t="shared" si="103"/>
        <v/>
      </c>
      <c r="AX95" s="55" t="str">
        <f t="shared" si="103"/>
        <v/>
      </c>
      <c r="AY95" s="55" t="str">
        <f t="shared" si="103"/>
        <v/>
      </c>
      <c r="AZ95" s="55" t="str">
        <f t="shared" si="103"/>
        <v/>
      </c>
      <c r="BA95" s="55" t="str">
        <f t="shared" si="103"/>
        <v/>
      </c>
      <c r="BB95" s="55" t="str">
        <f t="shared" si="103"/>
        <v/>
      </c>
      <c r="BC95" s="55" t="str">
        <f t="shared" si="103"/>
        <v/>
      </c>
      <c r="BD95" s="55" t="str">
        <f t="shared" si="103"/>
        <v/>
      </c>
      <c r="BE95" s="55" t="str">
        <f t="shared" si="104"/>
        <v/>
      </c>
      <c r="BF95" s="55" t="str">
        <f t="shared" si="104"/>
        <v/>
      </c>
      <c r="BG95" s="55" t="str">
        <f t="shared" si="104"/>
        <v/>
      </c>
      <c r="BH95" s="55" t="str">
        <f t="shared" si="104"/>
        <v/>
      </c>
      <c r="BI95" s="55" t="str">
        <f t="shared" si="104"/>
        <v/>
      </c>
      <c r="BJ95" s="55" t="str">
        <f t="shared" si="104"/>
        <v/>
      </c>
      <c r="BK95" s="55" t="str">
        <f t="shared" si="104"/>
        <v/>
      </c>
      <c r="BL95" s="55" t="str">
        <f t="shared" si="104"/>
        <v/>
      </c>
      <c r="BM95" s="55" t="str">
        <f t="shared" si="104"/>
        <v/>
      </c>
      <c r="BN95" s="55" t="str">
        <f t="shared" si="104"/>
        <v/>
      </c>
      <c r="BO95" s="55" t="str">
        <f t="shared" si="104"/>
        <v/>
      </c>
      <c r="BP95" s="55" t="str">
        <f t="shared" si="104"/>
        <v/>
      </c>
      <c r="BQ95" s="55" t="str">
        <f t="shared" si="104"/>
        <v/>
      </c>
      <c r="BR95" s="55" t="str">
        <f t="shared" si="104"/>
        <v/>
      </c>
      <c r="BS95" s="55" t="str">
        <f t="shared" si="104"/>
        <v/>
      </c>
      <c r="BT95" s="55" t="str">
        <f t="shared" si="104"/>
        <v/>
      </c>
      <c r="BU95" s="55" t="str">
        <f t="shared" si="104"/>
        <v/>
      </c>
      <c r="BV95" s="55" t="str">
        <f t="shared" si="104"/>
        <v/>
      </c>
      <c r="BW95" s="55" t="str">
        <f t="shared" si="104"/>
        <v/>
      </c>
      <c r="BX95" s="55" t="str">
        <f t="shared" si="104"/>
        <v/>
      </c>
      <c r="BY95" s="55" t="str">
        <f t="shared" si="105"/>
        <v/>
      </c>
      <c r="BZ95" s="55" t="str">
        <f t="shared" si="105"/>
        <v/>
      </c>
      <c r="CA95" s="55" t="str">
        <f t="shared" si="105"/>
        <v/>
      </c>
      <c r="CB95" s="55" t="str">
        <f t="shared" si="105"/>
        <v/>
      </c>
      <c r="CC95" s="55" t="str">
        <f t="shared" si="105"/>
        <v/>
      </c>
      <c r="CD95" s="55" t="str">
        <f t="shared" si="105"/>
        <v/>
      </c>
      <c r="CE95" s="55" t="str">
        <f t="shared" si="105"/>
        <v/>
      </c>
      <c r="CF95" s="55" t="str">
        <f t="shared" si="105"/>
        <v/>
      </c>
      <c r="CG95" s="55" t="str">
        <f t="shared" si="105"/>
        <v/>
      </c>
      <c r="CH95" s="55" t="str">
        <f t="shared" si="105"/>
        <v/>
      </c>
      <c r="CI95" s="55" t="str">
        <f t="shared" si="105"/>
        <v/>
      </c>
      <c r="CJ95" s="55" t="str">
        <f t="shared" si="105"/>
        <v/>
      </c>
      <c r="CK95" s="55" t="str">
        <f t="shared" si="105"/>
        <v/>
      </c>
      <c r="CL95" s="55" t="str">
        <f t="shared" si="105"/>
        <v/>
      </c>
      <c r="CM95" s="55" t="str">
        <f t="shared" si="105"/>
        <v/>
      </c>
      <c r="CN95" s="55" t="str">
        <f t="shared" si="105"/>
        <v/>
      </c>
      <c r="CO95" s="55" t="str">
        <f t="shared" si="106"/>
        <v/>
      </c>
      <c r="CP95" s="55" t="str">
        <f t="shared" si="106"/>
        <v/>
      </c>
      <c r="CQ95" s="55" t="str">
        <f t="shared" si="106"/>
        <v/>
      </c>
      <c r="CR95" s="55" t="str">
        <f t="shared" si="106"/>
        <v/>
      </c>
      <c r="CS95" s="55" t="str">
        <f t="shared" si="106"/>
        <v/>
      </c>
      <c r="CT95" s="55" t="str">
        <f t="shared" si="106"/>
        <v/>
      </c>
      <c r="CU95" s="55" t="str">
        <f t="shared" si="106"/>
        <v/>
      </c>
      <c r="CV95" s="55" t="str">
        <f t="shared" si="106"/>
        <v/>
      </c>
      <c r="CW95" s="55" t="str">
        <f t="shared" si="106"/>
        <v/>
      </c>
      <c r="CX95" s="55" t="str">
        <f t="shared" si="106"/>
        <v/>
      </c>
      <c r="CY95" s="55" t="str">
        <f t="shared" si="106"/>
        <v/>
      </c>
      <c r="CZ95" s="55" t="str">
        <f t="shared" si="106"/>
        <v/>
      </c>
      <c r="DA95" s="55" t="str">
        <f t="shared" si="106"/>
        <v/>
      </c>
      <c r="DB95" s="55" t="str">
        <f t="shared" si="106"/>
        <v/>
      </c>
      <c r="DC95" s="55" t="str">
        <f t="shared" si="106"/>
        <v/>
      </c>
      <c r="DD95" s="55" t="str">
        <f t="shared" si="106"/>
        <v/>
      </c>
      <c r="DE95" s="55" t="str">
        <f t="shared" si="101"/>
        <v/>
      </c>
      <c r="DF95" s="55" t="str">
        <f t="shared" si="101"/>
        <v/>
      </c>
      <c r="DG95" s="55" t="str">
        <f t="shared" si="101"/>
        <v/>
      </c>
      <c r="DH95" s="55" t="str">
        <f t="shared" si="101"/>
        <v/>
      </c>
      <c r="DI95" s="55" t="str">
        <f t="shared" si="101"/>
        <v/>
      </c>
      <c r="DJ95" s="55" t="str">
        <f t="shared" si="101"/>
        <v/>
      </c>
      <c r="DK95" s="55" t="str">
        <f t="shared" si="101"/>
        <v/>
      </c>
      <c r="DL95" s="55" t="str">
        <f t="shared" si="101"/>
        <v/>
      </c>
      <c r="DM95" s="55" t="str">
        <f t="shared" si="101"/>
        <v/>
      </c>
      <c r="DN95" s="55" t="str">
        <f t="shared" si="101"/>
        <v/>
      </c>
      <c r="DO95" s="55" t="str">
        <f t="shared" si="101"/>
        <v/>
      </c>
      <c r="DP95" s="55" t="str">
        <f t="shared" si="96"/>
        <v/>
      </c>
      <c r="DQ95" s="55" t="str">
        <f t="shared" si="96"/>
        <v/>
      </c>
      <c r="DR95" s="55" t="str">
        <f t="shared" si="96"/>
        <v/>
      </c>
      <c r="DS95" s="55" t="str">
        <f t="shared" si="96"/>
        <v/>
      </c>
      <c r="DT95" s="110" t="str">
        <f t="shared" si="96"/>
        <v/>
      </c>
      <c r="DU95" s="54"/>
      <c r="DV95" s="25"/>
      <c r="DW95" s="61" t="str">
        <f t="shared" si="97"/>
        <v/>
      </c>
      <c r="DX95" s="50" t="str">
        <f t="shared" si="97"/>
        <v/>
      </c>
      <c r="DY95" s="50" t="str">
        <f t="shared" si="97"/>
        <v/>
      </c>
      <c r="DZ95" s="50" t="str">
        <f t="shared" si="97"/>
        <v/>
      </c>
      <c r="EA95" s="50" t="str">
        <f t="shared" si="97"/>
        <v/>
      </c>
      <c r="EB95" s="50" t="str">
        <f t="shared" si="97"/>
        <v/>
      </c>
      <c r="EC95" s="50" t="str">
        <f t="shared" si="97"/>
        <v/>
      </c>
      <c r="ED95" s="50" t="str">
        <f t="shared" si="97"/>
        <v/>
      </c>
      <c r="EE95" s="50" t="str">
        <f t="shared" si="97"/>
        <v/>
      </c>
      <c r="EF95" s="50" t="str">
        <f t="shared" si="97"/>
        <v/>
      </c>
      <c r="EG95" s="50" t="str">
        <f t="shared" si="97"/>
        <v/>
      </c>
      <c r="EH95" s="50" t="str">
        <f t="shared" si="97"/>
        <v/>
      </c>
      <c r="EI95" s="50" t="str">
        <f t="shared" si="97"/>
        <v/>
      </c>
      <c r="EJ95" s="50" t="str">
        <f t="shared" si="97"/>
        <v/>
      </c>
      <c r="EK95" s="50" t="str">
        <f t="shared" si="97"/>
        <v/>
      </c>
      <c r="EL95" s="50" t="str">
        <f t="shared" ref="EL95" si="112">IF($B95=EL$12,$O95,"")</f>
        <v/>
      </c>
      <c r="EM95" s="50" t="str">
        <f t="shared" si="107"/>
        <v/>
      </c>
      <c r="EN95" s="50" t="str">
        <f t="shared" si="107"/>
        <v/>
      </c>
      <c r="EO95" s="50" t="str">
        <f t="shared" si="107"/>
        <v/>
      </c>
      <c r="EP95" s="50" t="str">
        <f t="shared" si="107"/>
        <v/>
      </c>
      <c r="EQ95" s="50" t="str">
        <f t="shared" si="107"/>
        <v/>
      </c>
      <c r="ER95" s="50" t="str">
        <f t="shared" si="107"/>
        <v/>
      </c>
      <c r="ES95" s="50" t="str">
        <f t="shared" si="107"/>
        <v/>
      </c>
      <c r="ET95" s="50" t="str">
        <f t="shared" si="107"/>
        <v/>
      </c>
      <c r="EU95" s="50" t="str">
        <f t="shared" si="107"/>
        <v/>
      </c>
      <c r="EV95" s="50" t="str">
        <f t="shared" si="107"/>
        <v/>
      </c>
      <c r="EW95" s="50" t="str">
        <f t="shared" si="107"/>
        <v/>
      </c>
      <c r="EX95" s="50" t="str">
        <f t="shared" si="107"/>
        <v/>
      </c>
      <c r="EY95" s="50" t="str">
        <f t="shared" si="107"/>
        <v/>
      </c>
      <c r="EZ95" s="50" t="str">
        <f t="shared" si="107"/>
        <v/>
      </c>
      <c r="FA95" s="50" t="str">
        <f t="shared" si="107"/>
        <v/>
      </c>
      <c r="FB95" s="50" t="str">
        <f t="shared" si="107"/>
        <v/>
      </c>
      <c r="FC95" s="50" t="str">
        <f t="shared" si="108"/>
        <v/>
      </c>
      <c r="FD95" s="50" t="str">
        <f t="shared" si="108"/>
        <v/>
      </c>
      <c r="FE95" s="50" t="str">
        <f t="shared" si="108"/>
        <v/>
      </c>
      <c r="FF95" s="50" t="str">
        <f t="shared" si="108"/>
        <v/>
      </c>
      <c r="FG95" s="50" t="str">
        <f t="shared" si="108"/>
        <v/>
      </c>
      <c r="FH95" s="50" t="str">
        <f t="shared" si="108"/>
        <v/>
      </c>
      <c r="FI95" s="50" t="str">
        <f t="shared" si="108"/>
        <v/>
      </c>
      <c r="FJ95" s="50" t="str">
        <f t="shared" si="108"/>
        <v/>
      </c>
      <c r="FK95" s="50" t="str">
        <f t="shared" si="108"/>
        <v/>
      </c>
      <c r="FL95" s="50" t="str">
        <f t="shared" si="108"/>
        <v/>
      </c>
      <c r="FM95" s="50" t="str">
        <f t="shared" si="108"/>
        <v/>
      </c>
      <c r="FN95" s="50" t="str">
        <f t="shared" si="108"/>
        <v/>
      </c>
      <c r="FO95" s="50" t="str">
        <f t="shared" si="108"/>
        <v/>
      </c>
      <c r="FP95" s="50" t="str">
        <f t="shared" si="108"/>
        <v/>
      </c>
      <c r="FQ95" s="50" t="str">
        <f t="shared" si="108"/>
        <v/>
      </c>
      <c r="FR95" s="50" t="str">
        <f t="shared" si="108"/>
        <v/>
      </c>
      <c r="FS95" s="50" t="str">
        <f t="shared" si="109"/>
        <v/>
      </c>
      <c r="FT95" s="50" t="str">
        <f t="shared" si="109"/>
        <v/>
      </c>
      <c r="FU95" s="50" t="str">
        <f t="shared" si="109"/>
        <v/>
      </c>
      <c r="FV95" s="50" t="str">
        <f t="shared" si="109"/>
        <v/>
      </c>
      <c r="FW95" s="50" t="str">
        <f t="shared" si="109"/>
        <v/>
      </c>
      <c r="FX95" s="50" t="str">
        <f t="shared" si="109"/>
        <v/>
      </c>
      <c r="FY95" s="50" t="str">
        <f t="shared" si="109"/>
        <v/>
      </c>
      <c r="FZ95" s="50" t="str">
        <f t="shared" si="109"/>
        <v/>
      </c>
      <c r="GA95" s="50" t="str">
        <f t="shared" si="109"/>
        <v/>
      </c>
      <c r="GB95" s="50" t="str">
        <f t="shared" si="109"/>
        <v/>
      </c>
      <c r="GC95" s="50" t="str">
        <f t="shared" si="109"/>
        <v/>
      </c>
      <c r="GD95" s="50" t="str">
        <f t="shared" si="109"/>
        <v/>
      </c>
      <c r="GE95" s="50" t="str">
        <f t="shared" si="109"/>
        <v/>
      </c>
      <c r="GF95" s="50" t="str">
        <f t="shared" si="109"/>
        <v/>
      </c>
      <c r="GG95" s="50" t="str">
        <f t="shared" si="109"/>
        <v/>
      </c>
      <c r="GH95" s="50" t="str">
        <f t="shared" si="109"/>
        <v/>
      </c>
      <c r="GI95" s="50" t="str">
        <f t="shared" ref="GI95:HF103" si="113">IF($B95=GI$12,$O95,"")</f>
        <v/>
      </c>
      <c r="GJ95" s="50" t="str">
        <f t="shared" si="113"/>
        <v/>
      </c>
      <c r="GK95" s="50" t="str">
        <f t="shared" si="113"/>
        <v/>
      </c>
      <c r="GL95" s="50" t="str">
        <f t="shared" si="113"/>
        <v/>
      </c>
      <c r="GM95" s="50" t="str">
        <f t="shared" si="113"/>
        <v/>
      </c>
      <c r="GN95" s="50" t="str">
        <f t="shared" si="113"/>
        <v/>
      </c>
      <c r="GO95" s="50" t="str">
        <f t="shared" si="113"/>
        <v/>
      </c>
      <c r="GP95" s="50" t="str">
        <f t="shared" si="113"/>
        <v/>
      </c>
      <c r="GQ95" s="50" t="str">
        <f t="shared" si="113"/>
        <v/>
      </c>
      <c r="GR95" s="50" t="str">
        <f t="shared" si="113"/>
        <v/>
      </c>
      <c r="GS95" s="50" t="str">
        <f t="shared" si="113"/>
        <v/>
      </c>
      <c r="GT95" s="50" t="str">
        <f t="shared" si="113"/>
        <v/>
      </c>
      <c r="GU95" s="50" t="str">
        <f t="shared" si="113"/>
        <v/>
      </c>
      <c r="GV95" s="50" t="str">
        <f t="shared" si="113"/>
        <v/>
      </c>
      <c r="GW95" s="50" t="str">
        <f t="shared" si="113"/>
        <v/>
      </c>
      <c r="GX95" s="50" t="str">
        <f t="shared" si="113"/>
        <v/>
      </c>
      <c r="GY95" s="50" t="str">
        <f t="shared" si="113"/>
        <v/>
      </c>
      <c r="GZ95" s="50" t="str">
        <f t="shared" si="113"/>
        <v/>
      </c>
      <c r="HA95" s="50" t="str">
        <f t="shared" si="113"/>
        <v/>
      </c>
      <c r="HB95" s="50" t="str">
        <f t="shared" si="113"/>
        <v/>
      </c>
      <c r="HC95" s="50" t="str">
        <f t="shared" si="113"/>
        <v/>
      </c>
      <c r="HD95" s="50" t="str">
        <f t="shared" si="113"/>
        <v/>
      </c>
      <c r="HE95" s="50" t="str">
        <f t="shared" si="113"/>
        <v/>
      </c>
      <c r="HF95" s="50" t="str">
        <f t="shared" si="113"/>
        <v/>
      </c>
      <c r="HG95" s="50" t="str">
        <f t="shared" si="99"/>
        <v/>
      </c>
      <c r="HH95" s="50" t="str">
        <f t="shared" si="99"/>
        <v/>
      </c>
      <c r="HI95" s="50" t="str">
        <f t="shared" si="99"/>
        <v/>
      </c>
      <c r="HJ95" s="50" t="str">
        <f t="shared" si="99"/>
        <v/>
      </c>
      <c r="HK95" s="50" t="str">
        <f t="shared" si="99"/>
        <v/>
      </c>
      <c r="HL95" s="50" t="str">
        <f t="shared" si="99"/>
        <v/>
      </c>
      <c r="HM95" s="50" t="str">
        <f t="shared" si="99"/>
        <v/>
      </c>
      <c r="HN95" s="50" t="str">
        <f t="shared" si="99"/>
        <v/>
      </c>
      <c r="HO95" s="50" t="str">
        <f t="shared" si="99"/>
        <v/>
      </c>
      <c r="HP95" s="50" t="str">
        <f t="shared" si="99"/>
        <v/>
      </c>
      <c r="HQ95" s="50" t="str">
        <f t="shared" si="99"/>
        <v/>
      </c>
      <c r="HR95" s="116" t="str">
        <f t="shared" si="99"/>
        <v/>
      </c>
    </row>
    <row r="96" spans="1:226" ht="11.15" customHeight="1" x14ac:dyDescent="0.25">
      <c r="A96" s="26"/>
      <c r="B96" s="27"/>
      <c r="C96" s="28" t="str">
        <f>IF(A96=0,"",VLOOKUP(A96,[3]CO!$A$3:$F$5327,2,0))</f>
        <v/>
      </c>
      <c r="D96" s="29"/>
      <c r="E96" s="29"/>
      <c r="F96" s="29"/>
      <c r="G96" s="30" t="str">
        <f>IF(A96=0,"",VLOOKUP(A96,[3]CO!$A$3:$F$5327,3,0))</f>
        <v/>
      </c>
      <c r="H96" s="95"/>
      <c r="I96" s="31"/>
      <c r="J96" s="31"/>
      <c r="K96" s="31"/>
      <c r="L96" s="31"/>
      <c r="M96" s="32" t="str">
        <f t="shared" ref="M96:M101" si="114">IF(H96&gt;0,H96*Q$76/N96,IF(AND(L96&gt;0,I96&gt;0),L96*I96,IF(L96&gt;0,L96,"")))</f>
        <v/>
      </c>
      <c r="N96" s="32" t="str">
        <f>IF(B96=0,"",IF(H96="M",HLOOKUP(B96,$Y$12:$DT$13,2),IF(A96=0,"",VLOOKUP(A96,[3]CO!$A$3:$F$5327,4,0))))</f>
        <v/>
      </c>
      <c r="O96" s="32" t="str">
        <f t="shared" ref="O96:O101" si="115">IF(L96=0,"",PRODUCT(M96:N96))</f>
        <v/>
      </c>
      <c r="P96" s="33"/>
      <c r="Q96" s="34" t="str">
        <f t="shared" ref="Q96:Q101" si="116">IF(P96=0,"",(HLOOKUP(P96,$DW$12:$HR$13,2)))</f>
        <v/>
      </c>
      <c r="R96" s="35" t="str">
        <f t="shared" ref="R96:R101" si="117">IF(S96=0,"",IF(OR(G96="PEON",G96="OF",G96="JARD",G96="CARP",G96="MAESTRO",G96="SOLD",G96="BGRO",G96="CHOFER",G96="AYTE",G96="S.INTTE.",G96="ASEO",G96="P.PISOS",G96="VELADOR",G96="RESID",G96="PINTOR",G96="ELECT",G96="AZULE",G96="AUX CONT.",G96="SECRETARIA",G96="AUXILIAR ADMTVO.",G96="ARQUITECTO",G96="DIBUJANTE",G96="AUX. DE RESIDENTE",G96="TOPOGRAFIA"),VLOOKUP(B96,P$14:Q$126,2),"")*S96)</f>
        <v/>
      </c>
      <c r="S96" s="98"/>
      <c r="T96" s="53" t="str">
        <f>IF(A96=0,"",VLOOKUP(A96,[3]CO!$A$3:$F$5318,5,0))</f>
        <v/>
      </c>
      <c r="U96" s="54">
        <f t="shared" ref="U96:U101" si="118">IF(T96=1,O96*0.1,)</f>
        <v>0</v>
      </c>
      <c r="V96" s="24"/>
      <c r="W96" s="25"/>
      <c r="X96" s="25"/>
      <c r="Y96" s="64" t="str">
        <f t="shared" ref="Y96:AN103" si="119">IF($B96=Y$12,$U96,"")</f>
        <v/>
      </c>
      <c r="Z96" s="55" t="str">
        <f t="shared" si="119"/>
        <v/>
      </c>
      <c r="AA96" s="55" t="str">
        <f t="shared" si="119"/>
        <v/>
      </c>
      <c r="AB96" s="55" t="str">
        <f t="shared" si="119"/>
        <v/>
      </c>
      <c r="AC96" s="55" t="str">
        <f t="shared" si="119"/>
        <v/>
      </c>
      <c r="AD96" s="55" t="str">
        <f t="shared" si="119"/>
        <v/>
      </c>
      <c r="AE96" s="55" t="str">
        <f t="shared" si="119"/>
        <v/>
      </c>
      <c r="AF96" s="55" t="str">
        <f t="shared" si="119"/>
        <v/>
      </c>
      <c r="AG96" s="55" t="str">
        <f t="shared" si="119"/>
        <v/>
      </c>
      <c r="AH96" s="55" t="str">
        <f t="shared" si="119"/>
        <v/>
      </c>
      <c r="AI96" s="55" t="str">
        <f t="shared" si="119"/>
        <v/>
      </c>
      <c r="AJ96" s="55" t="str">
        <f t="shared" si="119"/>
        <v/>
      </c>
      <c r="AK96" s="55" t="str">
        <f t="shared" si="119"/>
        <v/>
      </c>
      <c r="AL96" s="55" t="str">
        <f t="shared" si="119"/>
        <v/>
      </c>
      <c r="AM96" s="55" t="str">
        <f t="shared" si="119"/>
        <v/>
      </c>
      <c r="AN96" s="55" t="str">
        <f t="shared" si="119"/>
        <v/>
      </c>
      <c r="AO96" s="55" t="str">
        <f t="shared" si="103"/>
        <v/>
      </c>
      <c r="AP96" s="55" t="str">
        <f t="shared" si="103"/>
        <v/>
      </c>
      <c r="AQ96" s="55" t="str">
        <f t="shared" si="103"/>
        <v/>
      </c>
      <c r="AR96" s="55" t="str">
        <f t="shared" si="103"/>
        <v/>
      </c>
      <c r="AS96" s="55" t="str">
        <f t="shared" si="103"/>
        <v/>
      </c>
      <c r="AT96" s="55" t="str">
        <f t="shared" si="103"/>
        <v/>
      </c>
      <c r="AU96" s="55" t="str">
        <f t="shared" si="103"/>
        <v/>
      </c>
      <c r="AV96" s="55" t="str">
        <f t="shared" si="103"/>
        <v/>
      </c>
      <c r="AW96" s="55" t="str">
        <f t="shared" si="103"/>
        <v/>
      </c>
      <c r="AX96" s="55" t="str">
        <f t="shared" si="103"/>
        <v/>
      </c>
      <c r="AY96" s="55" t="str">
        <f t="shared" si="103"/>
        <v/>
      </c>
      <c r="AZ96" s="55" t="str">
        <f t="shared" si="103"/>
        <v/>
      </c>
      <c r="BA96" s="55" t="str">
        <f t="shared" si="103"/>
        <v/>
      </c>
      <c r="BB96" s="55" t="str">
        <f t="shared" si="103"/>
        <v/>
      </c>
      <c r="BC96" s="55" t="str">
        <f t="shared" si="103"/>
        <v/>
      </c>
      <c r="BD96" s="55" t="str">
        <f t="shared" si="103"/>
        <v/>
      </c>
      <c r="BE96" s="55" t="str">
        <f t="shared" ref="BE96:BS101" si="120">IF($B96=BE$12,$U96,"")</f>
        <v/>
      </c>
      <c r="BF96" s="55" t="str">
        <f t="shared" si="120"/>
        <v/>
      </c>
      <c r="BG96" s="55" t="str">
        <f t="shared" si="120"/>
        <v/>
      </c>
      <c r="BH96" s="55" t="str">
        <f t="shared" si="120"/>
        <v/>
      </c>
      <c r="BI96" s="55" t="str">
        <f t="shared" si="120"/>
        <v/>
      </c>
      <c r="BJ96" s="55" t="str">
        <f t="shared" si="120"/>
        <v/>
      </c>
      <c r="BK96" s="55" t="str">
        <f t="shared" si="120"/>
        <v/>
      </c>
      <c r="BL96" s="55" t="str">
        <f t="shared" si="120"/>
        <v/>
      </c>
      <c r="BM96" s="55" t="str">
        <f t="shared" si="120"/>
        <v/>
      </c>
      <c r="BN96" s="55" t="str">
        <f t="shared" si="120"/>
        <v/>
      </c>
      <c r="BO96" s="55" t="str">
        <f t="shared" si="120"/>
        <v/>
      </c>
      <c r="BP96" s="55" t="str">
        <f t="shared" si="120"/>
        <v/>
      </c>
      <c r="BQ96" s="55" t="str">
        <f t="shared" si="120"/>
        <v/>
      </c>
      <c r="BR96" s="55" t="str">
        <f t="shared" si="120"/>
        <v/>
      </c>
      <c r="BS96" s="55" t="str">
        <f t="shared" si="120"/>
        <v/>
      </c>
      <c r="BT96" s="55" t="str">
        <f t="shared" ref="BT96:CI102" si="121">IF($B96=BT$12,$U96,"")</f>
        <v/>
      </c>
      <c r="BU96" s="55" t="str">
        <f t="shared" si="121"/>
        <v/>
      </c>
      <c r="BV96" s="55" t="str">
        <f t="shared" si="121"/>
        <v/>
      </c>
      <c r="BW96" s="55" t="str">
        <f t="shared" si="121"/>
        <v/>
      </c>
      <c r="BX96" s="55" t="str">
        <f t="shared" si="121"/>
        <v/>
      </c>
      <c r="BY96" s="55" t="str">
        <f t="shared" si="105"/>
        <v/>
      </c>
      <c r="BZ96" s="55" t="str">
        <f t="shared" si="105"/>
        <v/>
      </c>
      <c r="CA96" s="55" t="str">
        <f t="shared" si="105"/>
        <v/>
      </c>
      <c r="CB96" s="55" t="str">
        <f t="shared" si="105"/>
        <v/>
      </c>
      <c r="CC96" s="55" t="str">
        <f t="shared" si="105"/>
        <v/>
      </c>
      <c r="CD96" s="55" t="str">
        <f t="shared" si="105"/>
        <v/>
      </c>
      <c r="CE96" s="55" t="str">
        <f t="shared" si="105"/>
        <v/>
      </c>
      <c r="CF96" s="55" t="str">
        <f t="shared" si="105"/>
        <v/>
      </c>
      <c r="CG96" s="55" t="str">
        <f t="shared" si="105"/>
        <v/>
      </c>
      <c r="CH96" s="55" t="str">
        <f t="shared" si="105"/>
        <v/>
      </c>
      <c r="CI96" s="55" t="str">
        <f t="shared" si="105"/>
        <v/>
      </c>
      <c r="CJ96" s="55" t="str">
        <f t="shared" si="105"/>
        <v/>
      </c>
      <c r="CK96" s="55" t="str">
        <f t="shared" si="105"/>
        <v/>
      </c>
      <c r="CL96" s="55" t="str">
        <f t="shared" si="105"/>
        <v/>
      </c>
      <c r="CM96" s="55" t="str">
        <f t="shared" si="105"/>
        <v/>
      </c>
      <c r="CN96" s="55" t="str">
        <f t="shared" si="105"/>
        <v/>
      </c>
      <c r="CO96" s="55" t="str">
        <f t="shared" si="106"/>
        <v/>
      </c>
      <c r="CP96" s="55" t="str">
        <f t="shared" si="106"/>
        <v/>
      </c>
      <c r="CQ96" s="55" t="str">
        <f t="shared" si="106"/>
        <v/>
      </c>
      <c r="CR96" s="55" t="str">
        <f t="shared" si="106"/>
        <v/>
      </c>
      <c r="CS96" s="55" t="str">
        <f t="shared" si="106"/>
        <v/>
      </c>
      <c r="CT96" s="55" t="str">
        <f t="shared" si="106"/>
        <v/>
      </c>
      <c r="CU96" s="55" t="str">
        <f t="shared" si="106"/>
        <v/>
      </c>
      <c r="CV96" s="55" t="str">
        <f t="shared" si="106"/>
        <v/>
      </c>
      <c r="CW96" s="55" t="str">
        <f t="shared" si="106"/>
        <v/>
      </c>
      <c r="CX96" s="55" t="str">
        <f t="shared" si="106"/>
        <v/>
      </c>
      <c r="CY96" s="55" t="str">
        <f t="shared" si="106"/>
        <v/>
      </c>
      <c r="CZ96" s="55" t="str">
        <f t="shared" si="101"/>
        <v/>
      </c>
      <c r="DA96" s="55" t="str">
        <f t="shared" si="101"/>
        <v/>
      </c>
      <c r="DB96" s="55" t="str">
        <f t="shared" si="101"/>
        <v/>
      </c>
      <c r="DC96" s="55" t="str">
        <f t="shared" si="101"/>
        <v/>
      </c>
      <c r="DD96" s="55" t="str">
        <f t="shared" si="101"/>
        <v/>
      </c>
      <c r="DE96" s="55" t="str">
        <f t="shared" si="101"/>
        <v/>
      </c>
      <c r="DF96" s="55" t="str">
        <f t="shared" si="101"/>
        <v/>
      </c>
      <c r="DG96" s="55" t="str">
        <f t="shared" si="101"/>
        <v/>
      </c>
      <c r="DH96" s="55" t="str">
        <f t="shared" si="101"/>
        <v/>
      </c>
      <c r="DI96" s="55" t="str">
        <f t="shared" si="101"/>
        <v/>
      </c>
      <c r="DJ96" s="55" t="str">
        <f t="shared" si="101"/>
        <v/>
      </c>
      <c r="DK96" s="55" t="str">
        <f t="shared" si="101"/>
        <v/>
      </c>
      <c r="DL96" s="55" t="str">
        <f t="shared" si="101"/>
        <v/>
      </c>
      <c r="DM96" s="55" t="str">
        <f t="shared" si="101"/>
        <v/>
      </c>
      <c r="DN96" s="55" t="str">
        <f t="shared" si="101"/>
        <v/>
      </c>
      <c r="DO96" s="55" t="str">
        <f t="shared" si="101"/>
        <v/>
      </c>
      <c r="DP96" s="55" t="str">
        <f t="shared" si="96"/>
        <v/>
      </c>
      <c r="DQ96" s="55" t="str">
        <f t="shared" si="96"/>
        <v/>
      </c>
      <c r="DR96" s="55" t="str">
        <f t="shared" si="96"/>
        <v/>
      </c>
      <c r="DS96" s="55" t="str">
        <f t="shared" si="96"/>
        <v/>
      </c>
      <c r="DT96" s="110" t="str">
        <f t="shared" si="96"/>
        <v/>
      </c>
      <c r="DU96" s="54"/>
      <c r="DV96" s="25"/>
      <c r="DW96" s="61" t="str">
        <f t="shared" ref="DW96:EL103" si="122">IF($B96=DW$12,$O96,"")</f>
        <v/>
      </c>
      <c r="DX96" s="50" t="str">
        <f t="shared" si="122"/>
        <v/>
      </c>
      <c r="DY96" s="50" t="str">
        <f t="shared" si="122"/>
        <v/>
      </c>
      <c r="DZ96" s="50" t="str">
        <f t="shared" si="122"/>
        <v/>
      </c>
      <c r="EA96" s="50" t="str">
        <f t="shared" si="122"/>
        <v/>
      </c>
      <c r="EB96" s="50" t="str">
        <f t="shared" si="122"/>
        <v/>
      </c>
      <c r="EC96" s="50" t="str">
        <f t="shared" si="122"/>
        <v/>
      </c>
      <c r="ED96" s="50" t="str">
        <f t="shared" si="122"/>
        <v/>
      </c>
      <c r="EE96" s="50" t="str">
        <f t="shared" si="122"/>
        <v/>
      </c>
      <c r="EF96" s="50" t="str">
        <f t="shared" si="122"/>
        <v/>
      </c>
      <c r="EG96" s="50" t="str">
        <f t="shared" si="122"/>
        <v/>
      </c>
      <c r="EH96" s="50" t="str">
        <f t="shared" si="122"/>
        <v/>
      </c>
      <c r="EI96" s="50" t="str">
        <f t="shared" si="122"/>
        <v/>
      </c>
      <c r="EJ96" s="50" t="str">
        <f t="shared" si="122"/>
        <v/>
      </c>
      <c r="EK96" s="50" t="str">
        <f t="shared" si="122"/>
        <v/>
      </c>
      <c r="EL96" s="50" t="str">
        <f t="shared" si="122"/>
        <v/>
      </c>
      <c r="EM96" s="50" t="str">
        <f t="shared" si="107"/>
        <v/>
      </c>
      <c r="EN96" s="50" t="str">
        <f t="shared" si="107"/>
        <v/>
      </c>
      <c r="EO96" s="50" t="str">
        <f t="shared" si="107"/>
        <v/>
      </c>
      <c r="EP96" s="50" t="str">
        <f t="shared" si="107"/>
        <v/>
      </c>
      <c r="EQ96" s="50" t="str">
        <f t="shared" si="107"/>
        <v/>
      </c>
      <c r="ER96" s="50" t="str">
        <f t="shared" si="107"/>
        <v/>
      </c>
      <c r="ES96" s="50" t="str">
        <f t="shared" si="107"/>
        <v/>
      </c>
      <c r="ET96" s="50" t="str">
        <f t="shared" si="107"/>
        <v/>
      </c>
      <c r="EU96" s="50" t="str">
        <f t="shared" si="107"/>
        <v/>
      </c>
      <c r="EV96" s="50" t="str">
        <f t="shared" si="107"/>
        <v/>
      </c>
      <c r="EW96" s="50" t="str">
        <f t="shared" si="107"/>
        <v/>
      </c>
      <c r="EX96" s="50" t="str">
        <f t="shared" si="107"/>
        <v/>
      </c>
      <c r="EY96" s="50" t="str">
        <f t="shared" si="107"/>
        <v/>
      </c>
      <c r="EZ96" s="50" t="str">
        <f t="shared" si="107"/>
        <v/>
      </c>
      <c r="FA96" s="50" t="str">
        <f t="shared" si="107"/>
        <v/>
      </c>
      <c r="FB96" s="50" t="str">
        <f t="shared" si="107"/>
        <v/>
      </c>
      <c r="FC96" s="50" t="str">
        <f t="shared" si="108"/>
        <v/>
      </c>
      <c r="FD96" s="50" t="str">
        <f t="shared" si="108"/>
        <v/>
      </c>
      <c r="FE96" s="50" t="str">
        <f t="shared" si="108"/>
        <v/>
      </c>
      <c r="FF96" s="50" t="str">
        <f t="shared" si="108"/>
        <v/>
      </c>
      <c r="FG96" s="50" t="str">
        <f t="shared" si="108"/>
        <v/>
      </c>
      <c r="FH96" s="50" t="str">
        <f t="shared" si="108"/>
        <v/>
      </c>
      <c r="FI96" s="50" t="str">
        <f t="shared" si="108"/>
        <v/>
      </c>
      <c r="FJ96" s="50" t="str">
        <f t="shared" si="108"/>
        <v/>
      </c>
      <c r="FK96" s="50" t="str">
        <f t="shared" si="108"/>
        <v/>
      </c>
      <c r="FL96" s="50" t="str">
        <f t="shared" si="108"/>
        <v/>
      </c>
      <c r="FM96" s="50" t="str">
        <f t="shared" si="108"/>
        <v/>
      </c>
      <c r="FN96" s="50" t="str">
        <f t="shared" si="108"/>
        <v/>
      </c>
      <c r="FO96" s="50" t="str">
        <f t="shared" si="108"/>
        <v/>
      </c>
      <c r="FP96" s="50" t="str">
        <f t="shared" si="108"/>
        <v/>
      </c>
      <c r="FQ96" s="50" t="str">
        <f t="shared" si="108"/>
        <v/>
      </c>
      <c r="FR96" s="50" t="str">
        <f t="shared" si="108"/>
        <v/>
      </c>
      <c r="FS96" s="50" t="str">
        <f t="shared" si="109"/>
        <v/>
      </c>
      <c r="FT96" s="50" t="str">
        <f t="shared" si="109"/>
        <v/>
      </c>
      <c r="FU96" s="50" t="str">
        <f t="shared" si="109"/>
        <v/>
      </c>
      <c r="FV96" s="50" t="str">
        <f t="shared" si="109"/>
        <v/>
      </c>
      <c r="FW96" s="50" t="str">
        <f t="shared" si="109"/>
        <v/>
      </c>
      <c r="FX96" s="50" t="str">
        <f t="shared" si="109"/>
        <v/>
      </c>
      <c r="FY96" s="50" t="str">
        <f t="shared" si="109"/>
        <v/>
      </c>
      <c r="FZ96" s="50" t="str">
        <f t="shared" si="109"/>
        <v/>
      </c>
      <c r="GA96" s="50" t="str">
        <f t="shared" si="109"/>
        <v/>
      </c>
      <c r="GB96" s="50" t="str">
        <f t="shared" si="109"/>
        <v/>
      </c>
      <c r="GC96" s="50" t="str">
        <f t="shared" si="109"/>
        <v/>
      </c>
      <c r="GD96" s="50" t="str">
        <f t="shared" si="109"/>
        <v/>
      </c>
      <c r="GE96" s="50" t="str">
        <f t="shared" si="109"/>
        <v/>
      </c>
      <c r="GF96" s="50" t="str">
        <f t="shared" si="109"/>
        <v/>
      </c>
      <c r="GG96" s="50" t="str">
        <f t="shared" si="109"/>
        <v/>
      </c>
      <c r="GH96" s="50" t="str">
        <f t="shared" si="109"/>
        <v/>
      </c>
      <c r="GI96" s="50" t="str">
        <f t="shared" si="113"/>
        <v/>
      </c>
      <c r="GJ96" s="50" t="str">
        <f t="shared" si="113"/>
        <v/>
      </c>
      <c r="GK96" s="50" t="str">
        <f t="shared" si="113"/>
        <v/>
      </c>
      <c r="GL96" s="50" t="str">
        <f t="shared" si="113"/>
        <v/>
      </c>
      <c r="GM96" s="50" t="str">
        <f t="shared" si="113"/>
        <v/>
      </c>
      <c r="GN96" s="50" t="str">
        <f t="shared" si="113"/>
        <v/>
      </c>
      <c r="GO96" s="50" t="str">
        <f t="shared" si="113"/>
        <v/>
      </c>
      <c r="GP96" s="50" t="str">
        <f t="shared" si="113"/>
        <v/>
      </c>
      <c r="GQ96" s="50" t="str">
        <f t="shared" si="113"/>
        <v/>
      </c>
      <c r="GR96" s="50" t="str">
        <f t="shared" si="113"/>
        <v/>
      </c>
      <c r="GS96" s="50" t="str">
        <f t="shared" si="113"/>
        <v/>
      </c>
      <c r="GT96" s="50" t="str">
        <f t="shared" si="113"/>
        <v/>
      </c>
      <c r="GU96" s="50" t="str">
        <f t="shared" si="113"/>
        <v/>
      </c>
      <c r="GV96" s="50" t="str">
        <f t="shared" si="113"/>
        <v/>
      </c>
      <c r="GW96" s="50" t="str">
        <f t="shared" si="113"/>
        <v/>
      </c>
      <c r="GX96" s="50" t="str">
        <f t="shared" si="113"/>
        <v/>
      </c>
      <c r="GY96" s="50" t="str">
        <f t="shared" si="113"/>
        <v/>
      </c>
      <c r="GZ96" s="50" t="str">
        <f t="shared" si="113"/>
        <v/>
      </c>
      <c r="HA96" s="50" t="str">
        <f t="shared" si="113"/>
        <v/>
      </c>
      <c r="HB96" s="50" t="str">
        <f t="shared" si="113"/>
        <v/>
      </c>
      <c r="HC96" s="50" t="str">
        <f t="shared" si="113"/>
        <v/>
      </c>
      <c r="HD96" s="50" t="str">
        <f t="shared" si="113"/>
        <v/>
      </c>
      <c r="HE96" s="50" t="str">
        <f t="shared" si="113"/>
        <v/>
      </c>
      <c r="HF96" s="50" t="str">
        <f t="shared" si="113"/>
        <v/>
      </c>
      <c r="HG96" s="50" t="str">
        <f t="shared" si="99"/>
        <v/>
      </c>
      <c r="HH96" s="50" t="str">
        <f t="shared" si="99"/>
        <v/>
      </c>
      <c r="HI96" s="50" t="str">
        <f t="shared" si="99"/>
        <v/>
      </c>
      <c r="HJ96" s="50" t="str">
        <f t="shared" si="99"/>
        <v/>
      </c>
      <c r="HK96" s="50" t="str">
        <f t="shared" si="99"/>
        <v/>
      </c>
      <c r="HL96" s="50" t="str">
        <f t="shared" si="99"/>
        <v/>
      </c>
      <c r="HM96" s="50" t="str">
        <f t="shared" si="99"/>
        <v/>
      </c>
      <c r="HN96" s="50" t="str">
        <f t="shared" si="99"/>
        <v/>
      </c>
      <c r="HO96" s="50" t="str">
        <f t="shared" si="99"/>
        <v/>
      </c>
      <c r="HP96" s="50" t="str">
        <f t="shared" si="99"/>
        <v/>
      </c>
      <c r="HQ96" s="50" t="str">
        <f t="shared" si="99"/>
        <v/>
      </c>
      <c r="HR96" s="116" t="str">
        <f t="shared" si="99"/>
        <v/>
      </c>
    </row>
    <row r="97" spans="1:226" ht="11.15" customHeight="1" x14ac:dyDescent="0.25">
      <c r="A97" s="26"/>
      <c r="B97" s="27"/>
      <c r="C97" s="28" t="str">
        <f>IF(A97=0,"",VLOOKUP(A97,[3]CO!$A$3:$F$5327,2,0))</f>
        <v/>
      </c>
      <c r="D97" s="29"/>
      <c r="E97" s="29"/>
      <c r="F97" s="29"/>
      <c r="G97" s="30" t="str">
        <f>IF(A97=0,"",VLOOKUP(A97,[3]CO!$A$3:$F$5327,3,0))</f>
        <v/>
      </c>
      <c r="H97" s="95"/>
      <c r="I97" s="31"/>
      <c r="J97" s="31"/>
      <c r="K97" s="31"/>
      <c r="L97" s="31"/>
      <c r="M97" s="32" t="str">
        <f t="shared" si="114"/>
        <v/>
      </c>
      <c r="N97" s="32" t="str">
        <f>IF(B97=0,"",IF(H97="M",HLOOKUP(B97,$Y$12:$DT$13,2),IF(A97=0,"",VLOOKUP(A97,[3]CO!$A$3:$F$5327,4,0))))</f>
        <v/>
      </c>
      <c r="O97" s="32" t="str">
        <f t="shared" si="115"/>
        <v/>
      </c>
      <c r="P97" s="33"/>
      <c r="Q97" s="34" t="str">
        <f t="shared" si="116"/>
        <v/>
      </c>
      <c r="R97" s="35" t="str">
        <f t="shared" si="117"/>
        <v/>
      </c>
      <c r="S97" s="98"/>
      <c r="T97" s="53" t="str">
        <f>IF(A97=0,"",VLOOKUP(A97,[3]CO!$A$3:$F$5318,5,0))</f>
        <v/>
      </c>
      <c r="U97" s="54">
        <f t="shared" si="118"/>
        <v>0</v>
      </c>
      <c r="V97" s="24"/>
      <c r="W97" s="25"/>
      <c r="X97" s="25"/>
      <c r="Y97" s="64" t="str">
        <f t="shared" si="119"/>
        <v/>
      </c>
      <c r="Z97" s="55" t="str">
        <f t="shared" si="119"/>
        <v/>
      </c>
      <c r="AA97" s="55" t="str">
        <f t="shared" si="119"/>
        <v/>
      </c>
      <c r="AB97" s="55" t="str">
        <f t="shared" si="119"/>
        <v/>
      </c>
      <c r="AC97" s="55" t="str">
        <f t="shared" si="119"/>
        <v/>
      </c>
      <c r="AD97" s="55" t="str">
        <f t="shared" si="119"/>
        <v/>
      </c>
      <c r="AE97" s="55" t="str">
        <f t="shared" si="119"/>
        <v/>
      </c>
      <c r="AF97" s="55" t="str">
        <f t="shared" si="119"/>
        <v/>
      </c>
      <c r="AG97" s="55" t="str">
        <f t="shared" si="119"/>
        <v/>
      </c>
      <c r="AH97" s="55" t="str">
        <f t="shared" si="119"/>
        <v/>
      </c>
      <c r="AI97" s="55" t="str">
        <f t="shared" si="119"/>
        <v/>
      </c>
      <c r="AJ97" s="55" t="str">
        <f t="shared" si="119"/>
        <v/>
      </c>
      <c r="AK97" s="55" t="str">
        <f t="shared" si="119"/>
        <v/>
      </c>
      <c r="AL97" s="55" t="str">
        <f t="shared" si="119"/>
        <v/>
      </c>
      <c r="AM97" s="55" t="str">
        <f t="shared" si="119"/>
        <v/>
      </c>
      <c r="AN97" s="55" t="str">
        <f t="shared" si="119"/>
        <v/>
      </c>
      <c r="AO97" s="55" t="str">
        <f t="shared" si="103"/>
        <v/>
      </c>
      <c r="AP97" s="55" t="str">
        <f t="shared" si="103"/>
        <v/>
      </c>
      <c r="AQ97" s="55" t="str">
        <f t="shared" si="103"/>
        <v/>
      </c>
      <c r="AR97" s="55" t="str">
        <f t="shared" si="103"/>
        <v/>
      </c>
      <c r="AS97" s="55" t="str">
        <f t="shared" si="103"/>
        <v/>
      </c>
      <c r="AT97" s="55" t="str">
        <f t="shared" si="103"/>
        <v/>
      </c>
      <c r="AU97" s="55" t="str">
        <f t="shared" si="103"/>
        <v/>
      </c>
      <c r="AV97" s="55" t="str">
        <f t="shared" si="103"/>
        <v/>
      </c>
      <c r="AW97" s="55" t="str">
        <f t="shared" si="103"/>
        <v/>
      </c>
      <c r="AX97" s="55" t="str">
        <f t="shared" si="103"/>
        <v/>
      </c>
      <c r="AY97" s="55" t="str">
        <f t="shared" si="103"/>
        <v/>
      </c>
      <c r="AZ97" s="55" t="str">
        <f t="shared" si="103"/>
        <v/>
      </c>
      <c r="BA97" s="55" t="str">
        <f t="shared" si="103"/>
        <v/>
      </c>
      <c r="BB97" s="55" t="str">
        <f t="shared" si="103"/>
        <v/>
      </c>
      <c r="BC97" s="55" t="str">
        <f t="shared" si="103"/>
        <v/>
      </c>
      <c r="BD97" s="55" t="str">
        <f t="shared" ref="BD97" si="123">IF($B97=BD$12,$U97,"")</f>
        <v/>
      </c>
      <c r="BE97" s="55" t="str">
        <f t="shared" si="120"/>
        <v/>
      </c>
      <c r="BF97" s="55" t="str">
        <f t="shared" si="120"/>
        <v/>
      </c>
      <c r="BG97" s="55" t="str">
        <f t="shared" si="120"/>
        <v/>
      </c>
      <c r="BH97" s="55" t="str">
        <f t="shared" si="120"/>
        <v/>
      </c>
      <c r="BI97" s="55" t="str">
        <f t="shared" si="120"/>
        <v/>
      </c>
      <c r="BJ97" s="55" t="str">
        <f t="shared" si="120"/>
        <v/>
      </c>
      <c r="BK97" s="55" t="str">
        <f t="shared" si="120"/>
        <v/>
      </c>
      <c r="BL97" s="55" t="str">
        <f t="shared" si="120"/>
        <v/>
      </c>
      <c r="BM97" s="55" t="str">
        <f t="shared" si="120"/>
        <v/>
      </c>
      <c r="BN97" s="55" t="str">
        <f t="shared" si="120"/>
        <v/>
      </c>
      <c r="BO97" s="55" t="str">
        <f t="shared" si="120"/>
        <v/>
      </c>
      <c r="BP97" s="55" t="str">
        <f t="shared" si="120"/>
        <v/>
      </c>
      <c r="BQ97" s="55" t="str">
        <f t="shared" si="120"/>
        <v/>
      </c>
      <c r="BR97" s="55" t="str">
        <f t="shared" si="120"/>
        <v/>
      </c>
      <c r="BS97" s="55" t="str">
        <f t="shared" si="120"/>
        <v/>
      </c>
      <c r="BT97" s="55" t="str">
        <f t="shared" si="121"/>
        <v/>
      </c>
      <c r="BU97" s="55" t="str">
        <f t="shared" si="121"/>
        <v/>
      </c>
      <c r="BV97" s="55" t="str">
        <f t="shared" si="121"/>
        <v/>
      </c>
      <c r="BW97" s="55" t="str">
        <f t="shared" si="121"/>
        <v/>
      </c>
      <c r="BX97" s="55" t="str">
        <f t="shared" si="121"/>
        <v/>
      </c>
      <c r="BY97" s="55" t="str">
        <f t="shared" si="105"/>
        <v/>
      </c>
      <c r="BZ97" s="55" t="str">
        <f t="shared" si="105"/>
        <v/>
      </c>
      <c r="CA97" s="55" t="str">
        <f t="shared" si="105"/>
        <v/>
      </c>
      <c r="CB97" s="55" t="str">
        <f t="shared" si="105"/>
        <v/>
      </c>
      <c r="CC97" s="55" t="str">
        <f t="shared" si="105"/>
        <v/>
      </c>
      <c r="CD97" s="55" t="str">
        <f t="shared" si="105"/>
        <v/>
      </c>
      <c r="CE97" s="55" t="str">
        <f t="shared" si="105"/>
        <v/>
      </c>
      <c r="CF97" s="55" t="str">
        <f t="shared" si="105"/>
        <v/>
      </c>
      <c r="CG97" s="55" t="str">
        <f t="shared" si="105"/>
        <v/>
      </c>
      <c r="CH97" s="55" t="str">
        <f t="shared" si="105"/>
        <v/>
      </c>
      <c r="CI97" s="55" t="str">
        <f t="shared" si="105"/>
        <v/>
      </c>
      <c r="CJ97" s="55" t="str">
        <f t="shared" si="105"/>
        <v/>
      </c>
      <c r="CK97" s="55" t="str">
        <f t="shared" si="105"/>
        <v/>
      </c>
      <c r="CL97" s="55" t="str">
        <f t="shared" si="105"/>
        <v/>
      </c>
      <c r="CM97" s="55" t="str">
        <f t="shared" si="105"/>
        <v/>
      </c>
      <c r="CN97" s="55" t="str">
        <f t="shared" ref="CN97" si="124">IF($B97=CN$12,$U97,"")</f>
        <v/>
      </c>
      <c r="CO97" s="55" t="str">
        <f t="shared" si="106"/>
        <v/>
      </c>
      <c r="CP97" s="55" t="str">
        <f t="shared" si="106"/>
        <v/>
      </c>
      <c r="CQ97" s="55" t="str">
        <f t="shared" si="106"/>
        <v/>
      </c>
      <c r="CR97" s="55" t="str">
        <f t="shared" si="106"/>
        <v/>
      </c>
      <c r="CS97" s="55" t="str">
        <f t="shared" si="106"/>
        <v/>
      </c>
      <c r="CT97" s="55" t="str">
        <f t="shared" si="106"/>
        <v/>
      </c>
      <c r="CU97" s="55" t="str">
        <f t="shared" si="106"/>
        <v/>
      </c>
      <c r="CV97" s="55" t="str">
        <f t="shared" si="106"/>
        <v/>
      </c>
      <c r="CW97" s="55" t="str">
        <f t="shared" si="106"/>
        <v/>
      </c>
      <c r="CX97" s="55" t="str">
        <f t="shared" si="106"/>
        <v/>
      </c>
      <c r="CY97" s="55" t="str">
        <f t="shared" si="106"/>
        <v/>
      </c>
      <c r="CZ97" s="55" t="str">
        <f t="shared" si="101"/>
        <v/>
      </c>
      <c r="DA97" s="55" t="str">
        <f t="shared" si="101"/>
        <v/>
      </c>
      <c r="DB97" s="55" t="str">
        <f t="shared" si="101"/>
        <v/>
      </c>
      <c r="DC97" s="55" t="str">
        <f t="shared" si="101"/>
        <v/>
      </c>
      <c r="DD97" s="55" t="str">
        <f t="shared" ref="DD97:DO101" si="125">IF($B97=DD$12,$U97,"")</f>
        <v/>
      </c>
      <c r="DE97" s="55" t="str">
        <f t="shared" si="125"/>
        <v/>
      </c>
      <c r="DF97" s="55" t="str">
        <f t="shared" si="125"/>
        <v/>
      </c>
      <c r="DG97" s="55" t="str">
        <f t="shared" si="125"/>
        <v/>
      </c>
      <c r="DH97" s="55" t="str">
        <f t="shared" si="125"/>
        <v/>
      </c>
      <c r="DI97" s="55" t="str">
        <f t="shared" si="125"/>
        <v/>
      </c>
      <c r="DJ97" s="55" t="str">
        <f t="shared" si="125"/>
        <v/>
      </c>
      <c r="DK97" s="55" t="str">
        <f t="shared" si="125"/>
        <v/>
      </c>
      <c r="DL97" s="55" t="str">
        <f t="shared" si="125"/>
        <v/>
      </c>
      <c r="DM97" s="55" t="str">
        <f t="shared" si="125"/>
        <v/>
      </c>
      <c r="DN97" s="55" t="str">
        <f t="shared" si="125"/>
        <v/>
      </c>
      <c r="DO97" s="55" t="str">
        <f t="shared" si="125"/>
        <v/>
      </c>
      <c r="DP97" s="55" t="str">
        <f t="shared" si="96"/>
        <v/>
      </c>
      <c r="DQ97" s="55" t="str">
        <f t="shared" si="96"/>
        <v/>
      </c>
      <c r="DR97" s="55" t="str">
        <f t="shared" si="96"/>
        <v/>
      </c>
      <c r="DS97" s="55" t="str">
        <f t="shared" si="96"/>
        <v/>
      </c>
      <c r="DT97" s="110" t="str">
        <f t="shared" si="96"/>
        <v/>
      </c>
      <c r="DU97" s="54"/>
      <c r="DV97" s="25"/>
      <c r="DW97" s="61" t="str">
        <f t="shared" si="122"/>
        <v/>
      </c>
      <c r="DX97" s="50" t="str">
        <f t="shared" si="122"/>
        <v/>
      </c>
      <c r="DY97" s="50" t="str">
        <f t="shared" si="122"/>
        <v/>
      </c>
      <c r="DZ97" s="50" t="str">
        <f t="shared" si="122"/>
        <v/>
      </c>
      <c r="EA97" s="50" t="str">
        <f t="shared" si="122"/>
        <v/>
      </c>
      <c r="EB97" s="50" t="str">
        <f t="shared" si="122"/>
        <v/>
      </c>
      <c r="EC97" s="50" t="str">
        <f t="shared" si="122"/>
        <v/>
      </c>
      <c r="ED97" s="50" t="str">
        <f t="shared" si="122"/>
        <v/>
      </c>
      <c r="EE97" s="50" t="str">
        <f t="shared" si="122"/>
        <v/>
      </c>
      <c r="EF97" s="50" t="str">
        <f t="shared" si="122"/>
        <v/>
      </c>
      <c r="EG97" s="50" t="str">
        <f t="shared" si="122"/>
        <v/>
      </c>
      <c r="EH97" s="50" t="str">
        <f t="shared" si="122"/>
        <v/>
      </c>
      <c r="EI97" s="50" t="str">
        <f t="shared" si="122"/>
        <v/>
      </c>
      <c r="EJ97" s="50" t="str">
        <f t="shared" si="122"/>
        <v/>
      </c>
      <c r="EK97" s="50" t="str">
        <f t="shared" si="122"/>
        <v/>
      </c>
      <c r="EL97" s="50" t="str">
        <f t="shared" si="122"/>
        <v/>
      </c>
      <c r="EM97" s="50" t="str">
        <f t="shared" si="107"/>
        <v/>
      </c>
      <c r="EN97" s="50" t="str">
        <f t="shared" si="107"/>
        <v/>
      </c>
      <c r="EO97" s="50" t="str">
        <f t="shared" si="107"/>
        <v/>
      </c>
      <c r="EP97" s="50" t="str">
        <f t="shared" si="107"/>
        <v/>
      </c>
      <c r="EQ97" s="50" t="str">
        <f t="shared" si="107"/>
        <v/>
      </c>
      <c r="ER97" s="50" t="str">
        <f t="shared" si="107"/>
        <v/>
      </c>
      <c r="ES97" s="50" t="str">
        <f t="shared" si="107"/>
        <v/>
      </c>
      <c r="ET97" s="50" t="str">
        <f t="shared" si="107"/>
        <v/>
      </c>
      <c r="EU97" s="50" t="str">
        <f t="shared" si="107"/>
        <v/>
      </c>
      <c r="EV97" s="50" t="str">
        <f t="shared" si="107"/>
        <v/>
      </c>
      <c r="EW97" s="50" t="str">
        <f t="shared" si="107"/>
        <v/>
      </c>
      <c r="EX97" s="50" t="str">
        <f t="shared" si="107"/>
        <v/>
      </c>
      <c r="EY97" s="50" t="str">
        <f t="shared" si="107"/>
        <v/>
      </c>
      <c r="EZ97" s="50" t="str">
        <f t="shared" si="107"/>
        <v/>
      </c>
      <c r="FA97" s="50" t="str">
        <f t="shared" si="107"/>
        <v/>
      </c>
      <c r="FB97" s="50" t="str">
        <f t="shared" ref="FB97" si="126">IF($B97=FB$12,$O97,"")</f>
        <v/>
      </c>
      <c r="FC97" s="50" t="str">
        <f t="shared" si="108"/>
        <v/>
      </c>
      <c r="FD97" s="50" t="str">
        <f t="shared" si="108"/>
        <v/>
      </c>
      <c r="FE97" s="50" t="str">
        <f t="shared" si="108"/>
        <v/>
      </c>
      <c r="FF97" s="50" t="str">
        <f t="shared" si="108"/>
        <v/>
      </c>
      <c r="FG97" s="50" t="str">
        <f t="shared" si="108"/>
        <v/>
      </c>
      <c r="FH97" s="50" t="str">
        <f t="shared" si="108"/>
        <v/>
      </c>
      <c r="FI97" s="50" t="str">
        <f t="shared" si="108"/>
        <v/>
      </c>
      <c r="FJ97" s="50" t="str">
        <f t="shared" si="108"/>
        <v/>
      </c>
      <c r="FK97" s="50" t="str">
        <f t="shared" si="108"/>
        <v/>
      </c>
      <c r="FL97" s="50" t="str">
        <f t="shared" si="108"/>
        <v/>
      </c>
      <c r="FM97" s="50" t="str">
        <f t="shared" si="108"/>
        <v/>
      </c>
      <c r="FN97" s="50" t="str">
        <f t="shared" si="108"/>
        <v/>
      </c>
      <c r="FO97" s="50" t="str">
        <f t="shared" si="108"/>
        <v/>
      </c>
      <c r="FP97" s="50" t="str">
        <f t="shared" si="108"/>
        <v/>
      </c>
      <c r="FQ97" s="50" t="str">
        <f t="shared" si="108"/>
        <v/>
      </c>
      <c r="FR97" s="50" t="str">
        <f t="shared" ref="FR97" si="127">IF($B97=FR$12,$O97,"")</f>
        <v/>
      </c>
      <c r="FS97" s="50" t="str">
        <f t="shared" si="109"/>
        <v/>
      </c>
      <c r="FT97" s="50" t="str">
        <f t="shared" si="109"/>
        <v/>
      </c>
      <c r="FU97" s="50" t="str">
        <f t="shared" si="109"/>
        <v/>
      </c>
      <c r="FV97" s="50" t="str">
        <f t="shared" si="109"/>
        <v/>
      </c>
      <c r="FW97" s="50" t="str">
        <f t="shared" si="109"/>
        <v/>
      </c>
      <c r="FX97" s="50" t="str">
        <f t="shared" si="109"/>
        <v/>
      </c>
      <c r="FY97" s="50" t="str">
        <f t="shared" si="109"/>
        <v/>
      </c>
      <c r="FZ97" s="50" t="str">
        <f t="shared" si="109"/>
        <v/>
      </c>
      <c r="GA97" s="50" t="str">
        <f t="shared" si="109"/>
        <v/>
      </c>
      <c r="GB97" s="50" t="str">
        <f t="shared" si="109"/>
        <v/>
      </c>
      <c r="GC97" s="50" t="str">
        <f t="shared" si="109"/>
        <v/>
      </c>
      <c r="GD97" s="50" t="str">
        <f t="shared" si="109"/>
        <v/>
      </c>
      <c r="GE97" s="50" t="str">
        <f t="shared" si="109"/>
        <v/>
      </c>
      <c r="GF97" s="50" t="str">
        <f t="shared" si="109"/>
        <v/>
      </c>
      <c r="GG97" s="50" t="str">
        <f t="shared" si="109"/>
        <v/>
      </c>
      <c r="GH97" s="50" t="str">
        <f t="shared" ref="GH97" si="128">IF($B97=GH$12,$O97,"")</f>
        <v/>
      </c>
      <c r="GI97" s="50" t="str">
        <f t="shared" si="113"/>
        <v/>
      </c>
      <c r="GJ97" s="50" t="str">
        <f t="shared" si="113"/>
        <v/>
      </c>
      <c r="GK97" s="50" t="str">
        <f t="shared" si="113"/>
        <v/>
      </c>
      <c r="GL97" s="50" t="str">
        <f t="shared" si="113"/>
        <v/>
      </c>
      <c r="GM97" s="50" t="str">
        <f t="shared" si="113"/>
        <v/>
      </c>
      <c r="GN97" s="50" t="str">
        <f t="shared" si="113"/>
        <v/>
      </c>
      <c r="GO97" s="50" t="str">
        <f t="shared" si="113"/>
        <v/>
      </c>
      <c r="GP97" s="50" t="str">
        <f t="shared" si="113"/>
        <v/>
      </c>
      <c r="GQ97" s="50" t="str">
        <f t="shared" si="113"/>
        <v/>
      </c>
      <c r="GR97" s="50" t="str">
        <f t="shared" si="113"/>
        <v/>
      </c>
      <c r="GS97" s="50" t="str">
        <f t="shared" si="113"/>
        <v/>
      </c>
      <c r="GT97" s="50" t="str">
        <f t="shared" si="113"/>
        <v/>
      </c>
      <c r="GU97" s="50" t="str">
        <f t="shared" si="113"/>
        <v/>
      </c>
      <c r="GV97" s="50" t="str">
        <f t="shared" si="113"/>
        <v/>
      </c>
      <c r="GW97" s="50" t="str">
        <f t="shared" si="113"/>
        <v/>
      </c>
      <c r="GX97" s="50" t="str">
        <f t="shared" si="113"/>
        <v/>
      </c>
      <c r="GY97" s="50" t="str">
        <f t="shared" si="113"/>
        <v/>
      </c>
      <c r="GZ97" s="50" t="str">
        <f t="shared" si="113"/>
        <v/>
      </c>
      <c r="HA97" s="50" t="str">
        <f t="shared" si="113"/>
        <v/>
      </c>
      <c r="HB97" s="50" t="str">
        <f t="shared" si="113"/>
        <v/>
      </c>
      <c r="HC97" s="50" t="str">
        <f t="shared" si="113"/>
        <v/>
      </c>
      <c r="HD97" s="50" t="str">
        <f t="shared" si="113"/>
        <v/>
      </c>
      <c r="HE97" s="50" t="str">
        <f t="shared" si="113"/>
        <v/>
      </c>
      <c r="HF97" s="50" t="str">
        <f t="shared" si="113"/>
        <v/>
      </c>
      <c r="HG97" s="50" t="str">
        <f t="shared" si="99"/>
        <v/>
      </c>
      <c r="HH97" s="50" t="str">
        <f t="shared" si="99"/>
        <v/>
      </c>
      <c r="HI97" s="50" t="str">
        <f t="shared" si="99"/>
        <v/>
      </c>
      <c r="HJ97" s="50" t="str">
        <f t="shared" ref="HJ97:HR97" si="129">IF($B97=HJ$12,$O97,"")</f>
        <v/>
      </c>
      <c r="HK97" s="50" t="str">
        <f t="shared" si="129"/>
        <v/>
      </c>
      <c r="HL97" s="50" t="str">
        <f t="shared" si="129"/>
        <v/>
      </c>
      <c r="HM97" s="50" t="str">
        <f t="shared" si="129"/>
        <v/>
      </c>
      <c r="HN97" s="50" t="str">
        <f t="shared" si="129"/>
        <v/>
      </c>
      <c r="HO97" s="50" t="str">
        <f t="shared" si="129"/>
        <v/>
      </c>
      <c r="HP97" s="50" t="str">
        <f t="shared" si="129"/>
        <v/>
      </c>
      <c r="HQ97" s="50" t="str">
        <f t="shared" si="129"/>
        <v/>
      </c>
      <c r="HR97" s="116" t="str">
        <f t="shared" si="129"/>
        <v/>
      </c>
    </row>
    <row r="98" spans="1:226" ht="11.15" customHeight="1" x14ac:dyDescent="0.25">
      <c r="A98" s="26"/>
      <c r="B98" s="27"/>
      <c r="C98" s="28" t="str">
        <f>IF(A98=0,"",VLOOKUP(A98,[3]CO!$A$3:$F$5327,2,0))</f>
        <v/>
      </c>
      <c r="D98" s="29"/>
      <c r="E98" s="29"/>
      <c r="F98" s="29"/>
      <c r="G98" s="30" t="str">
        <f>IF(A98=0,"",VLOOKUP(A98,[3]CO!$A$3:$F$5327,3,0))</f>
        <v/>
      </c>
      <c r="H98" s="95"/>
      <c r="I98" s="31"/>
      <c r="J98" s="31"/>
      <c r="K98" s="31"/>
      <c r="L98" s="31"/>
      <c r="M98" s="32" t="str">
        <f t="shared" si="114"/>
        <v/>
      </c>
      <c r="N98" s="32" t="str">
        <f>IF(B98=0,"",IF(H98="M",HLOOKUP(B98,$Y$12:$DT$13,2),IF(A98=0,"",VLOOKUP(A98,[3]CO!$A$3:$F$5327,4,0))))</f>
        <v/>
      </c>
      <c r="O98" s="32" t="str">
        <f t="shared" si="115"/>
        <v/>
      </c>
      <c r="P98" s="33"/>
      <c r="Q98" s="34" t="str">
        <f t="shared" si="116"/>
        <v/>
      </c>
      <c r="R98" s="35" t="str">
        <f t="shared" si="117"/>
        <v/>
      </c>
      <c r="S98" s="98"/>
      <c r="T98" s="53" t="str">
        <f>IF(A98=0,"",VLOOKUP(A98,[3]CO!$A$3:$F$5318,5,0))</f>
        <v/>
      </c>
      <c r="U98" s="54">
        <f t="shared" si="118"/>
        <v>0</v>
      </c>
      <c r="V98" s="24"/>
      <c r="W98" s="25"/>
      <c r="X98" s="25"/>
      <c r="Y98" s="64" t="str">
        <f t="shared" si="119"/>
        <v/>
      </c>
      <c r="Z98" s="55" t="str">
        <f t="shared" si="119"/>
        <v/>
      </c>
      <c r="AA98" s="55" t="str">
        <f t="shared" si="119"/>
        <v/>
      </c>
      <c r="AB98" s="55" t="str">
        <f t="shared" si="119"/>
        <v/>
      </c>
      <c r="AC98" s="55" t="str">
        <f t="shared" si="119"/>
        <v/>
      </c>
      <c r="AD98" s="55" t="str">
        <f t="shared" si="119"/>
        <v/>
      </c>
      <c r="AE98" s="55" t="str">
        <f t="shared" si="119"/>
        <v/>
      </c>
      <c r="AF98" s="55" t="str">
        <f t="shared" si="119"/>
        <v/>
      </c>
      <c r="AG98" s="55" t="str">
        <f t="shared" si="119"/>
        <v/>
      </c>
      <c r="AH98" s="55" t="str">
        <f t="shared" si="119"/>
        <v/>
      </c>
      <c r="AI98" s="55" t="str">
        <f t="shared" si="119"/>
        <v/>
      </c>
      <c r="AJ98" s="55" t="str">
        <f t="shared" si="119"/>
        <v/>
      </c>
      <c r="AK98" s="55" t="str">
        <f t="shared" si="119"/>
        <v/>
      </c>
      <c r="AL98" s="55" t="str">
        <f t="shared" si="119"/>
        <v/>
      </c>
      <c r="AM98" s="55" t="str">
        <f t="shared" si="119"/>
        <v/>
      </c>
      <c r="AN98" s="55" t="str">
        <f t="shared" si="119"/>
        <v/>
      </c>
      <c r="AO98" s="55" t="str">
        <f t="shared" ref="AO98:BD101" si="130">IF($B98=AO$12,$U98,"")</f>
        <v/>
      </c>
      <c r="AP98" s="55" t="str">
        <f t="shared" si="130"/>
        <v/>
      </c>
      <c r="AQ98" s="55" t="str">
        <f t="shared" si="130"/>
        <v/>
      </c>
      <c r="AR98" s="55" t="str">
        <f t="shared" si="130"/>
        <v/>
      </c>
      <c r="AS98" s="55" t="str">
        <f t="shared" si="130"/>
        <v/>
      </c>
      <c r="AT98" s="55" t="str">
        <f t="shared" si="130"/>
        <v/>
      </c>
      <c r="AU98" s="55" t="str">
        <f t="shared" si="130"/>
        <v/>
      </c>
      <c r="AV98" s="55" t="str">
        <f t="shared" si="130"/>
        <v/>
      </c>
      <c r="AW98" s="55" t="str">
        <f t="shared" si="130"/>
        <v/>
      </c>
      <c r="AX98" s="55" t="str">
        <f t="shared" si="130"/>
        <v/>
      </c>
      <c r="AY98" s="55" t="str">
        <f t="shared" si="130"/>
        <v/>
      </c>
      <c r="AZ98" s="55" t="str">
        <f t="shared" si="130"/>
        <v/>
      </c>
      <c r="BA98" s="55" t="str">
        <f t="shared" si="130"/>
        <v/>
      </c>
      <c r="BB98" s="55" t="str">
        <f t="shared" si="130"/>
        <v/>
      </c>
      <c r="BC98" s="55" t="str">
        <f t="shared" si="130"/>
        <v/>
      </c>
      <c r="BD98" s="55" t="str">
        <f t="shared" si="130"/>
        <v/>
      </c>
      <c r="BE98" s="55" t="str">
        <f t="shared" si="120"/>
        <v/>
      </c>
      <c r="BF98" s="55" t="str">
        <f t="shared" si="120"/>
        <v/>
      </c>
      <c r="BG98" s="55" t="str">
        <f t="shared" si="120"/>
        <v/>
      </c>
      <c r="BH98" s="55" t="str">
        <f t="shared" si="120"/>
        <v/>
      </c>
      <c r="BI98" s="55" t="str">
        <f t="shared" si="120"/>
        <v/>
      </c>
      <c r="BJ98" s="55" t="str">
        <f t="shared" si="120"/>
        <v/>
      </c>
      <c r="BK98" s="55" t="str">
        <f t="shared" si="120"/>
        <v/>
      </c>
      <c r="BL98" s="55" t="str">
        <f t="shared" si="120"/>
        <v/>
      </c>
      <c r="BM98" s="55" t="str">
        <f t="shared" si="120"/>
        <v/>
      </c>
      <c r="BN98" s="55" t="str">
        <f t="shared" si="120"/>
        <v/>
      </c>
      <c r="BO98" s="55" t="str">
        <f t="shared" si="120"/>
        <v/>
      </c>
      <c r="BP98" s="55" t="str">
        <f t="shared" si="120"/>
        <v/>
      </c>
      <c r="BQ98" s="55" t="str">
        <f t="shared" si="120"/>
        <v/>
      </c>
      <c r="BR98" s="55" t="str">
        <f t="shared" si="120"/>
        <v/>
      </c>
      <c r="BS98" s="55" t="str">
        <f t="shared" si="120"/>
        <v/>
      </c>
      <c r="BT98" s="55" t="str">
        <f t="shared" si="121"/>
        <v/>
      </c>
      <c r="BU98" s="55" t="str">
        <f t="shared" si="121"/>
        <v/>
      </c>
      <c r="BV98" s="55" t="str">
        <f t="shared" si="121"/>
        <v/>
      </c>
      <c r="BW98" s="55" t="str">
        <f t="shared" si="121"/>
        <v/>
      </c>
      <c r="BX98" s="55" t="str">
        <f t="shared" si="121"/>
        <v/>
      </c>
      <c r="BY98" s="55" t="str">
        <f t="shared" si="121"/>
        <v/>
      </c>
      <c r="BZ98" s="55" t="str">
        <f t="shared" si="121"/>
        <v/>
      </c>
      <c r="CA98" s="55" t="str">
        <f t="shared" si="121"/>
        <v/>
      </c>
      <c r="CB98" s="55" t="str">
        <f t="shared" si="121"/>
        <v/>
      </c>
      <c r="CC98" s="55" t="str">
        <f t="shared" si="121"/>
        <v/>
      </c>
      <c r="CD98" s="55" t="str">
        <f t="shared" si="121"/>
        <v/>
      </c>
      <c r="CE98" s="55" t="str">
        <f t="shared" si="121"/>
        <v/>
      </c>
      <c r="CF98" s="55" t="str">
        <f t="shared" si="121"/>
        <v/>
      </c>
      <c r="CG98" s="55" t="str">
        <f t="shared" si="121"/>
        <v/>
      </c>
      <c r="CH98" s="55" t="str">
        <f t="shared" si="121"/>
        <v/>
      </c>
      <c r="CI98" s="55" t="str">
        <f t="shared" si="121"/>
        <v/>
      </c>
      <c r="CJ98" s="55" t="str">
        <f t="shared" ref="CJ98:CN101" si="131">IF($B98=CJ$12,$U98,"")</f>
        <v/>
      </c>
      <c r="CK98" s="55" t="str">
        <f t="shared" si="131"/>
        <v/>
      </c>
      <c r="CL98" s="55" t="str">
        <f t="shared" si="131"/>
        <v/>
      </c>
      <c r="CM98" s="55" t="str">
        <f t="shared" si="131"/>
        <v/>
      </c>
      <c r="CN98" s="55" t="str">
        <f t="shared" si="131"/>
        <v/>
      </c>
      <c r="CO98" s="55" t="str">
        <f t="shared" si="106"/>
        <v/>
      </c>
      <c r="CP98" s="55" t="str">
        <f t="shared" si="106"/>
        <v/>
      </c>
      <c r="CQ98" s="55" t="str">
        <f t="shared" si="106"/>
        <v/>
      </c>
      <c r="CR98" s="55" t="str">
        <f t="shared" si="106"/>
        <v/>
      </c>
      <c r="CS98" s="55" t="str">
        <f t="shared" si="106"/>
        <v/>
      </c>
      <c r="CT98" s="55" t="str">
        <f t="shared" si="106"/>
        <v/>
      </c>
      <c r="CU98" s="55" t="str">
        <f t="shared" si="106"/>
        <v/>
      </c>
      <c r="CV98" s="55" t="str">
        <f t="shared" si="106"/>
        <v/>
      </c>
      <c r="CW98" s="55" t="str">
        <f t="shared" si="106"/>
        <v/>
      </c>
      <c r="CX98" s="55" t="str">
        <f t="shared" si="106"/>
        <v/>
      </c>
      <c r="CY98" s="55" t="str">
        <f t="shared" si="106"/>
        <v/>
      </c>
      <c r="CZ98" s="55" t="str">
        <f t="shared" si="106"/>
        <v/>
      </c>
      <c r="DA98" s="55" t="str">
        <f t="shared" si="106"/>
        <v/>
      </c>
      <c r="DB98" s="55" t="str">
        <f t="shared" si="106"/>
        <v/>
      </c>
      <c r="DC98" s="55" t="str">
        <f t="shared" si="106"/>
        <v/>
      </c>
      <c r="DD98" s="55" t="str">
        <f t="shared" si="106"/>
        <v/>
      </c>
      <c r="DE98" s="55" t="str">
        <f t="shared" si="125"/>
        <v/>
      </c>
      <c r="DF98" s="55" t="str">
        <f t="shared" si="125"/>
        <v/>
      </c>
      <c r="DG98" s="55" t="str">
        <f t="shared" si="125"/>
        <v/>
      </c>
      <c r="DH98" s="55" t="str">
        <f t="shared" si="125"/>
        <v/>
      </c>
      <c r="DI98" s="55" t="str">
        <f t="shared" si="125"/>
        <v/>
      </c>
      <c r="DJ98" s="55" t="str">
        <f t="shared" si="125"/>
        <v/>
      </c>
      <c r="DK98" s="55" t="str">
        <f t="shared" si="125"/>
        <v/>
      </c>
      <c r="DL98" s="55" t="str">
        <f t="shared" si="125"/>
        <v/>
      </c>
      <c r="DM98" s="55" t="str">
        <f t="shared" si="125"/>
        <v/>
      </c>
      <c r="DN98" s="55" t="str">
        <f t="shared" si="125"/>
        <v/>
      </c>
      <c r="DO98" s="55" t="str">
        <f t="shared" si="125"/>
        <v/>
      </c>
      <c r="DP98" s="55" t="str">
        <f t="shared" si="96"/>
        <v/>
      </c>
      <c r="DQ98" s="55" t="str">
        <f t="shared" si="96"/>
        <v/>
      </c>
      <c r="DR98" s="55" t="str">
        <f t="shared" si="96"/>
        <v/>
      </c>
      <c r="DS98" s="55" t="str">
        <f t="shared" si="96"/>
        <v/>
      </c>
      <c r="DT98" s="110" t="str">
        <f t="shared" si="96"/>
        <v/>
      </c>
      <c r="DU98" s="54"/>
      <c r="DV98" s="25"/>
      <c r="DW98" s="61" t="str">
        <f t="shared" si="122"/>
        <v/>
      </c>
      <c r="DX98" s="50" t="str">
        <f t="shared" si="122"/>
        <v/>
      </c>
      <c r="DY98" s="50" t="str">
        <f t="shared" si="122"/>
        <v/>
      </c>
      <c r="DZ98" s="50" t="str">
        <f t="shared" si="122"/>
        <v/>
      </c>
      <c r="EA98" s="50" t="str">
        <f t="shared" si="122"/>
        <v/>
      </c>
      <c r="EB98" s="50" t="str">
        <f t="shared" si="122"/>
        <v/>
      </c>
      <c r="EC98" s="50" t="str">
        <f t="shared" si="122"/>
        <v/>
      </c>
      <c r="ED98" s="50" t="str">
        <f t="shared" si="122"/>
        <v/>
      </c>
      <c r="EE98" s="50" t="str">
        <f t="shared" si="122"/>
        <v/>
      </c>
      <c r="EF98" s="50" t="str">
        <f t="shared" si="122"/>
        <v/>
      </c>
      <c r="EG98" s="50" t="str">
        <f t="shared" si="122"/>
        <v/>
      </c>
      <c r="EH98" s="50" t="str">
        <f t="shared" si="122"/>
        <v/>
      </c>
      <c r="EI98" s="50" t="str">
        <f t="shared" si="122"/>
        <v/>
      </c>
      <c r="EJ98" s="50" t="str">
        <f t="shared" si="122"/>
        <v/>
      </c>
      <c r="EK98" s="50" t="str">
        <f t="shared" si="122"/>
        <v/>
      </c>
      <c r="EL98" s="50" t="str">
        <f t="shared" si="122"/>
        <v/>
      </c>
      <c r="EM98" s="50" t="str">
        <f t="shared" ref="EM98:GH101" si="132">IF($B98=EM$12,$O98,"")</f>
        <v/>
      </c>
      <c r="EN98" s="50" t="str">
        <f t="shared" si="132"/>
        <v/>
      </c>
      <c r="EO98" s="50" t="str">
        <f t="shared" si="132"/>
        <v/>
      </c>
      <c r="EP98" s="50" t="str">
        <f t="shared" si="132"/>
        <v/>
      </c>
      <c r="EQ98" s="50" t="str">
        <f t="shared" si="132"/>
        <v/>
      </c>
      <c r="ER98" s="50" t="str">
        <f t="shared" si="132"/>
        <v/>
      </c>
      <c r="ES98" s="50" t="str">
        <f t="shared" si="132"/>
        <v/>
      </c>
      <c r="ET98" s="50" t="str">
        <f t="shared" si="132"/>
        <v/>
      </c>
      <c r="EU98" s="50" t="str">
        <f t="shared" si="132"/>
        <v/>
      </c>
      <c r="EV98" s="50" t="str">
        <f t="shared" si="132"/>
        <v/>
      </c>
      <c r="EW98" s="50" t="str">
        <f t="shared" si="132"/>
        <v/>
      </c>
      <c r="EX98" s="50" t="str">
        <f t="shared" si="132"/>
        <v/>
      </c>
      <c r="EY98" s="50" t="str">
        <f t="shared" si="132"/>
        <v/>
      </c>
      <c r="EZ98" s="50" t="str">
        <f t="shared" si="132"/>
        <v/>
      </c>
      <c r="FA98" s="50" t="str">
        <f t="shared" si="132"/>
        <v/>
      </c>
      <c r="FB98" s="50" t="str">
        <f t="shared" si="132"/>
        <v/>
      </c>
      <c r="FC98" s="50" t="str">
        <f t="shared" si="132"/>
        <v/>
      </c>
      <c r="FD98" s="50" t="str">
        <f t="shared" si="132"/>
        <v/>
      </c>
      <c r="FE98" s="50" t="str">
        <f t="shared" si="132"/>
        <v/>
      </c>
      <c r="FF98" s="50" t="str">
        <f t="shared" si="132"/>
        <v/>
      </c>
      <c r="FG98" s="50" t="str">
        <f t="shared" si="132"/>
        <v/>
      </c>
      <c r="FH98" s="50" t="str">
        <f t="shared" si="132"/>
        <v/>
      </c>
      <c r="FI98" s="50" t="str">
        <f t="shared" si="132"/>
        <v/>
      </c>
      <c r="FJ98" s="50" t="str">
        <f t="shared" si="132"/>
        <v/>
      </c>
      <c r="FK98" s="50" t="str">
        <f t="shared" si="132"/>
        <v/>
      </c>
      <c r="FL98" s="50" t="str">
        <f t="shared" si="132"/>
        <v/>
      </c>
      <c r="FM98" s="50" t="str">
        <f t="shared" si="132"/>
        <v/>
      </c>
      <c r="FN98" s="50" t="str">
        <f t="shared" si="132"/>
        <v/>
      </c>
      <c r="FO98" s="50" t="str">
        <f t="shared" si="132"/>
        <v/>
      </c>
      <c r="FP98" s="50" t="str">
        <f t="shared" si="132"/>
        <v/>
      </c>
      <c r="FQ98" s="50" t="str">
        <f t="shared" si="132"/>
        <v/>
      </c>
      <c r="FR98" s="50" t="str">
        <f t="shared" si="132"/>
        <v/>
      </c>
      <c r="FS98" s="50" t="str">
        <f t="shared" si="132"/>
        <v/>
      </c>
      <c r="FT98" s="50" t="str">
        <f t="shared" si="132"/>
        <v/>
      </c>
      <c r="FU98" s="50" t="str">
        <f t="shared" si="132"/>
        <v/>
      </c>
      <c r="FV98" s="50" t="str">
        <f t="shared" si="132"/>
        <v/>
      </c>
      <c r="FW98" s="50" t="str">
        <f t="shared" si="132"/>
        <v/>
      </c>
      <c r="FX98" s="50" t="str">
        <f t="shared" si="132"/>
        <v/>
      </c>
      <c r="FY98" s="50" t="str">
        <f t="shared" si="132"/>
        <v/>
      </c>
      <c r="FZ98" s="50" t="str">
        <f t="shared" si="132"/>
        <v/>
      </c>
      <c r="GA98" s="50" t="str">
        <f t="shared" si="132"/>
        <v/>
      </c>
      <c r="GB98" s="50" t="str">
        <f t="shared" si="132"/>
        <v/>
      </c>
      <c r="GC98" s="50" t="str">
        <f t="shared" si="132"/>
        <v/>
      </c>
      <c r="GD98" s="50" t="str">
        <f t="shared" si="132"/>
        <v/>
      </c>
      <c r="GE98" s="50" t="str">
        <f t="shared" si="132"/>
        <v/>
      </c>
      <c r="GF98" s="50" t="str">
        <f t="shared" si="132"/>
        <v/>
      </c>
      <c r="GG98" s="50" t="str">
        <f t="shared" si="132"/>
        <v/>
      </c>
      <c r="GH98" s="50" t="str">
        <f t="shared" si="132"/>
        <v/>
      </c>
      <c r="GI98" s="50" t="str">
        <f t="shared" si="113"/>
        <v/>
      </c>
      <c r="GJ98" s="50" t="str">
        <f t="shared" si="113"/>
        <v/>
      </c>
      <c r="GK98" s="50" t="str">
        <f t="shared" si="113"/>
        <v/>
      </c>
      <c r="GL98" s="50" t="str">
        <f t="shared" si="113"/>
        <v/>
      </c>
      <c r="GM98" s="50" t="str">
        <f t="shared" si="113"/>
        <v/>
      </c>
      <c r="GN98" s="50" t="str">
        <f t="shared" si="113"/>
        <v/>
      </c>
      <c r="GO98" s="50" t="str">
        <f t="shared" si="113"/>
        <v/>
      </c>
      <c r="GP98" s="50" t="str">
        <f t="shared" si="113"/>
        <v/>
      </c>
      <c r="GQ98" s="50" t="str">
        <f t="shared" si="113"/>
        <v/>
      </c>
      <c r="GR98" s="50" t="str">
        <f t="shared" si="113"/>
        <v/>
      </c>
      <c r="GS98" s="50" t="str">
        <f t="shared" si="113"/>
        <v/>
      </c>
      <c r="GT98" s="50" t="str">
        <f t="shared" si="113"/>
        <v/>
      </c>
      <c r="GU98" s="50" t="str">
        <f t="shared" si="113"/>
        <v/>
      </c>
      <c r="GV98" s="50" t="str">
        <f t="shared" si="113"/>
        <v/>
      </c>
      <c r="GW98" s="50" t="str">
        <f t="shared" si="113"/>
        <v/>
      </c>
      <c r="GX98" s="50" t="str">
        <f t="shared" si="113"/>
        <v/>
      </c>
      <c r="GY98" s="50" t="str">
        <f t="shared" si="113"/>
        <v/>
      </c>
      <c r="GZ98" s="50" t="str">
        <f t="shared" si="113"/>
        <v/>
      </c>
      <c r="HA98" s="50" t="str">
        <f t="shared" si="113"/>
        <v/>
      </c>
      <c r="HB98" s="50" t="str">
        <f t="shared" si="113"/>
        <v/>
      </c>
      <c r="HC98" s="50" t="str">
        <f t="shared" si="113"/>
        <v/>
      </c>
      <c r="HD98" s="50" t="str">
        <f t="shared" si="113"/>
        <v/>
      </c>
      <c r="HE98" s="50" t="str">
        <f t="shared" si="113"/>
        <v/>
      </c>
      <c r="HF98" s="50" t="str">
        <f t="shared" si="113"/>
        <v/>
      </c>
      <c r="HG98" s="50" t="str">
        <f t="shared" ref="HG98:HR101" si="133">IF($B98=HG$12,$O98,"")</f>
        <v/>
      </c>
      <c r="HH98" s="50" t="str">
        <f t="shared" si="133"/>
        <v/>
      </c>
      <c r="HI98" s="50" t="str">
        <f t="shared" si="133"/>
        <v/>
      </c>
      <c r="HJ98" s="50" t="str">
        <f t="shared" si="133"/>
        <v/>
      </c>
      <c r="HK98" s="50" t="str">
        <f t="shared" si="133"/>
        <v/>
      </c>
      <c r="HL98" s="50" t="str">
        <f t="shared" si="133"/>
        <v/>
      </c>
      <c r="HM98" s="50" t="str">
        <f t="shared" si="133"/>
        <v/>
      </c>
      <c r="HN98" s="50" t="str">
        <f t="shared" si="133"/>
        <v/>
      </c>
      <c r="HO98" s="50" t="str">
        <f t="shared" si="133"/>
        <v/>
      </c>
      <c r="HP98" s="50" t="str">
        <f t="shared" si="133"/>
        <v/>
      </c>
      <c r="HQ98" s="50" t="str">
        <f t="shared" si="133"/>
        <v/>
      </c>
      <c r="HR98" s="116" t="str">
        <f t="shared" si="133"/>
        <v/>
      </c>
    </row>
    <row r="99" spans="1:226" ht="11.15" customHeight="1" x14ac:dyDescent="0.25">
      <c r="A99" s="26"/>
      <c r="B99" s="27"/>
      <c r="C99" s="28" t="str">
        <f>IF(A99=0,"",VLOOKUP(A99,[3]CO!$A$3:$F$5327,2,0))</f>
        <v/>
      </c>
      <c r="D99" s="29"/>
      <c r="E99" s="29"/>
      <c r="F99" s="29"/>
      <c r="G99" s="30" t="str">
        <f>IF(A99=0,"",VLOOKUP(A99,[3]CO!$A$3:$F$5327,3,0))</f>
        <v/>
      </c>
      <c r="H99" s="95"/>
      <c r="I99" s="31"/>
      <c r="J99" s="31"/>
      <c r="K99" s="31"/>
      <c r="L99" s="31"/>
      <c r="M99" s="32" t="str">
        <f t="shared" si="114"/>
        <v/>
      </c>
      <c r="N99" s="32" t="str">
        <f>IF(B99=0,"",IF(H99="M",HLOOKUP(B99,$Y$12:$DT$13,2),IF(A99=0,"",VLOOKUP(A99,[3]CO!$A$3:$F$5327,4,0))))</f>
        <v/>
      </c>
      <c r="O99" s="32" t="str">
        <f t="shared" si="115"/>
        <v/>
      </c>
      <c r="P99" s="33"/>
      <c r="Q99" s="34" t="str">
        <f t="shared" si="116"/>
        <v/>
      </c>
      <c r="R99" s="35" t="str">
        <f t="shared" si="117"/>
        <v/>
      </c>
      <c r="S99" s="98"/>
      <c r="T99" s="53" t="str">
        <f>IF(A99=0,"",VLOOKUP(A99,[3]CO!$A$3:$F$5318,5,0))</f>
        <v/>
      </c>
      <c r="U99" s="54">
        <f t="shared" si="118"/>
        <v>0</v>
      </c>
      <c r="V99" s="24"/>
      <c r="W99" s="25"/>
      <c r="X99" s="25"/>
      <c r="Y99" s="64" t="str">
        <f t="shared" si="119"/>
        <v/>
      </c>
      <c r="Z99" s="55" t="str">
        <f t="shared" si="119"/>
        <v/>
      </c>
      <c r="AA99" s="55" t="str">
        <f t="shared" si="119"/>
        <v/>
      </c>
      <c r="AB99" s="55" t="str">
        <f t="shared" si="119"/>
        <v/>
      </c>
      <c r="AC99" s="55" t="str">
        <f t="shared" si="119"/>
        <v/>
      </c>
      <c r="AD99" s="55" t="str">
        <f t="shared" si="119"/>
        <v/>
      </c>
      <c r="AE99" s="55" t="str">
        <f t="shared" si="119"/>
        <v/>
      </c>
      <c r="AF99" s="55" t="str">
        <f t="shared" si="119"/>
        <v/>
      </c>
      <c r="AG99" s="55" t="str">
        <f t="shared" si="119"/>
        <v/>
      </c>
      <c r="AH99" s="55" t="str">
        <f t="shared" si="119"/>
        <v/>
      </c>
      <c r="AI99" s="55" t="str">
        <f t="shared" si="119"/>
        <v/>
      </c>
      <c r="AJ99" s="55" t="str">
        <f t="shared" si="119"/>
        <v/>
      </c>
      <c r="AK99" s="55" t="str">
        <f t="shared" si="119"/>
        <v/>
      </c>
      <c r="AL99" s="55" t="str">
        <f t="shared" si="119"/>
        <v/>
      </c>
      <c r="AM99" s="55" t="str">
        <f t="shared" si="119"/>
        <v/>
      </c>
      <c r="AN99" s="55" t="str">
        <f t="shared" si="119"/>
        <v/>
      </c>
      <c r="AO99" s="55" t="str">
        <f t="shared" si="130"/>
        <v/>
      </c>
      <c r="AP99" s="55" t="str">
        <f t="shared" si="130"/>
        <v/>
      </c>
      <c r="AQ99" s="55" t="str">
        <f t="shared" si="130"/>
        <v/>
      </c>
      <c r="AR99" s="55" t="str">
        <f t="shared" si="130"/>
        <v/>
      </c>
      <c r="AS99" s="55" t="str">
        <f t="shared" si="130"/>
        <v/>
      </c>
      <c r="AT99" s="55" t="str">
        <f t="shared" si="130"/>
        <v/>
      </c>
      <c r="AU99" s="55" t="str">
        <f t="shared" si="130"/>
        <v/>
      </c>
      <c r="AV99" s="55" t="str">
        <f t="shared" si="130"/>
        <v/>
      </c>
      <c r="AW99" s="55" t="str">
        <f t="shared" si="130"/>
        <v/>
      </c>
      <c r="AX99" s="55" t="str">
        <f t="shared" si="130"/>
        <v/>
      </c>
      <c r="AY99" s="55" t="str">
        <f t="shared" si="130"/>
        <v/>
      </c>
      <c r="AZ99" s="55" t="str">
        <f t="shared" si="130"/>
        <v/>
      </c>
      <c r="BA99" s="55" t="str">
        <f t="shared" si="130"/>
        <v/>
      </c>
      <c r="BB99" s="55" t="str">
        <f t="shared" si="130"/>
        <v/>
      </c>
      <c r="BC99" s="55" t="str">
        <f t="shared" si="130"/>
        <v/>
      </c>
      <c r="BD99" s="55" t="str">
        <f t="shared" si="130"/>
        <v/>
      </c>
      <c r="BE99" s="55" t="str">
        <f t="shared" si="120"/>
        <v/>
      </c>
      <c r="BF99" s="55" t="str">
        <f t="shared" si="120"/>
        <v/>
      </c>
      <c r="BG99" s="55" t="str">
        <f t="shared" si="120"/>
        <v/>
      </c>
      <c r="BH99" s="55" t="str">
        <f t="shared" si="120"/>
        <v/>
      </c>
      <c r="BI99" s="55" t="str">
        <f t="shared" si="120"/>
        <v/>
      </c>
      <c r="BJ99" s="55" t="str">
        <f t="shared" si="120"/>
        <v/>
      </c>
      <c r="BK99" s="55" t="str">
        <f t="shared" si="120"/>
        <v/>
      </c>
      <c r="BL99" s="55" t="str">
        <f t="shared" si="120"/>
        <v/>
      </c>
      <c r="BM99" s="55" t="str">
        <f t="shared" si="120"/>
        <v/>
      </c>
      <c r="BN99" s="55" t="str">
        <f t="shared" si="120"/>
        <v/>
      </c>
      <c r="BO99" s="55" t="str">
        <f t="shared" si="120"/>
        <v/>
      </c>
      <c r="BP99" s="55" t="str">
        <f t="shared" si="120"/>
        <v/>
      </c>
      <c r="BQ99" s="55" t="str">
        <f t="shared" si="120"/>
        <v/>
      </c>
      <c r="BR99" s="55" t="str">
        <f t="shared" si="120"/>
        <v/>
      </c>
      <c r="BS99" s="55" t="str">
        <f t="shared" si="120"/>
        <v/>
      </c>
      <c r="BT99" s="55" t="str">
        <f t="shared" si="121"/>
        <v/>
      </c>
      <c r="BU99" s="55" t="str">
        <f t="shared" si="121"/>
        <v/>
      </c>
      <c r="BV99" s="55" t="str">
        <f t="shared" si="121"/>
        <v/>
      </c>
      <c r="BW99" s="55" t="str">
        <f t="shared" si="121"/>
        <v/>
      </c>
      <c r="BX99" s="55" t="str">
        <f t="shared" si="121"/>
        <v/>
      </c>
      <c r="BY99" s="55" t="str">
        <f t="shared" si="121"/>
        <v/>
      </c>
      <c r="BZ99" s="55" t="str">
        <f t="shared" si="121"/>
        <v/>
      </c>
      <c r="CA99" s="55" t="str">
        <f t="shared" si="121"/>
        <v/>
      </c>
      <c r="CB99" s="55" t="str">
        <f t="shared" si="121"/>
        <v/>
      </c>
      <c r="CC99" s="55" t="str">
        <f t="shared" si="121"/>
        <v/>
      </c>
      <c r="CD99" s="55" t="str">
        <f t="shared" si="121"/>
        <v/>
      </c>
      <c r="CE99" s="55" t="str">
        <f t="shared" si="121"/>
        <v/>
      </c>
      <c r="CF99" s="55" t="str">
        <f t="shared" si="121"/>
        <v/>
      </c>
      <c r="CG99" s="55" t="str">
        <f t="shared" si="121"/>
        <v/>
      </c>
      <c r="CH99" s="55" t="str">
        <f t="shared" si="121"/>
        <v/>
      </c>
      <c r="CI99" s="55" t="str">
        <f t="shared" si="121"/>
        <v/>
      </c>
      <c r="CJ99" s="55" t="str">
        <f t="shared" si="131"/>
        <v/>
      </c>
      <c r="CK99" s="55" t="str">
        <f t="shared" si="131"/>
        <v/>
      </c>
      <c r="CL99" s="55" t="str">
        <f t="shared" si="131"/>
        <v/>
      </c>
      <c r="CM99" s="55" t="str">
        <f t="shared" si="131"/>
        <v/>
      </c>
      <c r="CN99" s="55" t="str">
        <f t="shared" si="131"/>
        <v/>
      </c>
      <c r="CO99" s="55" t="str">
        <f t="shared" si="106"/>
        <v/>
      </c>
      <c r="CP99" s="55" t="str">
        <f t="shared" si="106"/>
        <v/>
      </c>
      <c r="CQ99" s="55" t="str">
        <f t="shared" si="106"/>
        <v/>
      </c>
      <c r="CR99" s="55" t="str">
        <f t="shared" si="106"/>
        <v/>
      </c>
      <c r="CS99" s="55" t="str">
        <f t="shared" si="106"/>
        <v/>
      </c>
      <c r="CT99" s="55" t="str">
        <f t="shared" si="106"/>
        <v/>
      </c>
      <c r="CU99" s="55" t="str">
        <f t="shared" si="106"/>
        <v/>
      </c>
      <c r="CV99" s="55" t="str">
        <f t="shared" si="106"/>
        <v/>
      </c>
      <c r="CW99" s="55" t="str">
        <f t="shared" si="106"/>
        <v/>
      </c>
      <c r="CX99" s="55" t="str">
        <f t="shared" si="106"/>
        <v/>
      </c>
      <c r="CY99" s="55" t="str">
        <f t="shared" si="106"/>
        <v/>
      </c>
      <c r="CZ99" s="55" t="str">
        <f t="shared" si="106"/>
        <v/>
      </c>
      <c r="DA99" s="55" t="str">
        <f t="shared" si="106"/>
        <v/>
      </c>
      <c r="DB99" s="55" t="str">
        <f t="shared" si="106"/>
        <v/>
      </c>
      <c r="DC99" s="55" t="str">
        <f t="shared" si="106"/>
        <v/>
      </c>
      <c r="DD99" s="55" t="str">
        <f t="shared" si="106"/>
        <v/>
      </c>
      <c r="DE99" s="55" t="str">
        <f t="shared" si="125"/>
        <v/>
      </c>
      <c r="DF99" s="55" t="str">
        <f t="shared" si="125"/>
        <v/>
      </c>
      <c r="DG99" s="55" t="str">
        <f t="shared" si="125"/>
        <v/>
      </c>
      <c r="DH99" s="55" t="str">
        <f t="shared" si="125"/>
        <v/>
      </c>
      <c r="DI99" s="55" t="str">
        <f t="shared" si="125"/>
        <v/>
      </c>
      <c r="DJ99" s="55" t="str">
        <f t="shared" si="125"/>
        <v/>
      </c>
      <c r="DK99" s="55" t="str">
        <f t="shared" si="125"/>
        <v/>
      </c>
      <c r="DL99" s="55" t="str">
        <f t="shared" si="125"/>
        <v/>
      </c>
      <c r="DM99" s="55" t="str">
        <f t="shared" si="125"/>
        <v/>
      </c>
      <c r="DN99" s="55" t="str">
        <f t="shared" si="125"/>
        <v/>
      </c>
      <c r="DO99" s="55" t="str">
        <f t="shared" si="125"/>
        <v/>
      </c>
      <c r="DP99" s="55" t="str">
        <f t="shared" si="96"/>
        <v/>
      </c>
      <c r="DQ99" s="55" t="str">
        <f t="shared" si="96"/>
        <v/>
      </c>
      <c r="DR99" s="55" t="str">
        <f t="shared" si="96"/>
        <v/>
      </c>
      <c r="DS99" s="55" t="str">
        <f t="shared" si="96"/>
        <v/>
      </c>
      <c r="DT99" s="110" t="str">
        <f t="shared" si="96"/>
        <v/>
      </c>
      <c r="DU99" s="54"/>
      <c r="DV99" s="25"/>
      <c r="DW99" s="61" t="str">
        <f t="shared" si="122"/>
        <v/>
      </c>
      <c r="DX99" s="50" t="str">
        <f t="shared" si="122"/>
        <v/>
      </c>
      <c r="DY99" s="50" t="str">
        <f t="shared" si="122"/>
        <v/>
      </c>
      <c r="DZ99" s="50" t="str">
        <f t="shared" si="122"/>
        <v/>
      </c>
      <c r="EA99" s="50" t="str">
        <f t="shared" si="122"/>
        <v/>
      </c>
      <c r="EB99" s="50" t="str">
        <f t="shared" si="122"/>
        <v/>
      </c>
      <c r="EC99" s="50" t="str">
        <f t="shared" si="122"/>
        <v/>
      </c>
      <c r="ED99" s="50" t="str">
        <f t="shared" si="122"/>
        <v/>
      </c>
      <c r="EE99" s="50" t="str">
        <f t="shared" si="122"/>
        <v/>
      </c>
      <c r="EF99" s="50" t="str">
        <f t="shared" si="122"/>
        <v/>
      </c>
      <c r="EG99" s="50" t="str">
        <f t="shared" si="122"/>
        <v/>
      </c>
      <c r="EH99" s="50" t="str">
        <f t="shared" si="122"/>
        <v/>
      </c>
      <c r="EI99" s="50" t="str">
        <f t="shared" si="122"/>
        <v/>
      </c>
      <c r="EJ99" s="50" t="str">
        <f t="shared" si="122"/>
        <v/>
      </c>
      <c r="EK99" s="50" t="str">
        <f t="shared" si="122"/>
        <v/>
      </c>
      <c r="EL99" s="50" t="str">
        <f t="shared" si="122"/>
        <v/>
      </c>
      <c r="EM99" s="50" t="str">
        <f t="shared" si="132"/>
        <v/>
      </c>
      <c r="EN99" s="50" t="str">
        <f t="shared" si="132"/>
        <v/>
      </c>
      <c r="EO99" s="50" t="str">
        <f t="shared" si="132"/>
        <v/>
      </c>
      <c r="EP99" s="50" t="str">
        <f t="shared" si="132"/>
        <v/>
      </c>
      <c r="EQ99" s="50" t="str">
        <f t="shared" si="132"/>
        <v/>
      </c>
      <c r="ER99" s="50" t="str">
        <f t="shared" si="132"/>
        <v/>
      </c>
      <c r="ES99" s="50" t="str">
        <f t="shared" si="132"/>
        <v/>
      </c>
      <c r="ET99" s="50" t="str">
        <f t="shared" si="132"/>
        <v/>
      </c>
      <c r="EU99" s="50" t="str">
        <f t="shared" si="132"/>
        <v/>
      </c>
      <c r="EV99" s="50" t="str">
        <f t="shared" si="132"/>
        <v/>
      </c>
      <c r="EW99" s="50" t="str">
        <f t="shared" si="132"/>
        <v/>
      </c>
      <c r="EX99" s="50" t="str">
        <f t="shared" si="132"/>
        <v/>
      </c>
      <c r="EY99" s="50" t="str">
        <f t="shared" si="132"/>
        <v/>
      </c>
      <c r="EZ99" s="50" t="str">
        <f t="shared" si="132"/>
        <v/>
      </c>
      <c r="FA99" s="50" t="str">
        <f t="shared" si="132"/>
        <v/>
      </c>
      <c r="FB99" s="50" t="str">
        <f t="shared" si="132"/>
        <v/>
      </c>
      <c r="FC99" s="50" t="str">
        <f t="shared" si="132"/>
        <v/>
      </c>
      <c r="FD99" s="50" t="str">
        <f t="shared" si="132"/>
        <v/>
      </c>
      <c r="FE99" s="50" t="str">
        <f t="shared" si="132"/>
        <v/>
      </c>
      <c r="FF99" s="50" t="str">
        <f t="shared" si="132"/>
        <v/>
      </c>
      <c r="FG99" s="50" t="str">
        <f t="shared" si="132"/>
        <v/>
      </c>
      <c r="FH99" s="50" t="str">
        <f t="shared" si="132"/>
        <v/>
      </c>
      <c r="FI99" s="50" t="str">
        <f t="shared" si="132"/>
        <v/>
      </c>
      <c r="FJ99" s="50" t="str">
        <f t="shared" si="132"/>
        <v/>
      </c>
      <c r="FK99" s="50" t="str">
        <f t="shared" si="132"/>
        <v/>
      </c>
      <c r="FL99" s="50" t="str">
        <f t="shared" si="132"/>
        <v/>
      </c>
      <c r="FM99" s="50" t="str">
        <f t="shared" si="132"/>
        <v/>
      </c>
      <c r="FN99" s="50" t="str">
        <f t="shared" si="132"/>
        <v/>
      </c>
      <c r="FO99" s="50" t="str">
        <f t="shared" si="132"/>
        <v/>
      </c>
      <c r="FP99" s="50" t="str">
        <f t="shared" si="132"/>
        <v/>
      </c>
      <c r="FQ99" s="50" t="str">
        <f t="shared" si="132"/>
        <v/>
      </c>
      <c r="FR99" s="50" t="str">
        <f t="shared" si="132"/>
        <v/>
      </c>
      <c r="FS99" s="50" t="str">
        <f t="shared" si="132"/>
        <v/>
      </c>
      <c r="FT99" s="50" t="str">
        <f t="shared" si="132"/>
        <v/>
      </c>
      <c r="FU99" s="50" t="str">
        <f t="shared" si="132"/>
        <v/>
      </c>
      <c r="FV99" s="50" t="str">
        <f t="shared" si="132"/>
        <v/>
      </c>
      <c r="FW99" s="50" t="str">
        <f t="shared" si="132"/>
        <v/>
      </c>
      <c r="FX99" s="50" t="str">
        <f t="shared" si="132"/>
        <v/>
      </c>
      <c r="FY99" s="50" t="str">
        <f t="shared" si="132"/>
        <v/>
      </c>
      <c r="FZ99" s="50" t="str">
        <f t="shared" si="132"/>
        <v/>
      </c>
      <c r="GA99" s="50" t="str">
        <f t="shared" si="132"/>
        <v/>
      </c>
      <c r="GB99" s="50" t="str">
        <f t="shared" si="132"/>
        <v/>
      </c>
      <c r="GC99" s="50" t="str">
        <f t="shared" si="132"/>
        <v/>
      </c>
      <c r="GD99" s="50" t="str">
        <f t="shared" si="132"/>
        <v/>
      </c>
      <c r="GE99" s="50" t="str">
        <f t="shared" si="132"/>
        <v/>
      </c>
      <c r="GF99" s="50" t="str">
        <f t="shared" si="132"/>
        <v/>
      </c>
      <c r="GG99" s="50" t="str">
        <f t="shared" si="132"/>
        <v/>
      </c>
      <c r="GH99" s="50" t="str">
        <f t="shared" si="132"/>
        <v/>
      </c>
      <c r="GI99" s="50" t="str">
        <f t="shared" si="113"/>
        <v/>
      </c>
      <c r="GJ99" s="50" t="str">
        <f t="shared" si="113"/>
        <v/>
      </c>
      <c r="GK99" s="50" t="str">
        <f t="shared" si="113"/>
        <v/>
      </c>
      <c r="GL99" s="50" t="str">
        <f t="shared" si="113"/>
        <v/>
      </c>
      <c r="GM99" s="50" t="str">
        <f t="shared" si="113"/>
        <v/>
      </c>
      <c r="GN99" s="50" t="str">
        <f t="shared" si="113"/>
        <v/>
      </c>
      <c r="GO99" s="50" t="str">
        <f t="shared" si="113"/>
        <v/>
      </c>
      <c r="GP99" s="50" t="str">
        <f t="shared" si="113"/>
        <v/>
      </c>
      <c r="GQ99" s="50" t="str">
        <f t="shared" si="113"/>
        <v/>
      </c>
      <c r="GR99" s="50" t="str">
        <f t="shared" si="113"/>
        <v/>
      </c>
      <c r="GS99" s="50" t="str">
        <f t="shared" si="113"/>
        <v/>
      </c>
      <c r="GT99" s="50" t="str">
        <f t="shared" si="113"/>
        <v/>
      </c>
      <c r="GU99" s="50" t="str">
        <f t="shared" si="113"/>
        <v/>
      </c>
      <c r="GV99" s="50" t="str">
        <f t="shared" si="113"/>
        <v/>
      </c>
      <c r="GW99" s="50" t="str">
        <f t="shared" si="113"/>
        <v/>
      </c>
      <c r="GX99" s="50" t="str">
        <f t="shared" si="113"/>
        <v/>
      </c>
      <c r="GY99" s="50" t="str">
        <f t="shared" si="113"/>
        <v/>
      </c>
      <c r="GZ99" s="50" t="str">
        <f t="shared" si="113"/>
        <v/>
      </c>
      <c r="HA99" s="50" t="str">
        <f t="shared" si="113"/>
        <v/>
      </c>
      <c r="HB99" s="50" t="str">
        <f t="shared" si="113"/>
        <v/>
      </c>
      <c r="HC99" s="50" t="str">
        <f t="shared" si="113"/>
        <v/>
      </c>
      <c r="HD99" s="50" t="str">
        <f t="shared" si="113"/>
        <v/>
      </c>
      <c r="HE99" s="50" t="str">
        <f t="shared" si="113"/>
        <v/>
      </c>
      <c r="HF99" s="50" t="str">
        <f t="shared" si="113"/>
        <v/>
      </c>
      <c r="HG99" s="50" t="str">
        <f t="shared" si="133"/>
        <v/>
      </c>
      <c r="HH99" s="50" t="str">
        <f t="shared" si="133"/>
        <v/>
      </c>
      <c r="HI99" s="50" t="str">
        <f t="shared" si="133"/>
        <v/>
      </c>
      <c r="HJ99" s="50" t="str">
        <f t="shared" si="133"/>
        <v/>
      </c>
      <c r="HK99" s="50" t="str">
        <f t="shared" si="133"/>
        <v/>
      </c>
      <c r="HL99" s="50" t="str">
        <f t="shared" si="133"/>
        <v/>
      </c>
      <c r="HM99" s="50" t="str">
        <f t="shared" si="133"/>
        <v/>
      </c>
      <c r="HN99" s="50" t="str">
        <f t="shared" si="133"/>
        <v/>
      </c>
      <c r="HO99" s="50" t="str">
        <f t="shared" si="133"/>
        <v/>
      </c>
      <c r="HP99" s="50" t="str">
        <f t="shared" si="133"/>
        <v/>
      </c>
      <c r="HQ99" s="50" t="str">
        <f t="shared" si="133"/>
        <v/>
      </c>
      <c r="HR99" s="116" t="str">
        <f t="shared" si="133"/>
        <v/>
      </c>
    </row>
    <row r="100" spans="1:226" ht="11.15" customHeight="1" x14ac:dyDescent="0.25">
      <c r="A100" s="26"/>
      <c r="B100" s="27"/>
      <c r="C100" s="28" t="str">
        <f>IF(A100=0,"",VLOOKUP(A100,[3]CO!$A$3:$F$5327,2,0))</f>
        <v/>
      </c>
      <c r="D100" s="29"/>
      <c r="E100" s="29"/>
      <c r="F100" s="29"/>
      <c r="G100" s="30" t="str">
        <f>IF(A100=0,"",VLOOKUP(A100,[3]CO!$A$3:$F$5327,3,0))</f>
        <v/>
      </c>
      <c r="H100" s="95"/>
      <c r="I100" s="31"/>
      <c r="J100" s="31"/>
      <c r="K100" s="31"/>
      <c r="L100" s="31"/>
      <c r="M100" s="32" t="str">
        <f t="shared" si="114"/>
        <v/>
      </c>
      <c r="N100" s="32" t="str">
        <f>IF(B100=0,"",IF(H100="M",HLOOKUP(B100,$Y$12:$DT$13,2),IF(A100=0,"",VLOOKUP(A100,[3]CO!$A$3:$F$5327,4,0))))</f>
        <v/>
      </c>
      <c r="O100" s="32" t="str">
        <f t="shared" si="115"/>
        <v/>
      </c>
      <c r="P100" s="33"/>
      <c r="Q100" s="34" t="str">
        <f t="shared" si="116"/>
        <v/>
      </c>
      <c r="R100" s="35" t="str">
        <f t="shared" si="117"/>
        <v/>
      </c>
      <c r="S100" s="98"/>
      <c r="T100" s="53" t="str">
        <f>IF(A100=0,"",VLOOKUP(A100,[3]CO!$A$3:$F$5318,5,0))</f>
        <v/>
      </c>
      <c r="U100" s="54">
        <f t="shared" si="118"/>
        <v>0</v>
      </c>
      <c r="V100" s="24"/>
      <c r="W100" s="25"/>
      <c r="X100" s="25"/>
      <c r="Y100" s="64" t="str">
        <f t="shared" si="119"/>
        <v/>
      </c>
      <c r="Z100" s="55" t="str">
        <f t="shared" si="119"/>
        <v/>
      </c>
      <c r="AA100" s="55" t="str">
        <f t="shared" si="119"/>
        <v/>
      </c>
      <c r="AB100" s="55" t="str">
        <f t="shared" si="119"/>
        <v/>
      </c>
      <c r="AC100" s="55" t="str">
        <f t="shared" si="119"/>
        <v/>
      </c>
      <c r="AD100" s="55" t="str">
        <f t="shared" si="119"/>
        <v/>
      </c>
      <c r="AE100" s="55" t="str">
        <f t="shared" si="119"/>
        <v/>
      </c>
      <c r="AF100" s="55" t="str">
        <f t="shared" si="119"/>
        <v/>
      </c>
      <c r="AG100" s="55" t="str">
        <f t="shared" si="119"/>
        <v/>
      </c>
      <c r="AH100" s="55" t="str">
        <f t="shared" si="119"/>
        <v/>
      </c>
      <c r="AI100" s="55" t="str">
        <f t="shared" si="119"/>
        <v/>
      </c>
      <c r="AJ100" s="55" t="str">
        <f t="shared" si="119"/>
        <v/>
      </c>
      <c r="AK100" s="55" t="str">
        <f t="shared" si="119"/>
        <v/>
      </c>
      <c r="AL100" s="55" t="str">
        <f t="shared" si="119"/>
        <v/>
      </c>
      <c r="AM100" s="55" t="str">
        <f t="shared" si="119"/>
        <v/>
      </c>
      <c r="AN100" s="55" t="str">
        <f t="shared" si="119"/>
        <v/>
      </c>
      <c r="AO100" s="55" t="str">
        <f t="shared" si="130"/>
        <v/>
      </c>
      <c r="AP100" s="55" t="str">
        <f t="shared" si="130"/>
        <v/>
      </c>
      <c r="AQ100" s="55" t="str">
        <f t="shared" si="130"/>
        <v/>
      </c>
      <c r="AR100" s="55" t="str">
        <f t="shared" si="130"/>
        <v/>
      </c>
      <c r="AS100" s="55" t="str">
        <f t="shared" si="130"/>
        <v/>
      </c>
      <c r="AT100" s="55" t="str">
        <f t="shared" si="130"/>
        <v/>
      </c>
      <c r="AU100" s="55" t="str">
        <f t="shared" si="130"/>
        <v/>
      </c>
      <c r="AV100" s="55" t="str">
        <f t="shared" si="130"/>
        <v/>
      </c>
      <c r="AW100" s="55" t="str">
        <f t="shared" si="130"/>
        <v/>
      </c>
      <c r="AX100" s="55" t="str">
        <f t="shared" si="130"/>
        <v/>
      </c>
      <c r="AY100" s="55" t="str">
        <f t="shared" si="130"/>
        <v/>
      </c>
      <c r="AZ100" s="55" t="str">
        <f t="shared" si="130"/>
        <v/>
      </c>
      <c r="BA100" s="55" t="str">
        <f t="shared" si="130"/>
        <v/>
      </c>
      <c r="BB100" s="55" t="str">
        <f t="shared" si="130"/>
        <v/>
      </c>
      <c r="BC100" s="55" t="str">
        <f t="shared" si="130"/>
        <v/>
      </c>
      <c r="BD100" s="55" t="str">
        <f t="shared" si="130"/>
        <v/>
      </c>
      <c r="BE100" s="55" t="str">
        <f t="shared" si="120"/>
        <v/>
      </c>
      <c r="BF100" s="55" t="str">
        <f t="shared" si="120"/>
        <v/>
      </c>
      <c r="BG100" s="55" t="str">
        <f t="shared" si="120"/>
        <v/>
      </c>
      <c r="BH100" s="55" t="str">
        <f t="shared" si="120"/>
        <v/>
      </c>
      <c r="BI100" s="55" t="str">
        <f t="shared" si="120"/>
        <v/>
      </c>
      <c r="BJ100" s="55" t="str">
        <f t="shared" si="120"/>
        <v/>
      </c>
      <c r="BK100" s="55" t="str">
        <f t="shared" si="120"/>
        <v/>
      </c>
      <c r="BL100" s="55" t="str">
        <f t="shared" si="120"/>
        <v/>
      </c>
      <c r="BM100" s="55" t="str">
        <f t="shared" si="120"/>
        <v/>
      </c>
      <c r="BN100" s="55" t="str">
        <f t="shared" si="120"/>
        <v/>
      </c>
      <c r="BO100" s="55" t="str">
        <f t="shared" si="120"/>
        <v/>
      </c>
      <c r="BP100" s="55" t="str">
        <f t="shared" si="120"/>
        <v/>
      </c>
      <c r="BQ100" s="55" t="str">
        <f t="shared" si="120"/>
        <v/>
      </c>
      <c r="BR100" s="55" t="str">
        <f t="shared" si="120"/>
        <v/>
      </c>
      <c r="BS100" s="55" t="str">
        <f t="shared" si="120"/>
        <v/>
      </c>
      <c r="BT100" s="55" t="str">
        <f t="shared" si="121"/>
        <v/>
      </c>
      <c r="BU100" s="55" t="str">
        <f t="shared" si="121"/>
        <v/>
      </c>
      <c r="BV100" s="55" t="str">
        <f t="shared" si="121"/>
        <v/>
      </c>
      <c r="BW100" s="55" t="str">
        <f t="shared" si="121"/>
        <v/>
      </c>
      <c r="BX100" s="55" t="str">
        <f t="shared" si="121"/>
        <v/>
      </c>
      <c r="BY100" s="55" t="str">
        <f t="shared" si="121"/>
        <v/>
      </c>
      <c r="BZ100" s="55" t="str">
        <f t="shared" si="121"/>
        <v/>
      </c>
      <c r="CA100" s="55" t="str">
        <f t="shared" si="121"/>
        <v/>
      </c>
      <c r="CB100" s="55" t="str">
        <f t="shared" si="121"/>
        <v/>
      </c>
      <c r="CC100" s="55" t="str">
        <f t="shared" si="121"/>
        <v/>
      </c>
      <c r="CD100" s="55" t="str">
        <f t="shared" si="121"/>
        <v/>
      </c>
      <c r="CE100" s="55" t="str">
        <f t="shared" si="121"/>
        <v/>
      </c>
      <c r="CF100" s="55" t="str">
        <f t="shared" si="121"/>
        <v/>
      </c>
      <c r="CG100" s="55" t="str">
        <f t="shared" si="121"/>
        <v/>
      </c>
      <c r="CH100" s="55" t="str">
        <f t="shared" si="121"/>
        <v/>
      </c>
      <c r="CI100" s="55" t="str">
        <f t="shared" si="121"/>
        <v/>
      </c>
      <c r="CJ100" s="55" t="str">
        <f t="shared" si="131"/>
        <v/>
      </c>
      <c r="CK100" s="55" t="str">
        <f t="shared" si="131"/>
        <v/>
      </c>
      <c r="CL100" s="55" t="str">
        <f t="shared" si="131"/>
        <v/>
      </c>
      <c r="CM100" s="55" t="str">
        <f t="shared" si="131"/>
        <v/>
      </c>
      <c r="CN100" s="55" t="str">
        <f t="shared" si="131"/>
        <v/>
      </c>
      <c r="CO100" s="55" t="str">
        <f t="shared" si="106"/>
        <v/>
      </c>
      <c r="CP100" s="55" t="str">
        <f t="shared" si="106"/>
        <v/>
      </c>
      <c r="CQ100" s="55" t="str">
        <f t="shared" si="106"/>
        <v/>
      </c>
      <c r="CR100" s="55" t="str">
        <f t="shared" si="106"/>
        <v/>
      </c>
      <c r="CS100" s="55" t="str">
        <f t="shared" si="106"/>
        <v/>
      </c>
      <c r="CT100" s="55" t="str">
        <f t="shared" si="106"/>
        <v/>
      </c>
      <c r="CU100" s="55" t="str">
        <f t="shared" si="106"/>
        <v/>
      </c>
      <c r="CV100" s="55" t="str">
        <f t="shared" si="106"/>
        <v/>
      </c>
      <c r="CW100" s="55" t="str">
        <f t="shared" si="106"/>
        <v/>
      </c>
      <c r="CX100" s="55" t="str">
        <f t="shared" si="106"/>
        <v/>
      </c>
      <c r="CY100" s="55" t="str">
        <f t="shared" si="106"/>
        <v/>
      </c>
      <c r="CZ100" s="55" t="str">
        <f t="shared" si="106"/>
        <v/>
      </c>
      <c r="DA100" s="55" t="str">
        <f t="shared" si="106"/>
        <v/>
      </c>
      <c r="DB100" s="55" t="str">
        <f t="shared" si="106"/>
        <v/>
      </c>
      <c r="DC100" s="55" t="str">
        <f t="shared" si="106"/>
        <v/>
      </c>
      <c r="DD100" s="55" t="str">
        <f t="shared" si="106"/>
        <v/>
      </c>
      <c r="DE100" s="55" t="str">
        <f t="shared" si="125"/>
        <v/>
      </c>
      <c r="DF100" s="55" t="str">
        <f t="shared" si="125"/>
        <v/>
      </c>
      <c r="DG100" s="55" t="str">
        <f t="shared" si="125"/>
        <v/>
      </c>
      <c r="DH100" s="55" t="str">
        <f t="shared" si="125"/>
        <v/>
      </c>
      <c r="DI100" s="55" t="str">
        <f t="shared" si="125"/>
        <v/>
      </c>
      <c r="DJ100" s="55" t="str">
        <f t="shared" si="125"/>
        <v/>
      </c>
      <c r="DK100" s="55" t="str">
        <f t="shared" si="125"/>
        <v/>
      </c>
      <c r="DL100" s="55" t="str">
        <f t="shared" si="125"/>
        <v/>
      </c>
      <c r="DM100" s="55" t="str">
        <f t="shared" si="125"/>
        <v/>
      </c>
      <c r="DN100" s="55" t="str">
        <f t="shared" si="125"/>
        <v/>
      </c>
      <c r="DO100" s="55" t="str">
        <f t="shared" si="125"/>
        <v/>
      </c>
      <c r="DP100" s="55" t="str">
        <f t="shared" si="96"/>
        <v/>
      </c>
      <c r="DQ100" s="55" t="str">
        <f t="shared" si="96"/>
        <v/>
      </c>
      <c r="DR100" s="55" t="str">
        <f t="shared" si="96"/>
        <v/>
      </c>
      <c r="DS100" s="55" t="str">
        <f t="shared" si="96"/>
        <v/>
      </c>
      <c r="DT100" s="110" t="str">
        <f t="shared" si="96"/>
        <v/>
      </c>
      <c r="DU100" s="54"/>
      <c r="DV100" s="25"/>
      <c r="DW100" s="61" t="str">
        <f t="shared" si="122"/>
        <v/>
      </c>
      <c r="DX100" s="50" t="str">
        <f t="shared" si="122"/>
        <v/>
      </c>
      <c r="DY100" s="50" t="str">
        <f t="shared" si="122"/>
        <v/>
      </c>
      <c r="DZ100" s="50" t="str">
        <f t="shared" si="122"/>
        <v/>
      </c>
      <c r="EA100" s="50" t="str">
        <f t="shared" si="122"/>
        <v/>
      </c>
      <c r="EB100" s="50" t="str">
        <f t="shared" si="122"/>
        <v/>
      </c>
      <c r="EC100" s="50" t="str">
        <f t="shared" si="122"/>
        <v/>
      </c>
      <c r="ED100" s="50" t="str">
        <f t="shared" si="122"/>
        <v/>
      </c>
      <c r="EE100" s="50" t="str">
        <f t="shared" si="122"/>
        <v/>
      </c>
      <c r="EF100" s="50" t="str">
        <f t="shared" si="122"/>
        <v/>
      </c>
      <c r="EG100" s="50" t="str">
        <f t="shared" si="122"/>
        <v/>
      </c>
      <c r="EH100" s="50" t="str">
        <f t="shared" si="122"/>
        <v/>
      </c>
      <c r="EI100" s="50" t="str">
        <f t="shared" si="122"/>
        <v/>
      </c>
      <c r="EJ100" s="50" t="str">
        <f t="shared" si="122"/>
        <v/>
      </c>
      <c r="EK100" s="50" t="str">
        <f t="shared" si="122"/>
        <v/>
      </c>
      <c r="EL100" s="50" t="str">
        <f t="shared" si="122"/>
        <v/>
      </c>
      <c r="EM100" s="50" t="str">
        <f t="shared" si="132"/>
        <v/>
      </c>
      <c r="EN100" s="50" t="str">
        <f t="shared" si="132"/>
        <v/>
      </c>
      <c r="EO100" s="50" t="str">
        <f t="shared" si="132"/>
        <v/>
      </c>
      <c r="EP100" s="50" t="str">
        <f t="shared" si="132"/>
        <v/>
      </c>
      <c r="EQ100" s="50" t="str">
        <f t="shared" si="132"/>
        <v/>
      </c>
      <c r="ER100" s="50" t="str">
        <f t="shared" si="132"/>
        <v/>
      </c>
      <c r="ES100" s="50" t="str">
        <f t="shared" si="132"/>
        <v/>
      </c>
      <c r="ET100" s="50" t="str">
        <f t="shared" si="132"/>
        <v/>
      </c>
      <c r="EU100" s="50" t="str">
        <f t="shared" si="132"/>
        <v/>
      </c>
      <c r="EV100" s="50" t="str">
        <f t="shared" si="132"/>
        <v/>
      </c>
      <c r="EW100" s="50" t="str">
        <f t="shared" si="132"/>
        <v/>
      </c>
      <c r="EX100" s="50" t="str">
        <f t="shared" si="132"/>
        <v/>
      </c>
      <c r="EY100" s="50" t="str">
        <f t="shared" si="132"/>
        <v/>
      </c>
      <c r="EZ100" s="50" t="str">
        <f t="shared" si="132"/>
        <v/>
      </c>
      <c r="FA100" s="50" t="str">
        <f t="shared" si="132"/>
        <v/>
      </c>
      <c r="FB100" s="50" t="str">
        <f t="shared" si="132"/>
        <v/>
      </c>
      <c r="FC100" s="50" t="str">
        <f t="shared" si="132"/>
        <v/>
      </c>
      <c r="FD100" s="50" t="str">
        <f t="shared" si="132"/>
        <v/>
      </c>
      <c r="FE100" s="50" t="str">
        <f t="shared" si="132"/>
        <v/>
      </c>
      <c r="FF100" s="50" t="str">
        <f t="shared" si="132"/>
        <v/>
      </c>
      <c r="FG100" s="50" t="str">
        <f t="shared" si="132"/>
        <v/>
      </c>
      <c r="FH100" s="50" t="str">
        <f t="shared" si="132"/>
        <v/>
      </c>
      <c r="FI100" s="50" t="str">
        <f t="shared" si="132"/>
        <v/>
      </c>
      <c r="FJ100" s="50" t="str">
        <f t="shared" si="132"/>
        <v/>
      </c>
      <c r="FK100" s="50" t="str">
        <f t="shared" si="132"/>
        <v/>
      </c>
      <c r="FL100" s="50" t="str">
        <f t="shared" si="132"/>
        <v/>
      </c>
      <c r="FM100" s="50" t="str">
        <f t="shared" si="132"/>
        <v/>
      </c>
      <c r="FN100" s="50" t="str">
        <f t="shared" si="132"/>
        <v/>
      </c>
      <c r="FO100" s="50" t="str">
        <f t="shared" si="132"/>
        <v/>
      </c>
      <c r="FP100" s="50" t="str">
        <f t="shared" si="132"/>
        <v/>
      </c>
      <c r="FQ100" s="50" t="str">
        <f t="shared" si="132"/>
        <v/>
      </c>
      <c r="FR100" s="50" t="str">
        <f t="shared" si="132"/>
        <v/>
      </c>
      <c r="FS100" s="50" t="str">
        <f t="shared" si="132"/>
        <v/>
      </c>
      <c r="FT100" s="50" t="str">
        <f t="shared" si="132"/>
        <v/>
      </c>
      <c r="FU100" s="50" t="str">
        <f t="shared" si="132"/>
        <v/>
      </c>
      <c r="FV100" s="50" t="str">
        <f t="shared" si="132"/>
        <v/>
      </c>
      <c r="FW100" s="50" t="str">
        <f t="shared" si="132"/>
        <v/>
      </c>
      <c r="FX100" s="50" t="str">
        <f t="shared" si="132"/>
        <v/>
      </c>
      <c r="FY100" s="50" t="str">
        <f t="shared" si="132"/>
        <v/>
      </c>
      <c r="FZ100" s="50" t="str">
        <f t="shared" si="132"/>
        <v/>
      </c>
      <c r="GA100" s="50" t="str">
        <f t="shared" si="132"/>
        <v/>
      </c>
      <c r="GB100" s="50" t="str">
        <f t="shared" si="132"/>
        <v/>
      </c>
      <c r="GC100" s="50" t="str">
        <f t="shared" si="132"/>
        <v/>
      </c>
      <c r="GD100" s="50" t="str">
        <f t="shared" si="132"/>
        <v/>
      </c>
      <c r="GE100" s="50" t="str">
        <f t="shared" si="132"/>
        <v/>
      </c>
      <c r="GF100" s="50" t="str">
        <f t="shared" si="132"/>
        <v/>
      </c>
      <c r="GG100" s="50" t="str">
        <f t="shared" si="132"/>
        <v/>
      </c>
      <c r="GH100" s="50" t="str">
        <f t="shared" si="132"/>
        <v/>
      </c>
      <c r="GI100" s="50" t="str">
        <f t="shared" si="113"/>
        <v/>
      </c>
      <c r="GJ100" s="50" t="str">
        <f t="shared" si="113"/>
        <v/>
      </c>
      <c r="GK100" s="50" t="str">
        <f t="shared" si="113"/>
        <v/>
      </c>
      <c r="GL100" s="50" t="str">
        <f t="shared" si="113"/>
        <v/>
      </c>
      <c r="GM100" s="50" t="str">
        <f t="shared" si="113"/>
        <v/>
      </c>
      <c r="GN100" s="50" t="str">
        <f t="shared" si="113"/>
        <v/>
      </c>
      <c r="GO100" s="50" t="str">
        <f t="shared" si="113"/>
        <v/>
      </c>
      <c r="GP100" s="50" t="str">
        <f t="shared" si="113"/>
        <v/>
      </c>
      <c r="GQ100" s="50" t="str">
        <f t="shared" si="113"/>
        <v/>
      </c>
      <c r="GR100" s="50" t="str">
        <f t="shared" si="113"/>
        <v/>
      </c>
      <c r="GS100" s="50" t="str">
        <f t="shared" si="113"/>
        <v/>
      </c>
      <c r="GT100" s="50" t="str">
        <f t="shared" si="113"/>
        <v/>
      </c>
      <c r="GU100" s="50" t="str">
        <f t="shared" si="113"/>
        <v/>
      </c>
      <c r="GV100" s="50" t="str">
        <f t="shared" si="113"/>
        <v/>
      </c>
      <c r="GW100" s="50" t="str">
        <f t="shared" si="113"/>
        <v/>
      </c>
      <c r="GX100" s="50" t="str">
        <f t="shared" si="113"/>
        <v/>
      </c>
      <c r="GY100" s="50" t="str">
        <f t="shared" si="113"/>
        <v/>
      </c>
      <c r="GZ100" s="50" t="str">
        <f t="shared" si="113"/>
        <v/>
      </c>
      <c r="HA100" s="50" t="str">
        <f t="shared" si="113"/>
        <v/>
      </c>
      <c r="HB100" s="50" t="str">
        <f t="shared" si="113"/>
        <v/>
      </c>
      <c r="HC100" s="50" t="str">
        <f t="shared" si="113"/>
        <v/>
      </c>
      <c r="HD100" s="50" t="str">
        <f t="shared" si="113"/>
        <v/>
      </c>
      <c r="HE100" s="50" t="str">
        <f t="shared" si="113"/>
        <v/>
      </c>
      <c r="HF100" s="50" t="str">
        <f t="shared" si="113"/>
        <v/>
      </c>
      <c r="HG100" s="50" t="str">
        <f t="shared" si="133"/>
        <v/>
      </c>
      <c r="HH100" s="50" t="str">
        <f t="shared" si="133"/>
        <v/>
      </c>
      <c r="HI100" s="50" t="str">
        <f t="shared" si="133"/>
        <v/>
      </c>
      <c r="HJ100" s="50" t="str">
        <f t="shared" si="133"/>
        <v/>
      </c>
      <c r="HK100" s="50" t="str">
        <f t="shared" si="133"/>
        <v/>
      </c>
      <c r="HL100" s="50" t="str">
        <f t="shared" si="133"/>
        <v/>
      </c>
      <c r="HM100" s="50" t="str">
        <f t="shared" si="133"/>
        <v/>
      </c>
      <c r="HN100" s="50" t="str">
        <f t="shared" si="133"/>
        <v/>
      </c>
      <c r="HO100" s="50" t="str">
        <f t="shared" si="133"/>
        <v/>
      </c>
      <c r="HP100" s="50" t="str">
        <f t="shared" si="133"/>
        <v/>
      </c>
      <c r="HQ100" s="50" t="str">
        <f t="shared" si="133"/>
        <v/>
      </c>
      <c r="HR100" s="116" t="str">
        <f t="shared" si="133"/>
        <v/>
      </c>
    </row>
    <row r="101" spans="1:226" ht="11.15" customHeight="1" x14ac:dyDescent="0.25">
      <c r="A101" s="26"/>
      <c r="B101" s="27"/>
      <c r="C101" s="28" t="str">
        <f>IF(A101=0,"",VLOOKUP(A101,[3]CO!$A$3:$F$5327,2,0))</f>
        <v/>
      </c>
      <c r="D101" s="29"/>
      <c r="E101" s="29"/>
      <c r="F101" s="29"/>
      <c r="G101" s="30" t="str">
        <f>IF(A101=0,"",VLOOKUP(A101,[3]CO!$A$3:$F$5327,3,0))</f>
        <v/>
      </c>
      <c r="H101" s="95"/>
      <c r="I101" s="31"/>
      <c r="J101" s="31"/>
      <c r="K101" s="31"/>
      <c r="L101" s="31"/>
      <c r="M101" s="32" t="str">
        <f t="shared" si="114"/>
        <v/>
      </c>
      <c r="N101" s="32" t="str">
        <f>IF(B101=0,"",IF(H101="M",HLOOKUP(B101,$Y$12:$DT$13,2),IF(A101=0,"",VLOOKUP(A101,[3]CO!$A$3:$F$5327,4,0))))</f>
        <v/>
      </c>
      <c r="O101" s="32" t="str">
        <f t="shared" si="115"/>
        <v/>
      </c>
      <c r="P101" s="33"/>
      <c r="Q101" s="34" t="str">
        <f t="shared" si="116"/>
        <v/>
      </c>
      <c r="R101" s="35" t="str">
        <f t="shared" si="117"/>
        <v/>
      </c>
      <c r="S101" s="98"/>
      <c r="T101" s="53" t="str">
        <f>IF(A101=0,"",VLOOKUP(A101,[3]CO!$A$3:$F$5318,5,0))</f>
        <v/>
      </c>
      <c r="U101" s="54">
        <f t="shared" si="118"/>
        <v>0</v>
      </c>
      <c r="V101" s="24"/>
      <c r="W101" s="25"/>
      <c r="X101" s="25"/>
      <c r="Y101" s="64" t="str">
        <f t="shared" si="119"/>
        <v/>
      </c>
      <c r="Z101" s="55" t="str">
        <f t="shared" si="119"/>
        <v/>
      </c>
      <c r="AA101" s="55" t="str">
        <f t="shared" si="119"/>
        <v/>
      </c>
      <c r="AB101" s="55" t="str">
        <f t="shared" si="119"/>
        <v/>
      </c>
      <c r="AC101" s="55" t="str">
        <f t="shared" si="119"/>
        <v/>
      </c>
      <c r="AD101" s="55" t="str">
        <f t="shared" si="119"/>
        <v/>
      </c>
      <c r="AE101" s="55" t="str">
        <f t="shared" si="119"/>
        <v/>
      </c>
      <c r="AF101" s="55" t="str">
        <f t="shared" si="119"/>
        <v/>
      </c>
      <c r="AG101" s="55" t="str">
        <f t="shared" si="119"/>
        <v/>
      </c>
      <c r="AH101" s="55" t="str">
        <f t="shared" si="119"/>
        <v/>
      </c>
      <c r="AI101" s="55" t="str">
        <f t="shared" si="119"/>
        <v/>
      </c>
      <c r="AJ101" s="55" t="str">
        <f t="shared" si="119"/>
        <v/>
      </c>
      <c r="AK101" s="55" t="str">
        <f t="shared" si="119"/>
        <v/>
      </c>
      <c r="AL101" s="55" t="str">
        <f t="shared" si="119"/>
        <v/>
      </c>
      <c r="AM101" s="55" t="str">
        <f t="shared" si="119"/>
        <v/>
      </c>
      <c r="AN101" s="55" t="str">
        <f t="shared" si="119"/>
        <v/>
      </c>
      <c r="AO101" s="55" t="str">
        <f t="shared" si="130"/>
        <v/>
      </c>
      <c r="AP101" s="55" t="str">
        <f t="shared" si="130"/>
        <v/>
      </c>
      <c r="AQ101" s="55" t="str">
        <f t="shared" si="130"/>
        <v/>
      </c>
      <c r="AR101" s="55" t="str">
        <f t="shared" si="130"/>
        <v/>
      </c>
      <c r="AS101" s="55" t="str">
        <f t="shared" si="130"/>
        <v/>
      </c>
      <c r="AT101" s="55" t="str">
        <f t="shared" si="130"/>
        <v/>
      </c>
      <c r="AU101" s="55" t="str">
        <f t="shared" si="130"/>
        <v/>
      </c>
      <c r="AV101" s="55" t="str">
        <f t="shared" si="130"/>
        <v/>
      </c>
      <c r="AW101" s="55" t="str">
        <f t="shared" si="130"/>
        <v/>
      </c>
      <c r="AX101" s="55" t="str">
        <f t="shared" si="130"/>
        <v/>
      </c>
      <c r="AY101" s="55" t="str">
        <f t="shared" si="130"/>
        <v/>
      </c>
      <c r="AZ101" s="55" t="str">
        <f t="shared" si="130"/>
        <v/>
      </c>
      <c r="BA101" s="55" t="str">
        <f t="shared" si="130"/>
        <v/>
      </c>
      <c r="BB101" s="55" t="str">
        <f t="shared" si="130"/>
        <v/>
      </c>
      <c r="BC101" s="55" t="str">
        <f t="shared" si="130"/>
        <v/>
      </c>
      <c r="BD101" s="55" t="str">
        <f t="shared" si="130"/>
        <v/>
      </c>
      <c r="BE101" s="55" t="str">
        <f t="shared" si="120"/>
        <v/>
      </c>
      <c r="BF101" s="55" t="str">
        <f t="shared" si="120"/>
        <v/>
      </c>
      <c r="BG101" s="55" t="str">
        <f t="shared" si="120"/>
        <v/>
      </c>
      <c r="BH101" s="55" t="str">
        <f t="shared" si="120"/>
        <v/>
      </c>
      <c r="BI101" s="55" t="str">
        <f t="shared" si="120"/>
        <v/>
      </c>
      <c r="BJ101" s="55" t="str">
        <f t="shared" si="120"/>
        <v/>
      </c>
      <c r="BK101" s="55" t="str">
        <f t="shared" si="120"/>
        <v/>
      </c>
      <c r="BL101" s="55" t="str">
        <f t="shared" si="120"/>
        <v/>
      </c>
      <c r="BM101" s="55" t="str">
        <f t="shared" si="120"/>
        <v/>
      </c>
      <c r="BN101" s="55" t="str">
        <f t="shared" si="120"/>
        <v/>
      </c>
      <c r="BO101" s="55" t="str">
        <f t="shared" si="120"/>
        <v/>
      </c>
      <c r="BP101" s="55" t="str">
        <f t="shared" si="120"/>
        <v/>
      </c>
      <c r="BQ101" s="55" t="str">
        <f t="shared" si="120"/>
        <v/>
      </c>
      <c r="BR101" s="55" t="str">
        <f t="shared" si="120"/>
        <v/>
      </c>
      <c r="BS101" s="55" t="str">
        <f t="shared" si="120"/>
        <v/>
      </c>
      <c r="BT101" s="55" t="str">
        <f t="shared" si="121"/>
        <v/>
      </c>
      <c r="BU101" s="55" t="str">
        <f t="shared" si="121"/>
        <v/>
      </c>
      <c r="BV101" s="55" t="str">
        <f t="shared" si="121"/>
        <v/>
      </c>
      <c r="BW101" s="55" t="str">
        <f t="shared" si="121"/>
        <v/>
      </c>
      <c r="BX101" s="55" t="str">
        <f t="shared" si="121"/>
        <v/>
      </c>
      <c r="BY101" s="55" t="str">
        <f t="shared" si="121"/>
        <v/>
      </c>
      <c r="BZ101" s="55" t="str">
        <f t="shared" si="121"/>
        <v/>
      </c>
      <c r="CA101" s="55" t="str">
        <f t="shared" si="121"/>
        <v/>
      </c>
      <c r="CB101" s="55" t="str">
        <f t="shared" si="121"/>
        <v/>
      </c>
      <c r="CC101" s="55" t="str">
        <f t="shared" si="121"/>
        <v/>
      </c>
      <c r="CD101" s="55" t="str">
        <f t="shared" si="121"/>
        <v/>
      </c>
      <c r="CE101" s="55" t="str">
        <f t="shared" si="121"/>
        <v/>
      </c>
      <c r="CF101" s="55" t="str">
        <f t="shared" si="121"/>
        <v/>
      </c>
      <c r="CG101" s="55" t="str">
        <f t="shared" si="121"/>
        <v/>
      </c>
      <c r="CH101" s="55" t="str">
        <f t="shared" si="121"/>
        <v/>
      </c>
      <c r="CI101" s="55" t="str">
        <f t="shared" si="121"/>
        <v/>
      </c>
      <c r="CJ101" s="55" t="str">
        <f t="shared" si="131"/>
        <v/>
      </c>
      <c r="CK101" s="55" t="str">
        <f t="shared" si="131"/>
        <v/>
      </c>
      <c r="CL101" s="55" t="str">
        <f t="shared" si="131"/>
        <v/>
      </c>
      <c r="CM101" s="55" t="str">
        <f t="shared" si="131"/>
        <v/>
      </c>
      <c r="CN101" s="55" t="str">
        <f t="shared" si="131"/>
        <v/>
      </c>
      <c r="CO101" s="55" t="str">
        <f t="shared" si="106"/>
        <v/>
      </c>
      <c r="CP101" s="55" t="str">
        <f t="shared" si="106"/>
        <v/>
      </c>
      <c r="CQ101" s="55" t="str">
        <f t="shared" si="106"/>
        <v/>
      </c>
      <c r="CR101" s="55" t="str">
        <f t="shared" si="106"/>
        <v/>
      </c>
      <c r="CS101" s="55" t="str">
        <f t="shared" si="106"/>
        <v/>
      </c>
      <c r="CT101" s="55" t="str">
        <f t="shared" si="106"/>
        <v/>
      </c>
      <c r="CU101" s="55" t="str">
        <f t="shared" si="106"/>
        <v/>
      </c>
      <c r="CV101" s="55" t="str">
        <f t="shared" si="106"/>
        <v/>
      </c>
      <c r="CW101" s="55" t="str">
        <f t="shared" si="106"/>
        <v/>
      </c>
      <c r="CX101" s="55" t="str">
        <f t="shared" si="106"/>
        <v/>
      </c>
      <c r="CY101" s="55" t="str">
        <f t="shared" si="106"/>
        <v/>
      </c>
      <c r="CZ101" s="55" t="str">
        <f t="shared" si="106"/>
        <v/>
      </c>
      <c r="DA101" s="55" t="str">
        <f t="shared" si="106"/>
        <v/>
      </c>
      <c r="DB101" s="55" t="str">
        <f t="shared" si="106"/>
        <v/>
      </c>
      <c r="DC101" s="55" t="str">
        <f t="shared" si="106"/>
        <v/>
      </c>
      <c r="DD101" s="55" t="str">
        <f t="shared" si="106"/>
        <v/>
      </c>
      <c r="DE101" s="55" t="str">
        <f t="shared" si="125"/>
        <v/>
      </c>
      <c r="DF101" s="55" t="str">
        <f t="shared" si="125"/>
        <v/>
      </c>
      <c r="DG101" s="55" t="str">
        <f t="shared" si="125"/>
        <v/>
      </c>
      <c r="DH101" s="55" t="str">
        <f t="shared" si="125"/>
        <v/>
      </c>
      <c r="DI101" s="55" t="str">
        <f t="shared" si="125"/>
        <v/>
      </c>
      <c r="DJ101" s="55" t="str">
        <f t="shared" si="125"/>
        <v/>
      </c>
      <c r="DK101" s="55" t="str">
        <f t="shared" si="125"/>
        <v/>
      </c>
      <c r="DL101" s="55" t="str">
        <f t="shared" si="125"/>
        <v/>
      </c>
      <c r="DM101" s="55" t="str">
        <f t="shared" si="125"/>
        <v/>
      </c>
      <c r="DN101" s="55" t="str">
        <f t="shared" si="125"/>
        <v/>
      </c>
      <c r="DO101" s="55" t="str">
        <f t="shared" si="125"/>
        <v/>
      </c>
      <c r="DP101" s="55" t="str">
        <f t="shared" si="96"/>
        <v/>
      </c>
      <c r="DQ101" s="55" t="str">
        <f t="shared" si="96"/>
        <v/>
      </c>
      <c r="DR101" s="55" t="str">
        <f t="shared" si="96"/>
        <v/>
      </c>
      <c r="DS101" s="55" t="str">
        <f t="shared" si="96"/>
        <v/>
      </c>
      <c r="DT101" s="110" t="str">
        <f t="shared" si="96"/>
        <v/>
      </c>
      <c r="DU101" s="54"/>
      <c r="DV101" s="25"/>
      <c r="DW101" s="61" t="str">
        <f t="shared" si="122"/>
        <v/>
      </c>
      <c r="DX101" s="50" t="str">
        <f t="shared" si="122"/>
        <v/>
      </c>
      <c r="DY101" s="50" t="str">
        <f t="shared" si="122"/>
        <v/>
      </c>
      <c r="DZ101" s="50" t="str">
        <f t="shared" si="122"/>
        <v/>
      </c>
      <c r="EA101" s="50" t="str">
        <f t="shared" si="122"/>
        <v/>
      </c>
      <c r="EB101" s="50" t="str">
        <f t="shared" si="122"/>
        <v/>
      </c>
      <c r="EC101" s="50" t="str">
        <f t="shared" si="122"/>
        <v/>
      </c>
      <c r="ED101" s="50" t="str">
        <f t="shared" si="122"/>
        <v/>
      </c>
      <c r="EE101" s="50" t="str">
        <f t="shared" si="122"/>
        <v/>
      </c>
      <c r="EF101" s="50" t="str">
        <f t="shared" si="122"/>
        <v/>
      </c>
      <c r="EG101" s="50" t="str">
        <f t="shared" si="122"/>
        <v/>
      </c>
      <c r="EH101" s="50" t="str">
        <f t="shared" si="122"/>
        <v/>
      </c>
      <c r="EI101" s="50" t="str">
        <f t="shared" si="122"/>
        <v/>
      </c>
      <c r="EJ101" s="50" t="str">
        <f t="shared" si="122"/>
        <v/>
      </c>
      <c r="EK101" s="50" t="str">
        <f t="shared" si="122"/>
        <v/>
      </c>
      <c r="EL101" s="50" t="str">
        <f t="shared" si="122"/>
        <v/>
      </c>
      <c r="EM101" s="50" t="str">
        <f t="shared" si="132"/>
        <v/>
      </c>
      <c r="EN101" s="50" t="str">
        <f t="shared" si="132"/>
        <v/>
      </c>
      <c r="EO101" s="50" t="str">
        <f t="shared" si="132"/>
        <v/>
      </c>
      <c r="EP101" s="50" t="str">
        <f t="shared" si="132"/>
        <v/>
      </c>
      <c r="EQ101" s="50" t="str">
        <f t="shared" si="132"/>
        <v/>
      </c>
      <c r="ER101" s="50" t="str">
        <f t="shared" si="132"/>
        <v/>
      </c>
      <c r="ES101" s="50" t="str">
        <f t="shared" si="132"/>
        <v/>
      </c>
      <c r="ET101" s="50" t="str">
        <f t="shared" si="132"/>
        <v/>
      </c>
      <c r="EU101" s="50" t="str">
        <f t="shared" si="132"/>
        <v/>
      </c>
      <c r="EV101" s="50" t="str">
        <f t="shared" si="132"/>
        <v/>
      </c>
      <c r="EW101" s="50" t="str">
        <f t="shared" si="132"/>
        <v/>
      </c>
      <c r="EX101" s="50" t="str">
        <f t="shared" si="132"/>
        <v/>
      </c>
      <c r="EY101" s="50" t="str">
        <f t="shared" si="132"/>
        <v/>
      </c>
      <c r="EZ101" s="50" t="str">
        <f t="shared" si="132"/>
        <v/>
      </c>
      <c r="FA101" s="50" t="str">
        <f t="shared" si="132"/>
        <v/>
      </c>
      <c r="FB101" s="50" t="str">
        <f t="shared" si="132"/>
        <v/>
      </c>
      <c r="FC101" s="50" t="str">
        <f t="shared" si="132"/>
        <v/>
      </c>
      <c r="FD101" s="50" t="str">
        <f t="shared" si="132"/>
        <v/>
      </c>
      <c r="FE101" s="50" t="str">
        <f t="shared" si="132"/>
        <v/>
      </c>
      <c r="FF101" s="50" t="str">
        <f t="shared" si="132"/>
        <v/>
      </c>
      <c r="FG101" s="50" t="str">
        <f t="shared" si="132"/>
        <v/>
      </c>
      <c r="FH101" s="50" t="str">
        <f t="shared" si="132"/>
        <v/>
      </c>
      <c r="FI101" s="50" t="str">
        <f t="shared" si="132"/>
        <v/>
      </c>
      <c r="FJ101" s="50" t="str">
        <f t="shared" si="132"/>
        <v/>
      </c>
      <c r="FK101" s="50" t="str">
        <f t="shared" si="132"/>
        <v/>
      </c>
      <c r="FL101" s="50" t="str">
        <f t="shared" si="132"/>
        <v/>
      </c>
      <c r="FM101" s="50" t="str">
        <f t="shared" si="132"/>
        <v/>
      </c>
      <c r="FN101" s="50" t="str">
        <f t="shared" si="132"/>
        <v/>
      </c>
      <c r="FO101" s="50" t="str">
        <f t="shared" si="132"/>
        <v/>
      </c>
      <c r="FP101" s="50" t="str">
        <f t="shared" si="132"/>
        <v/>
      </c>
      <c r="FQ101" s="50" t="str">
        <f t="shared" si="132"/>
        <v/>
      </c>
      <c r="FR101" s="50" t="str">
        <f t="shared" si="132"/>
        <v/>
      </c>
      <c r="FS101" s="50" t="str">
        <f t="shared" si="132"/>
        <v/>
      </c>
      <c r="FT101" s="50" t="str">
        <f t="shared" si="132"/>
        <v/>
      </c>
      <c r="FU101" s="50" t="str">
        <f t="shared" si="132"/>
        <v/>
      </c>
      <c r="FV101" s="50" t="str">
        <f t="shared" si="132"/>
        <v/>
      </c>
      <c r="FW101" s="50" t="str">
        <f t="shared" si="132"/>
        <v/>
      </c>
      <c r="FX101" s="50" t="str">
        <f t="shared" si="132"/>
        <v/>
      </c>
      <c r="FY101" s="50" t="str">
        <f t="shared" si="132"/>
        <v/>
      </c>
      <c r="FZ101" s="50" t="str">
        <f t="shared" si="132"/>
        <v/>
      </c>
      <c r="GA101" s="50" t="str">
        <f t="shared" si="132"/>
        <v/>
      </c>
      <c r="GB101" s="50" t="str">
        <f t="shared" si="132"/>
        <v/>
      </c>
      <c r="GC101" s="50" t="str">
        <f t="shared" si="132"/>
        <v/>
      </c>
      <c r="GD101" s="50" t="str">
        <f t="shared" si="132"/>
        <v/>
      </c>
      <c r="GE101" s="50" t="str">
        <f t="shared" si="132"/>
        <v/>
      </c>
      <c r="GF101" s="50" t="str">
        <f t="shared" si="132"/>
        <v/>
      </c>
      <c r="GG101" s="50" t="str">
        <f t="shared" si="132"/>
        <v/>
      </c>
      <c r="GH101" s="50" t="str">
        <f t="shared" si="132"/>
        <v/>
      </c>
      <c r="GI101" s="50" t="str">
        <f t="shared" si="113"/>
        <v/>
      </c>
      <c r="GJ101" s="50" t="str">
        <f t="shared" si="113"/>
        <v/>
      </c>
      <c r="GK101" s="50" t="str">
        <f t="shared" si="113"/>
        <v/>
      </c>
      <c r="GL101" s="50" t="str">
        <f t="shared" si="113"/>
        <v/>
      </c>
      <c r="GM101" s="50" t="str">
        <f t="shared" si="113"/>
        <v/>
      </c>
      <c r="GN101" s="50" t="str">
        <f t="shared" si="113"/>
        <v/>
      </c>
      <c r="GO101" s="50" t="str">
        <f t="shared" si="113"/>
        <v/>
      </c>
      <c r="GP101" s="50" t="str">
        <f t="shared" si="113"/>
        <v/>
      </c>
      <c r="GQ101" s="50" t="str">
        <f t="shared" si="113"/>
        <v/>
      </c>
      <c r="GR101" s="50" t="str">
        <f t="shared" si="113"/>
        <v/>
      </c>
      <c r="GS101" s="50" t="str">
        <f t="shared" si="113"/>
        <v/>
      </c>
      <c r="GT101" s="50" t="str">
        <f t="shared" si="113"/>
        <v/>
      </c>
      <c r="GU101" s="50" t="str">
        <f t="shared" si="113"/>
        <v/>
      </c>
      <c r="GV101" s="50" t="str">
        <f t="shared" si="113"/>
        <v/>
      </c>
      <c r="GW101" s="50" t="str">
        <f t="shared" si="113"/>
        <v/>
      </c>
      <c r="GX101" s="50" t="str">
        <f t="shared" si="113"/>
        <v/>
      </c>
      <c r="GY101" s="50" t="str">
        <f t="shared" si="113"/>
        <v/>
      </c>
      <c r="GZ101" s="50" t="str">
        <f t="shared" si="113"/>
        <v/>
      </c>
      <c r="HA101" s="50" t="str">
        <f t="shared" si="113"/>
        <v/>
      </c>
      <c r="HB101" s="50" t="str">
        <f t="shared" si="113"/>
        <v/>
      </c>
      <c r="HC101" s="50" t="str">
        <f t="shared" si="113"/>
        <v/>
      </c>
      <c r="HD101" s="50" t="str">
        <f t="shared" si="113"/>
        <v/>
      </c>
      <c r="HE101" s="50" t="str">
        <f t="shared" si="113"/>
        <v/>
      </c>
      <c r="HF101" s="50" t="str">
        <f t="shared" si="113"/>
        <v/>
      </c>
      <c r="HG101" s="50" t="str">
        <f t="shared" si="133"/>
        <v/>
      </c>
      <c r="HH101" s="50" t="str">
        <f t="shared" si="133"/>
        <v/>
      </c>
      <c r="HI101" s="50" t="str">
        <f t="shared" si="133"/>
        <v/>
      </c>
      <c r="HJ101" s="50" t="str">
        <f t="shared" si="133"/>
        <v/>
      </c>
      <c r="HK101" s="50" t="str">
        <f t="shared" si="133"/>
        <v/>
      </c>
      <c r="HL101" s="50" t="str">
        <f t="shared" si="133"/>
        <v/>
      </c>
      <c r="HM101" s="50" t="str">
        <f t="shared" si="133"/>
        <v/>
      </c>
      <c r="HN101" s="50" t="str">
        <f t="shared" si="133"/>
        <v/>
      </c>
      <c r="HO101" s="50" t="str">
        <f t="shared" si="133"/>
        <v/>
      </c>
      <c r="HP101" s="50" t="str">
        <f t="shared" si="133"/>
        <v/>
      </c>
      <c r="HQ101" s="50" t="str">
        <f t="shared" si="133"/>
        <v/>
      </c>
      <c r="HR101" s="116" t="str">
        <f t="shared" si="133"/>
        <v/>
      </c>
    </row>
    <row r="102" spans="1:226" ht="11.15" customHeight="1" x14ac:dyDescent="0.25">
      <c r="A102" s="26"/>
      <c r="B102" s="27"/>
      <c r="C102" s="28" t="str">
        <f>IF(A102=0,"",VLOOKUP(A102,[3]CO!$A$3:$F$5327,2,0))</f>
        <v/>
      </c>
      <c r="D102" s="29"/>
      <c r="E102" s="29"/>
      <c r="F102" s="29"/>
      <c r="G102" s="30" t="str">
        <f>IF(A102=0,"",VLOOKUP(A102,[3]CO!$A$3:$F$5327,3,0))</f>
        <v/>
      </c>
      <c r="H102" s="95"/>
      <c r="I102" s="31"/>
      <c r="J102" s="31"/>
      <c r="K102" s="31"/>
      <c r="L102" s="31"/>
      <c r="M102" s="32" t="str">
        <f t="shared" si="91"/>
        <v/>
      </c>
      <c r="N102" s="32" t="str">
        <f>IF(B102=0,"",IF(H102="M",HLOOKUP(B102,$Y$12:$DT$13,2),IF(A102=0,"",VLOOKUP(A102,[3]CO!$A$3:$F$5327,4,0))))</f>
        <v/>
      </c>
      <c r="O102" s="32" t="str">
        <f t="shared" si="11"/>
        <v/>
      </c>
      <c r="P102" s="33"/>
      <c r="Q102" s="34" t="str">
        <f t="shared" si="92"/>
        <v/>
      </c>
      <c r="R102" s="35" t="str">
        <f t="shared" si="100"/>
        <v/>
      </c>
      <c r="S102" s="98"/>
      <c r="T102" s="53" t="str">
        <f>IF(A102=0,"",VLOOKUP(A102,[3]CO!$A$3:$F$5318,5,0))</f>
        <v/>
      </c>
      <c r="U102" s="54">
        <f t="shared" si="93"/>
        <v>0</v>
      </c>
      <c r="V102" s="24"/>
      <c r="W102" s="25"/>
      <c r="X102" s="25"/>
      <c r="Y102" s="64" t="str">
        <f t="shared" si="119"/>
        <v/>
      </c>
      <c r="Z102" s="55" t="str">
        <f t="shared" si="119"/>
        <v/>
      </c>
      <c r="AA102" s="55" t="str">
        <f t="shared" si="119"/>
        <v/>
      </c>
      <c r="AB102" s="55" t="str">
        <f t="shared" si="119"/>
        <v/>
      </c>
      <c r="AC102" s="55" t="str">
        <f t="shared" si="119"/>
        <v/>
      </c>
      <c r="AD102" s="55" t="str">
        <f t="shared" si="119"/>
        <v/>
      </c>
      <c r="AE102" s="55" t="str">
        <f t="shared" si="119"/>
        <v/>
      </c>
      <c r="AF102" s="55" t="str">
        <f t="shared" si="119"/>
        <v/>
      </c>
      <c r="AG102" s="55" t="str">
        <f t="shared" si="119"/>
        <v/>
      </c>
      <c r="AH102" s="55" t="str">
        <f t="shared" si="119"/>
        <v/>
      </c>
      <c r="AI102" s="55" t="str">
        <f t="shared" si="119"/>
        <v/>
      </c>
      <c r="AJ102" s="55" t="str">
        <f t="shared" si="119"/>
        <v/>
      </c>
      <c r="AK102" s="55" t="str">
        <f t="shared" si="119"/>
        <v/>
      </c>
      <c r="AL102" s="55" t="str">
        <f t="shared" si="119"/>
        <v/>
      </c>
      <c r="AM102" s="55" t="str">
        <f t="shared" si="119"/>
        <v/>
      </c>
      <c r="AN102" s="55" t="str">
        <f t="shared" si="119"/>
        <v/>
      </c>
      <c r="AO102" s="55" t="str">
        <f t="shared" si="103"/>
        <v/>
      </c>
      <c r="AP102" s="55" t="str">
        <f t="shared" si="103"/>
        <v/>
      </c>
      <c r="AQ102" s="55" t="str">
        <f t="shared" si="103"/>
        <v/>
      </c>
      <c r="AR102" s="55" t="str">
        <f t="shared" si="103"/>
        <v/>
      </c>
      <c r="AS102" s="55" t="str">
        <f t="shared" si="103"/>
        <v/>
      </c>
      <c r="AT102" s="55" t="str">
        <f t="shared" si="103"/>
        <v/>
      </c>
      <c r="AU102" s="55" t="str">
        <f t="shared" si="103"/>
        <v/>
      </c>
      <c r="AV102" s="55" t="str">
        <f t="shared" si="103"/>
        <v/>
      </c>
      <c r="AW102" s="55" t="str">
        <f t="shared" si="103"/>
        <v/>
      </c>
      <c r="AX102" s="55" t="str">
        <f t="shared" si="103"/>
        <v/>
      </c>
      <c r="AY102" s="55" t="str">
        <f t="shared" si="103"/>
        <v/>
      </c>
      <c r="AZ102" s="55" t="str">
        <f t="shared" si="103"/>
        <v/>
      </c>
      <c r="BA102" s="55" t="str">
        <f t="shared" si="103"/>
        <v/>
      </c>
      <c r="BB102" s="55" t="str">
        <f t="shared" si="103"/>
        <v/>
      </c>
      <c r="BC102" s="55" t="str">
        <f t="shared" si="103"/>
        <v/>
      </c>
      <c r="BD102" s="55" t="str">
        <f t="shared" si="103"/>
        <v/>
      </c>
      <c r="BE102" s="55" t="str">
        <f t="shared" si="104"/>
        <v/>
      </c>
      <c r="BF102" s="55" t="str">
        <f t="shared" si="104"/>
        <v/>
      </c>
      <c r="BG102" s="55" t="str">
        <f t="shared" si="104"/>
        <v/>
      </c>
      <c r="BH102" s="55" t="str">
        <f t="shared" si="104"/>
        <v/>
      </c>
      <c r="BI102" s="55" t="str">
        <f t="shared" si="104"/>
        <v/>
      </c>
      <c r="BJ102" s="55" t="str">
        <f t="shared" si="104"/>
        <v/>
      </c>
      <c r="BK102" s="55" t="str">
        <f t="shared" si="104"/>
        <v/>
      </c>
      <c r="BL102" s="55" t="str">
        <f t="shared" si="104"/>
        <v/>
      </c>
      <c r="BM102" s="55" t="str">
        <f t="shared" si="104"/>
        <v/>
      </c>
      <c r="BN102" s="55" t="str">
        <f t="shared" si="104"/>
        <v/>
      </c>
      <c r="BO102" s="55" t="str">
        <f t="shared" si="104"/>
        <v/>
      </c>
      <c r="BP102" s="55" t="str">
        <f t="shared" si="104"/>
        <v/>
      </c>
      <c r="BQ102" s="55" t="str">
        <f t="shared" si="104"/>
        <v/>
      </c>
      <c r="BR102" s="55" t="str">
        <f t="shared" si="104"/>
        <v/>
      </c>
      <c r="BS102" s="55" t="str">
        <f t="shared" si="104"/>
        <v/>
      </c>
      <c r="BT102" s="55" t="str">
        <f t="shared" si="121"/>
        <v/>
      </c>
      <c r="BU102" s="55" t="str">
        <f t="shared" si="121"/>
        <v/>
      </c>
      <c r="BV102" s="55" t="str">
        <f t="shared" si="121"/>
        <v/>
      </c>
      <c r="BW102" s="55" t="str">
        <f t="shared" si="121"/>
        <v/>
      </c>
      <c r="BX102" s="55" t="str">
        <f t="shared" si="121"/>
        <v/>
      </c>
      <c r="BY102" s="55" t="str">
        <f t="shared" si="105"/>
        <v/>
      </c>
      <c r="BZ102" s="55" t="str">
        <f t="shared" si="105"/>
        <v/>
      </c>
      <c r="CA102" s="55" t="str">
        <f t="shared" si="105"/>
        <v/>
      </c>
      <c r="CB102" s="55" t="str">
        <f t="shared" si="105"/>
        <v/>
      </c>
      <c r="CC102" s="55" t="str">
        <f t="shared" si="105"/>
        <v/>
      </c>
      <c r="CD102" s="55" t="str">
        <f t="shared" si="105"/>
        <v/>
      </c>
      <c r="CE102" s="55" t="str">
        <f t="shared" si="105"/>
        <v/>
      </c>
      <c r="CF102" s="55" t="str">
        <f t="shared" si="105"/>
        <v/>
      </c>
      <c r="CG102" s="55" t="str">
        <f t="shared" si="105"/>
        <v/>
      </c>
      <c r="CH102" s="55" t="str">
        <f t="shared" si="105"/>
        <v/>
      </c>
      <c r="CI102" s="55" t="str">
        <f t="shared" si="105"/>
        <v/>
      </c>
      <c r="CJ102" s="55" t="str">
        <f t="shared" si="105"/>
        <v/>
      </c>
      <c r="CK102" s="55" t="str">
        <f t="shared" si="105"/>
        <v/>
      </c>
      <c r="CL102" s="55" t="str">
        <f t="shared" si="105"/>
        <v/>
      </c>
      <c r="CM102" s="55" t="str">
        <f t="shared" si="105"/>
        <v/>
      </c>
      <c r="CN102" s="55" t="str">
        <f t="shared" si="105"/>
        <v/>
      </c>
      <c r="CO102" s="55" t="str">
        <f t="shared" si="106"/>
        <v/>
      </c>
      <c r="CP102" s="55" t="str">
        <f t="shared" si="106"/>
        <v/>
      </c>
      <c r="CQ102" s="55" t="str">
        <f t="shared" si="106"/>
        <v/>
      </c>
      <c r="CR102" s="55" t="str">
        <f t="shared" si="106"/>
        <v/>
      </c>
      <c r="CS102" s="55" t="str">
        <f t="shared" si="106"/>
        <v/>
      </c>
      <c r="CT102" s="55" t="str">
        <f t="shared" si="106"/>
        <v/>
      </c>
      <c r="CU102" s="55" t="str">
        <f t="shared" si="106"/>
        <v/>
      </c>
      <c r="CV102" s="55" t="str">
        <f t="shared" si="106"/>
        <v/>
      </c>
      <c r="CW102" s="55" t="str">
        <f t="shared" si="106"/>
        <v/>
      </c>
      <c r="CX102" s="55" t="str">
        <f t="shared" si="106"/>
        <v/>
      </c>
      <c r="CY102" s="55" t="str">
        <f t="shared" si="106"/>
        <v/>
      </c>
      <c r="CZ102" s="55" t="str">
        <f t="shared" si="101"/>
        <v/>
      </c>
      <c r="DA102" s="55" t="str">
        <f t="shared" si="101"/>
        <v/>
      </c>
      <c r="DB102" s="55" t="str">
        <f t="shared" si="101"/>
        <v/>
      </c>
      <c r="DC102" s="55" t="str">
        <f t="shared" si="101"/>
        <v/>
      </c>
      <c r="DD102" s="55" t="str">
        <f t="shared" si="101"/>
        <v/>
      </c>
      <c r="DE102" s="55" t="str">
        <f t="shared" si="101"/>
        <v/>
      </c>
      <c r="DF102" s="55" t="str">
        <f t="shared" si="101"/>
        <v/>
      </c>
      <c r="DG102" s="55" t="str">
        <f t="shared" si="101"/>
        <v/>
      </c>
      <c r="DH102" s="55" t="str">
        <f t="shared" si="101"/>
        <v/>
      </c>
      <c r="DI102" s="55" t="str">
        <f t="shared" si="101"/>
        <v/>
      </c>
      <c r="DJ102" s="55" t="str">
        <f t="shared" si="101"/>
        <v/>
      </c>
      <c r="DK102" s="55" t="str">
        <f t="shared" si="101"/>
        <v/>
      </c>
      <c r="DL102" s="55" t="str">
        <f t="shared" si="101"/>
        <v/>
      </c>
      <c r="DM102" s="55" t="str">
        <f t="shared" si="101"/>
        <v/>
      </c>
      <c r="DN102" s="55" t="str">
        <f t="shared" si="101"/>
        <v/>
      </c>
      <c r="DO102" s="55" t="str">
        <f t="shared" si="101"/>
        <v/>
      </c>
      <c r="DP102" s="55" t="str">
        <f t="shared" si="96"/>
        <v/>
      </c>
      <c r="DQ102" s="55" t="str">
        <f t="shared" si="96"/>
        <v/>
      </c>
      <c r="DR102" s="55" t="str">
        <f t="shared" si="96"/>
        <v/>
      </c>
      <c r="DS102" s="55" t="str">
        <f t="shared" si="96"/>
        <v/>
      </c>
      <c r="DT102" s="110" t="str">
        <f t="shared" si="96"/>
        <v/>
      </c>
      <c r="DU102" s="54"/>
      <c r="DV102" s="25"/>
      <c r="DW102" s="61" t="str">
        <f t="shared" si="122"/>
        <v/>
      </c>
      <c r="DX102" s="50" t="str">
        <f t="shared" si="122"/>
        <v/>
      </c>
      <c r="DY102" s="50" t="str">
        <f t="shared" si="122"/>
        <v/>
      </c>
      <c r="DZ102" s="50" t="str">
        <f t="shared" si="122"/>
        <v/>
      </c>
      <c r="EA102" s="50" t="str">
        <f t="shared" si="122"/>
        <v/>
      </c>
      <c r="EB102" s="50" t="str">
        <f t="shared" si="122"/>
        <v/>
      </c>
      <c r="EC102" s="50" t="str">
        <f t="shared" si="122"/>
        <v/>
      </c>
      <c r="ED102" s="50" t="str">
        <f t="shared" si="122"/>
        <v/>
      </c>
      <c r="EE102" s="50" t="str">
        <f t="shared" si="122"/>
        <v/>
      </c>
      <c r="EF102" s="50" t="str">
        <f t="shared" si="122"/>
        <v/>
      </c>
      <c r="EG102" s="50" t="str">
        <f t="shared" si="122"/>
        <v/>
      </c>
      <c r="EH102" s="50" t="str">
        <f t="shared" si="122"/>
        <v/>
      </c>
      <c r="EI102" s="50" t="str">
        <f t="shared" si="122"/>
        <v/>
      </c>
      <c r="EJ102" s="50" t="str">
        <f t="shared" si="122"/>
        <v/>
      </c>
      <c r="EK102" s="50" t="str">
        <f t="shared" si="122"/>
        <v/>
      </c>
      <c r="EL102" s="50" t="str">
        <f t="shared" si="122"/>
        <v/>
      </c>
      <c r="EM102" s="50" t="str">
        <f t="shared" si="107"/>
        <v/>
      </c>
      <c r="EN102" s="50" t="str">
        <f t="shared" si="107"/>
        <v/>
      </c>
      <c r="EO102" s="50" t="str">
        <f t="shared" si="107"/>
        <v/>
      </c>
      <c r="EP102" s="50" t="str">
        <f t="shared" si="107"/>
        <v/>
      </c>
      <c r="EQ102" s="50" t="str">
        <f t="shared" si="107"/>
        <v/>
      </c>
      <c r="ER102" s="50" t="str">
        <f t="shared" si="107"/>
        <v/>
      </c>
      <c r="ES102" s="50" t="str">
        <f t="shared" si="107"/>
        <v/>
      </c>
      <c r="ET102" s="50" t="str">
        <f t="shared" si="107"/>
        <v/>
      </c>
      <c r="EU102" s="50" t="str">
        <f t="shared" si="107"/>
        <v/>
      </c>
      <c r="EV102" s="50" t="str">
        <f t="shared" si="107"/>
        <v/>
      </c>
      <c r="EW102" s="50" t="str">
        <f t="shared" si="107"/>
        <v/>
      </c>
      <c r="EX102" s="50" t="str">
        <f t="shared" si="107"/>
        <v/>
      </c>
      <c r="EY102" s="50" t="str">
        <f t="shared" si="107"/>
        <v/>
      </c>
      <c r="EZ102" s="50" t="str">
        <f t="shared" si="107"/>
        <v/>
      </c>
      <c r="FA102" s="50" t="str">
        <f t="shared" si="107"/>
        <v/>
      </c>
      <c r="FB102" s="50" t="str">
        <f t="shared" si="107"/>
        <v/>
      </c>
      <c r="FC102" s="50" t="str">
        <f t="shared" si="108"/>
        <v/>
      </c>
      <c r="FD102" s="50" t="str">
        <f t="shared" si="108"/>
        <v/>
      </c>
      <c r="FE102" s="50" t="str">
        <f t="shared" si="108"/>
        <v/>
      </c>
      <c r="FF102" s="50" t="str">
        <f t="shared" si="108"/>
        <v/>
      </c>
      <c r="FG102" s="50" t="str">
        <f t="shared" si="108"/>
        <v/>
      </c>
      <c r="FH102" s="50" t="str">
        <f t="shared" si="108"/>
        <v/>
      </c>
      <c r="FI102" s="50" t="str">
        <f t="shared" si="108"/>
        <v/>
      </c>
      <c r="FJ102" s="50" t="str">
        <f t="shared" si="108"/>
        <v/>
      </c>
      <c r="FK102" s="50" t="str">
        <f t="shared" si="108"/>
        <v/>
      </c>
      <c r="FL102" s="50" t="str">
        <f t="shared" si="108"/>
        <v/>
      </c>
      <c r="FM102" s="50" t="str">
        <f t="shared" si="108"/>
        <v/>
      </c>
      <c r="FN102" s="50" t="str">
        <f t="shared" si="108"/>
        <v/>
      </c>
      <c r="FO102" s="50" t="str">
        <f t="shared" si="108"/>
        <v/>
      </c>
      <c r="FP102" s="50" t="str">
        <f t="shared" si="108"/>
        <v/>
      </c>
      <c r="FQ102" s="50" t="str">
        <f t="shared" si="108"/>
        <v/>
      </c>
      <c r="FR102" s="50" t="str">
        <f t="shared" si="108"/>
        <v/>
      </c>
      <c r="FS102" s="50" t="str">
        <f t="shared" si="109"/>
        <v/>
      </c>
      <c r="FT102" s="50" t="str">
        <f t="shared" si="109"/>
        <v/>
      </c>
      <c r="FU102" s="50" t="str">
        <f t="shared" si="109"/>
        <v/>
      </c>
      <c r="FV102" s="50" t="str">
        <f t="shared" si="109"/>
        <v/>
      </c>
      <c r="FW102" s="50" t="str">
        <f t="shared" si="109"/>
        <v/>
      </c>
      <c r="FX102" s="50" t="str">
        <f t="shared" si="109"/>
        <v/>
      </c>
      <c r="FY102" s="50" t="str">
        <f t="shared" si="109"/>
        <v/>
      </c>
      <c r="FZ102" s="50" t="str">
        <f t="shared" si="109"/>
        <v/>
      </c>
      <c r="GA102" s="50" t="str">
        <f t="shared" si="109"/>
        <v/>
      </c>
      <c r="GB102" s="50" t="str">
        <f t="shared" si="109"/>
        <v/>
      </c>
      <c r="GC102" s="50" t="str">
        <f t="shared" si="109"/>
        <v/>
      </c>
      <c r="GD102" s="50" t="str">
        <f t="shared" si="109"/>
        <v/>
      </c>
      <c r="GE102" s="50" t="str">
        <f t="shared" si="109"/>
        <v/>
      </c>
      <c r="GF102" s="50" t="str">
        <f t="shared" si="109"/>
        <v/>
      </c>
      <c r="GG102" s="50" t="str">
        <f t="shared" si="109"/>
        <v/>
      </c>
      <c r="GH102" s="50" t="str">
        <f t="shared" si="109"/>
        <v/>
      </c>
      <c r="GI102" s="50" t="str">
        <f t="shared" si="113"/>
        <v/>
      </c>
      <c r="GJ102" s="50" t="str">
        <f t="shared" si="113"/>
        <v/>
      </c>
      <c r="GK102" s="50" t="str">
        <f t="shared" si="113"/>
        <v/>
      </c>
      <c r="GL102" s="50" t="str">
        <f t="shared" si="113"/>
        <v/>
      </c>
      <c r="GM102" s="50" t="str">
        <f t="shared" si="113"/>
        <v/>
      </c>
      <c r="GN102" s="50" t="str">
        <f t="shared" si="113"/>
        <v/>
      </c>
      <c r="GO102" s="50" t="str">
        <f t="shared" si="113"/>
        <v/>
      </c>
      <c r="GP102" s="50" t="str">
        <f t="shared" si="113"/>
        <v/>
      </c>
      <c r="GQ102" s="50" t="str">
        <f t="shared" si="113"/>
        <v/>
      </c>
      <c r="GR102" s="50" t="str">
        <f t="shared" si="113"/>
        <v/>
      </c>
      <c r="GS102" s="50" t="str">
        <f t="shared" si="113"/>
        <v/>
      </c>
      <c r="GT102" s="50" t="str">
        <f t="shared" si="113"/>
        <v/>
      </c>
      <c r="GU102" s="50" t="str">
        <f t="shared" si="113"/>
        <v/>
      </c>
      <c r="GV102" s="50" t="str">
        <f t="shared" si="113"/>
        <v/>
      </c>
      <c r="GW102" s="50" t="str">
        <f t="shared" si="113"/>
        <v/>
      </c>
      <c r="GX102" s="50" t="str">
        <f t="shared" si="113"/>
        <v/>
      </c>
      <c r="GY102" s="50" t="str">
        <f t="shared" si="113"/>
        <v/>
      </c>
      <c r="GZ102" s="50" t="str">
        <f t="shared" si="113"/>
        <v/>
      </c>
      <c r="HA102" s="50" t="str">
        <f t="shared" si="113"/>
        <v/>
      </c>
      <c r="HB102" s="50" t="str">
        <f t="shared" si="113"/>
        <v/>
      </c>
      <c r="HC102" s="50" t="str">
        <f t="shared" si="113"/>
        <v/>
      </c>
      <c r="HD102" s="50" t="str">
        <f t="shared" si="113"/>
        <v/>
      </c>
      <c r="HE102" s="50" t="str">
        <f t="shared" si="113"/>
        <v/>
      </c>
      <c r="HF102" s="50" t="str">
        <f t="shared" si="113"/>
        <v/>
      </c>
      <c r="HG102" s="50" t="str">
        <f t="shared" si="99"/>
        <v/>
      </c>
      <c r="HH102" s="50" t="str">
        <f t="shared" si="99"/>
        <v/>
      </c>
      <c r="HI102" s="50" t="str">
        <f t="shared" si="99"/>
        <v/>
      </c>
      <c r="HJ102" s="50" t="str">
        <f t="shared" si="99"/>
        <v/>
      </c>
      <c r="HK102" s="50" t="str">
        <f t="shared" si="99"/>
        <v/>
      </c>
      <c r="HL102" s="50" t="str">
        <f t="shared" si="99"/>
        <v/>
      </c>
      <c r="HM102" s="50" t="str">
        <f t="shared" si="99"/>
        <v/>
      </c>
      <c r="HN102" s="50" t="str">
        <f t="shared" si="99"/>
        <v/>
      </c>
      <c r="HO102" s="50" t="str">
        <f t="shared" si="99"/>
        <v/>
      </c>
      <c r="HP102" s="50" t="str">
        <f t="shared" si="99"/>
        <v/>
      </c>
      <c r="HQ102" s="50" t="str">
        <f t="shared" si="99"/>
        <v/>
      </c>
      <c r="HR102" s="116" t="str">
        <f t="shared" si="99"/>
        <v/>
      </c>
    </row>
    <row r="103" spans="1:226" ht="11.15" customHeight="1" thickBot="1" x14ac:dyDescent="0.3">
      <c r="A103" s="66"/>
      <c r="B103" s="67"/>
      <c r="C103" s="68" t="str">
        <f>IF(A103=0,"",VLOOKUP(A103,[3]CO!$A$3:$F$5327,2,0))</f>
        <v/>
      </c>
      <c r="D103" s="69"/>
      <c r="E103" s="69"/>
      <c r="F103" s="69"/>
      <c r="G103" s="70" t="str">
        <f>IF(A103=0,"",VLOOKUP(A103,[3]CO!$A$3:$F$5327,3,0))</f>
        <v/>
      </c>
      <c r="H103" s="96"/>
      <c r="I103" s="71"/>
      <c r="J103" s="71"/>
      <c r="K103" s="71"/>
      <c r="L103" s="71"/>
      <c r="M103" s="72" t="str">
        <f t="shared" si="91"/>
        <v/>
      </c>
      <c r="N103" s="72" t="str">
        <f>IF(B103=0,"",IF(H103="M",HLOOKUP(B103,$Y$12:$DT$13,2),IF(A103=0,"",VLOOKUP(A103,[3]CO!$A$3:$F$5327,4,0))))</f>
        <v/>
      </c>
      <c r="O103" s="72" t="str">
        <f t="shared" si="11"/>
        <v/>
      </c>
      <c r="P103" s="73"/>
      <c r="Q103" s="74" t="str">
        <f t="shared" si="92"/>
        <v/>
      </c>
      <c r="R103" s="75" t="str">
        <f t="shared" si="100"/>
        <v/>
      </c>
      <c r="S103" s="98"/>
      <c r="T103" s="53" t="str">
        <f>IF(A103=0,"",VLOOKUP(A103,[3]CO!$A$3:$F$5318,5,0))</f>
        <v/>
      </c>
      <c r="U103" s="54">
        <f t="shared" si="93"/>
        <v>0</v>
      </c>
      <c r="V103" s="24"/>
      <c r="W103" s="25"/>
      <c r="X103" s="25"/>
      <c r="Y103" s="76" t="str">
        <f t="shared" si="119"/>
        <v/>
      </c>
      <c r="Z103" s="77" t="str">
        <f t="shared" si="119"/>
        <v/>
      </c>
      <c r="AA103" s="77" t="str">
        <f t="shared" si="119"/>
        <v/>
      </c>
      <c r="AB103" s="77" t="str">
        <f t="shared" si="119"/>
        <v/>
      </c>
      <c r="AC103" s="77" t="str">
        <f t="shared" si="119"/>
        <v/>
      </c>
      <c r="AD103" s="77" t="str">
        <f t="shared" si="119"/>
        <v/>
      </c>
      <c r="AE103" s="77" t="str">
        <f t="shared" si="119"/>
        <v/>
      </c>
      <c r="AF103" s="77" t="str">
        <f t="shared" si="119"/>
        <v/>
      </c>
      <c r="AG103" s="77" t="str">
        <f t="shared" si="119"/>
        <v/>
      </c>
      <c r="AH103" s="77" t="str">
        <f t="shared" si="119"/>
        <v/>
      </c>
      <c r="AI103" s="77" t="str">
        <f t="shared" si="119"/>
        <v/>
      </c>
      <c r="AJ103" s="77" t="str">
        <f t="shared" si="119"/>
        <v/>
      </c>
      <c r="AK103" s="77" t="str">
        <f t="shared" si="119"/>
        <v/>
      </c>
      <c r="AL103" s="77" t="str">
        <f t="shared" si="119"/>
        <v/>
      </c>
      <c r="AM103" s="77" t="str">
        <f t="shared" si="119"/>
        <v/>
      </c>
      <c r="AN103" s="77" t="str">
        <f t="shared" si="119"/>
        <v/>
      </c>
      <c r="AO103" s="77" t="str">
        <f t="shared" si="103"/>
        <v/>
      </c>
      <c r="AP103" s="77" t="str">
        <f t="shared" si="103"/>
        <v/>
      </c>
      <c r="AQ103" s="77" t="str">
        <f t="shared" si="103"/>
        <v/>
      </c>
      <c r="AR103" s="77" t="str">
        <f t="shared" si="103"/>
        <v/>
      </c>
      <c r="AS103" s="77" t="str">
        <f t="shared" si="103"/>
        <v/>
      </c>
      <c r="AT103" s="77" t="str">
        <f t="shared" si="103"/>
        <v/>
      </c>
      <c r="AU103" s="77" t="str">
        <f t="shared" si="103"/>
        <v/>
      </c>
      <c r="AV103" s="77" t="str">
        <f t="shared" si="103"/>
        <v/>
      </c>
      <c r="AW103" s="77" t="str">
        <f t="shared" si="103"/>
        <v/>
      </c>
      <c r="AX103" s="77" t="str">
        <f t="shared" si="103"/>
        <v/>
      </c>
      <c r="AY103" s="77" t="str">
        <f t="shared" si="103"/>
        <v/>
      </c>
      <c r="AZ103" s="77" t="str">
        <f t="shared" si="103"/>
        <v/>
      </c>
      <c r="BA103" s="77" t="str">
        <f t="shared" si="103"/>
        <v/>
      </c>
      <c r="BB103" s="77" t="str">
        <f t="shared" si="103"/>
        <v/>
      </c>
      <c r="BC103" s="77" t="str">
        <f t="shared" si="103"/>
        <v/>
      </c>
      <c r="BD103" s="77" t="str">
        <f t="shared" si="103"/>
        <v/>
      </c>
      <c r="BE103" s="77" t="str">
        <f t="shared" ref="BE103:BX103" si="134">IF($B103=BE$12,$U103,"")</f>
        <v/>
      </c>
      <c r="BF103" s="77" t="str">
        <f t="shared" si="134"/>
        <v/>
      </c>
      <c r="BG103" s="77" t="str">
        <f t="shared" si="134"/>
        <v/>
      </c>
      <c r="BH103" s="77" t="str">
        <f t="shared" si="134"/>
        <v/>
      </c>
      <c r="BI103" s="77" t="str">
        <f t="shared" si="134"/>
        <v/>
      </c>
      <c r="BJ103" s="77" t="str">
        <f t="shared" si="134"/>
        <v/>
      </c>
      <c r="BK103" s="77" t="str">
        <f t="shared" si="134"/>
        <v/>
      </c>
      <c r="BL103" s="77" t="str">
        <f t="shared" si="134"/>
        <v/>
      </c>
      <c r="BM103" s="77" t="str">
        <f t="shared" si="134"/>
        <v/>
      </c>
      <c r="BN103" s="77" t="str">
        <f t="shared" si="134"/>
        <v/>
      </c>
      <c r="BO103" s="77" t="str">
        <f t="shared" si="134"/>
        <v/>
      </c>
      <c r="BP103" s="77" t="str">
        <f t="shared" si="134"/>
        <v/>
      </c>
      <c r="BQ103" s="77" t="str">
        <f t="shared" si="134"/>
        <v/>
      </c>
      <c r="BR103" s="77" t="str">
        <f t="shared" si="134"/>
        <v/>
      </c>
      <c r="BS103" s="77" t="str">
        <f t="shared" si="134"/>
        <v/>
      </c>
      <c r="BT103" s="77" t="str">
        <f t="shared" si="134"/>
        <v/>
      </c>
      <c r="BU103" s="77" t="str">
        <f t="shared" si="134"/>
        <v/>
      </c>
      <c r="BV103" s="77" t="str">
        <f t="shared" si="134"/>
        <v/>
      </c>
      <c r="BW103" s="77" t="str">
        <f t="shared" si="134"/>
        <v/>
      </c>
      <c r="BX103" s="77" t="str">
        <f t="shared" si="134"/>
        <v/>
      </c>
      <c r="BY103" s="77" t="str">
        <f t="shared" si="105"/>
        <v/>
      </c>
      <c r="BZ103" s="77" t="str">
        <f t="shared" si="105"/>
        <v/>
      </c>
      <c r="CA103" s="77" t="str">
        <f t="shared" si="105"/>
        <v/>
      </c>
      <c r="CB103" s="77" t="str">
        <f t="shared" si="105"/>
        <v/>
      </c>
      <c r="CC103" s="77" t="str">
        <f t="shared" si="105"/>
        <v/>
      </c>
      <c r="CD103" s="77" t="str">
        <f t="shared" si="105"/>
        <v/>
      </c>
      <c r="CE103" s="77" t="str">
        <f t="shared" si="105"/>
        <v/>
      </c>
      <c r="CF103" s="77" t="str">
        <f t="shared" si="105"/>
        <v/>
      </c>
      <c r="CG103" s="77" t="str">
        <f t="shared" si="105"/>
        <v/>
      </c>
      <c r="CH103" s="77" t="str">
        <f t="shared" si="105"/>
        <v/>
      </c>
      <c r="CI103" s="77" t="str">
        <f t="shared" si="105"/>
        <v/>
      </c>
      <c r="CJ103" s="77" t="str">
        <f t="shared" si="105"/>
        <v/>
      </c>
      <c r="CK103" s="77" t="str">
        <f t="shared" si="105"/>
        <v/>
      </c>
      <c r="CL103" s="77" t="str">
        <f t="shared" si="105"/>
        <v/>
      </c>
      <c r="CM103" s="77" t="str">
        <f t="shared" si="105"/>
        <v/>
      </c>
      <c r="CN103" s="77" t="str">
        <f t="shared" si="105"/>
        <v/>
      </c>
      <c r="CO103" s="77" t="str">
        <f t="shared" si="106"/>
        <v/>
      </c>
      <c r="CP103" s="77" t="str">
        <f t="shared" si="106"/>
        <v/>
      </c>
      <c r="CQ103" s="77" t="str">
        <f t="shared" si="106"/>
        <v/>
      </c>
      <c r="CR103" s="77" t="str">
        <f t="shared" si="106"/>
        <v/>
      </c>
      <c r="CS103" s="77" t="str">
        <f t="shared" si="106"/>
        <v/>
      </c>
      <c r="CT103" s="77" t="str">
        <f t="shared" si="106"/>
        <v/>
      </c>
      <c r="CU103" s="77" t="str">
        <f t="shared" si="106"/>
        <v/>
      </c>
      <c r="CV103" s="77" t="str">
        <f t="shared" si="106"/>
        <v/>
      </c>
      <c r="CW103" s="77" t="str">
        <f t="shared" si="106"/>
        <v/>
      </c>
      <c r="CX103" s="77" t="str">
        <f t="shared" si="106"/>
        <v/>
      </c>
      <c r="CY103" s="77" t="str">
        <f t="shared" si="106"/>
        <v/>
      </c>
      <c r="CZ103" s="77" t="str">
        <f t="shared" si="101"/>
        <v/>
      </c>
      <c r="DA103" s="77" t="str">
        <f t="shared" si="101"/>
        <v/>
      </c>
      <c r="DB103" s="77" t="str">
        <f t="shared" si="101"/>
        <v/>
      </c>
      <c r="DC103" s="77" t="str">
        <f t="shared" si="101"/>
        <v/>
      </c>
      <c r="DD103" s="77" t="str">
        <f t="shared" si="101"/>
        <v/>
      </c>
      <c r="DE103" s="77" t="str">
        <f t="shared" si="101"/>
        <v/>
      </c>
      <c r="DF103" s="77" t="str">
        <f t="shared" si="101"/>
        <v/>
      </c>
      <c r="DG103" s="77" t="str">
        <f t="shared" si="101"/>
        <v/>
      </c>
      <c r="DH103" s="77" t="str">
        <f t="shared" si="101"/>
        <v/>
      </c>
      <c r="DI103" s="77" t="str">
        <f t="shared" si="101"/>
        <v/>
      </c>
      <c r="DJ103" s="77" t="str">
        <f t="shared" si="101"/>
        <v/>
      </c>
      <c r="DK103" s="77" t="str">
        <f t="shared" si="101"/>
        <v/>
      </c>
      <c r="DL103" s="77" t="str">
        <f t="shared" si="101"/>
        <v/>
      </c>
      <c r="DM103" s="77" t="str">
        <f t="shared" si="101"/>
        <v/>
      </c>
      <c r="DN103" s="77" t="str">
        <f t="shared" si="101"/>
        <v/>
      </c>
      <c r="DO103" s="77" t="str">
        <f t="shared" si="101"/>
        <v/>
      </c>
      <c r="DP103" s="77" t="str">
        <f t="shared" si="96"/>
        <v/>
      </c>
      <c r="DQ103" s="77" t="str">
        <f t="shared" si="96"/>
        <v/>
      </c>
      <c r="DR103" s="77" t="str">
        <f t="shared" si="96"/>
        <v/>
      </c>
      <c r="DS103" s="77" t="str">
        <f t="shared" si="96"/>
        <v/>
      </c>
      <c r="DT103" s="111" t="str">
        <f t="shared" si="96"/>
        <v/>
      </c>
      <c r="DU103" s="54"/>
      <c r="DV103" s="25"/>
      <c r="DW103" s="78" t="str">
        <f t="shared" si="122"/>
        <v/>
      </c>
      <c r="DX103" s="79" t="str">
        <f t="shared" si="122"/>
        <v/>
      </c>
      <c r="DY103" s="79" t="str">
        <f t="shared" si="122"/>
        <v/>
      </c>
      <c r="DZ103" s="79" t="str">
        <f t="shared" si="122"/>
        <v/>
      </c>
      <c r="EA103" s="79" t="str">
        <f t="shared" si="122"/>
        <v/>
      </c>
      <c r="EB103" s="79" t="str">
        <f t="shared" si="122"/>
        <v/>
      </c>
      <c r="EC103" s="79" t="str">
        <f t="shared" si="122"/>
        <v/>
      </c>
      <c r="ED103" s="79" t="str">
        <f t="shared" si="122"/>
        <v/>
      </c>
      <c r="EE103" s="79" t="str">
        <f t="shared" si="122"/>
        <v/>
      </c>
      <c r="EF103" s="79" t="str">
        <f t="shared" si="122"/>
        <v/>
      </c>
      <c r="EG103" s="79" t="str">
        <f t="shared" si="122"/>
        <v/>
      </c>
      <c r="EH103" s="79" t="str">
        <f t="shared" si="122"/>
        <v/>
      </c>
      <c r="EI103" s="79" t="str">
        <f t="shared" si="122"/>
        <v/>
      </c>
      <c r="EJ103" s="79" t="str">
        <f t="shared" si="122"/>
        <v/>
      </c>
      <c r="EK103" s="79" t="str">
        <f t="shared" si="122"/>
        <v/>
      </c>
      <c r="EL103" s="79" t="str">
        <f t="shared" si="122"/>
        <v/>
      </c>
      <c r="EM103" s="79" t="str">
        <f t="shared" si="107"/>
        <v/>
      </c>
      <c r="EN103" s="79" t="str">
        <f t="shared" si="107"/>
        <v/>
      </c>
      <c r="EO103" s="79" t="str">
        <f t="shared" si="107"/>
        <v/>
      </c>
      <c r="EP103" s="79" t="str">
        <f t="shared" si="107"/>
        <v/>
      </c>
      <c r="EQ103" s="79" t="str">
        <f t="shared" si="107"/>
        <v/>
      </c>
      <c r="ER103" s="79" t="str">
        <f t="shared" si="107"/>
        <v/>
      </c>
      <c r="ES103" s="79" t="str">
        <f t="shared" si="107"/>
        <v/>
      </c>
      <c r="ET103" s="79" t="str">
        <f t="shared" si="107"/>
        <v/>
      </c>
      <c r="EU103" s="79" t="str">
        <f t="shared" si="107"/>
        <v/>
      </c>
      <c r="EV103" s="79" t="str">
        <f t="shared" si="107"/>
        <v/>
      </c>
      <c r="EW103" s="79" t="str">
        <f t="shared" si="107"/>
        <v/>
      </c>
      <c r="EX103" s="79" t="str">
        <f t="shared" si="107"/>
        <v/>
      </c>
      <c r="EY103" s="79" t="str">
        <f t="shared" si="107"/>
        <v/>
      </c>
      <c r="EZ103" s="79" t="str">
        <f t="shared" si="107"/>
        <v/>
      </c>
      <c r="FA103" s="79" t="str">
        <f t="shared" si="107"/>
        <v/>
      </c>
      <c r="FB103" s="79" t="str">
        <f t="shared" si="107"/>
        <v/>
      </c>
      <c r="FC103" s="79" t="str">
        <f t="shared" si="108"/>
        <v/>
      </c>
      <c r="FD103" s="79" t="str">
        <f t="shared" si="108"/>
        <v/>
      </c>
      <c r="FE103" s="79" t="str">
        <f t="shared" si="108"/>
        <v/>
      </c>
      <c r="FF103" s="79" t="str">
        <f t="shared" si="108"/>
        <v/>
      </c>
      <c r="FG103" s="79" t="str">
        <f t="shared" si="108"/>
        <v/>
      </c>
      <c r="FH103" s="79" t="str">
        <f t="shared" si="108"/>
        <v/>
      </c>
      <c r="FI103" s="79" t="str">
        <f t="shared" si="108"/>
        <v/>
      </c>
      <c r="FJ103" s="79" t="str">
        <f t="shared" si="108"/>
        <v/>
      </c>
      <c r="FK103" s="79" t="str">
        <f t="shared" si="108"/>
        <v/>
      </c>
      <c r="FL103" s="79" t="str">
        <f t="shared" si="108"/>
        <v/>
      </c>
      <c r="FM103" s="79" t="str">
        <f t="shared" si="108"/>
        <v/>
      </c>
      <c r="FN103" s="79" t="str">
        <f t="shared" si="108"/>
        <v/>
      </c>
      <c r="FO103" s="79" t="str">
        <f t="shared" si="108"/>
        <v/>
      </c>
      <c r="FP103" s="79" t="str">
        <f t="shared" si="108"/>
        <v/>
      </c>
      <c r="FQ103" s="79" t="str">
        <f t="shared" si="108"/>
        <v/>
      </c>
      <c r="FR103" s="79" t="str">
        <f t="shared" si="108"/>
        <v/>
      </c>
      <c r="FS103" s="79" t="str">
        <f t="shared" si="109"/>
        <v/>
      </c>
      <c r="FT103" s="79" t="str">
        <f t="shared" si="109"/>
        <v/>
      </c>
      <c r="FU103" s="79" t="str">
        <f t="shared" si="109"/>
        <v/>
      </c>
      <c r="FV103" s="79" t="str">
        <f t="shared" si="109"/>
        <v/>
      </c>
      <c r="FW103" s="79" t="str">
        <f t="shared" si="109"/>
        <v/>
      </c>
      <c r="FX103" s="79" t="str">
        <f t="shared" si="109"/>
        <v/>
      </c>
      <c r="FY103" s="79" t="str">
        <f t="shared" si="109"/>
        <v/>
      </c>
      <c r="FZ103" s="79" t="str">
        <f t="shared" si="109"/>
        <v/>
      </c>
      <c r="GA103" s="79" t="str">
        <f t="shared" si="109"/>
        <v/>
      </c>
      <c r="GB103" s="79" t="str">
        <f t="shared" si="109"/>
        <v/>
      </c>
      <c r="GC103" s="79" t="str">
        <f t="shared" si="109"/>
        <v/>
      </c>
      <c r="GD103" s="79" t="str">
        <f t="shared" si="109"/>
        <v/>
      </c>
      <c r="GE103" s="79" t="str">
        <f t="shared" si="109"/>
        <v/>
      </c>
      <c r="GF103" s="79" t="str">
        <f t="shared" si="109"/>
        <v/>
      </c>
      <c r="GG103" s="79" t="str">
        <f t="shared" si="109"/>
        <v/>
      </c>
      <c r="GH103" s="79" t="str">
        <f t="shared" si="109"/>
        <v/>
      </c>
      <c r="GI103" s="79" t="str">
        <f t="shared" si="113"/>
        <v/>
      </c>
      <c r="GJ103" s="79" t="str">
        <f t="shared" si="113"/>
        <v/>
      </c>
      <c r="GK103" s="79" t="str">
        <f t="shared" si="113"/>
        <v/>
      </c>
      <c r="GL103" s="79" t="str">
        <f t="shared" si="113"/>
        <v/>
      </c>
      <c r="GM103" s="79" t="str">
        <f t="shared" si="113"/>
        <v/>
      </c>
      <c r="GN103" s="79" t="str">
        <f t="shared" si="113"/>
        <v/>
      </c>
      <c r="GO103" s="79" t="str">
        <f t="shared" si="113"/>
        <v/>
      </c>
      <c r="GP103" s="79" t="str">
        <f t="shared" si="113"/>
        <v/>
      </c>
      <c r="GQ103" s="79" t="str">
        <f t="shared" si="113"/>
        <v/>
      </c>
      <c r="GR103" s="79" t="str">
        <f t="shared" si="113"/>
        <v/>
      </c>
      <c r="GS103" s="79" t="str">
        <f t="shared" si="113"/>
        <v/>
      </c>
      <c r="GT103" s="79" t="str">
        <f t="shared" si="113"/>
        <v/>
      </c>
      <c r="GU103" s="79" t="str">
        <f t="shared" si="113"/>
        <v/>
      </c>
      <c r="GV103" s="79" t="str">
        <f t="shared" si="113"/>
        <v/>
      </c>
      <c r="GW103" s="79" t="str">
        <f t="shared" si="113"/>
        <v/>
      </c>
      <c r="GX103" s="79" t="str">
        <f t="shared" si="113"/>
        <v/>
      </c>
      <c r="GY103" s="79" t="str">
        <f t="shared" si="113"/>
        <v/>
      </c>
      <c r="GZ103" s="79" t="str">
        <f t="shared" si="113"/>
        <v/>
      </c>
      <c r="HA103" s="79" t="str">
        <f t="shared" si="113"/>
        <v/>
      </c>
      <c r="HB103" s="79" t="str">
        <f t="shared" si="113"/>
        <v/>
      </c>
      <c r="HC103" s="79" t="str">
        <f t="shared" si="113"/>
        <v/>
      </c>
      <c r="HD103" s="79" t="str">
        <f t="shared" si="113"/>
        <v/>
      </c>
      <c r="HE103" s="79" t="str">
        <f t="shared" si="113"/>
        <v/>
      </c>
      <c r="HF103" s="79" t="str">
        <f t="shared" si="113"/>
        <v/>
      </c>
      <c r="HG103" s="79" t="str">
        <f t="shared" si="99"/>
        <v/>
      </c>
      <c r="HH103" s="79" t="str">
        <f t="shared" si="99"/>
        <v/>
      </c>
      <c r="HI103" s="79" t="str">
        <f t="shared" si="99"/>
        <v/>
      </c>
      <c r="HJ103" s="79" t="str">
        <f t="shared" si="99"/>
        <v/>
      </c>
      <c r="HK103" s="79" t="str">
        <f t="shared" si="99"/>
        <v/>
      </c>
      <c r="HL103" s="79" t="str">
        <f t="shared" si="99"/>
        <v/>
      </c>
      <c r="HM103" s="79" t="str">
        <f t="shared" si="99"/>
        <v/>
      </c>
      <c r="HN103" s="79" t="str">
        <f t="shared" si="99"/>
        <v/>
      </c>
      <c r="HO103" s="79" t="str">
        <f t="shared" si="99"/>
        <v/>
      </c>
      <c r="HP103" s="79" t="str">
        <f t="shared" si="99"/>
        <v/>
      </c>
      <c r="HQ103" s="79" t="str">
        <f t="shared" si="99"/>
        <v/>
      </c>
      <c r="HR103" s="117" t="str">
        <f t="shared" si="99"/>
        <v/>
      </c>
    </row>
    <row r="104" spans="1:226" ht="11.15" customHeight="1" thickTop="1" x14ac:dyDescent="0.25"/>
    <row r="105" spans="1:226" ht="13" x14ac:dyDescent="0.3">
      <c r="L105" s="123"/>
      <c r="O105" s="48" t="s">
        <v>17</v>
      </c>
      <c r="P105" s="49"/>
      <c r="Q105" s="107">
        <f>SUM(Q80:Q103)</f>
        <v>0</v>
      </c>
      <c r="R105" s="107">
        <f>SUM(R80:R103)</f>
        <v>0</v>
      </c>
      <c r="S105" s="100"/>
    </row>
    <row r="106" spans="1:226" ht="11.15" customHeight="1" thickBot="1" x14ac:dyDescent="0.3"/>
    <row r="107" spans="1:226" ht="16" thickBot="1" x14ac:dyDescent="0.3">
      <c r="A107" s="101"/>
      <c r="B107" s="102"/>
      <c r="C107" s="102"/>
      <c r="D107" s="102"/>
      <c r="E107" s="102"/>
      <c r="F107" s="102"/>
      <c r="G107" s="102" t="s">
        <v>19</v>
      </c>
      <c r="H107" s="102"/>
      <c r="I107" s="102"/>
      <c r="J107" s="102"/>
      <c r="K107" s="102"/>
      <c r="L107" s="102"/>
      <c r="M107" s="102"/>
      <c r="N107" s="102"/>
      <c r="O107" s="102"/>
      <c r="P107" s="102"/>
      <c r="Q107" s="102"/>
      <c r="R107" s="103"/>
    </row>
    <row r="108" spans="1:226" ht="11.15" customHeight="1" thickBot="1" x14ac:dyDescent="0.3"/>
    <row r="109" spans="1:226" ht="11.15" customHeight="1" thickTop="1" x14ac:dyDescent="0.25">
      <c r="A109" s="80"/>
      <c r="B109" s="81"/>
      <c r="C109" s="82" t="str">
        <f>IF(A109=0,"",VLOOKUP(A109,[3]CO!$A$3:$F$5327,2,0))</f>
        <v/>
      </c>
      <c r="D109" s="83"/>
      <c r="E109" s="83"/>
      <c r="F109" s="105"/>
      <c r="G109" s="84" t="str">
        <f>IF(A109=0,"",VLOOKUP(A109,[3]CO!$A$3:$F$5327,3,0))</f>
        <v/>
      </c>
      <c r="H109" s="94"/>
      <c r="I109" s="85"/>
      <c r="J109" s="85"/>
      <c r="K109" s="85"/>
      <c r="L109" s="85"/>
      <c r="M109" s="86" t="str">
        <f t="shared" ref="M109:M120" si="135">IF(L109=0,"",H109*Q$76/N109)</f>
        <v/>
      </c>
      <c r="N109" s="86" t="str">
        <f>IF(B109=0,"",IF(H109="M",HLOOKUP(B109,$Y$12:$DT$13,2),IF(A109=0,"",VLOOKUP(A109,[3]CO!$A$3:$F$5327,4,0))))</f>
        <v/>
      </c>
      <c r="O109" s="86" t="str">
        <f t="shared" si="11"/>
        <v/>
      </c>
      <c r="P109" s="87"/>
      <c r="Q109" s="88" t="str">
        <f t="shared" ref="Q109:Q121" si="136">IF(P109=0,"",(HLOOKUP(P109,$DW$12:$HR$13,2)))</f>
        <v/>
      </c>
      <c r="R109" s="89"/>
      <c r="S109" s="98"/>
      <c r="T109" s="53" t="str">
        <f>IF(A109=0,"",VLOOKUP(A109,[3]CO!$A$3:$F$5318,5,0))</f>
        <v/>
      </c>
      <c r="U109" s="54">
        <f t="shared" si="93"/>
        <v>0</v>
      </c>
      <c r="V109" s="24"/>
      <c r="W109" s="25"/>
      <c r="X109" s="25"/>
      <c r="Y109" s="90" t="str">
        <f t="shared" ref="Y109:AN121" si="137">IF($B109=Y$12,$U109,"")</f>
        <v/>
      </c>
      <c r="Z109" s="91" t="str">
        <f t="shared" si="137"/>
        <v/>
      </c>
      <c r="AA109" s="91" t="str">
        <f t="shared" si="137"/>
        <v/>
      </c>
      <c r="AB109" s="91" t="str">
        <f t="shared" si="137"/>
        <v/>
      </c>
      <c r="AC109" s="91" t="str">
        <f t="shared" si="137"/>
        <v/>
      </c>
      <c r="AD109" s="91" t="str">
        <f t="shared" si="137"/>
        <v/>
      </c>
      <c r="AE109" s="91" t="str">
        <f t="shared" si="137"/>
        <v/>
      </c>
      <c r="AF109" s="91" t="str">
        <f t="shared" si="137"/>
        <v/>
      </c>
      <c r="AG109" s="91" t="str">
        <f t="shared" si="137"/>
        <v/>
      </c>
      <c r="AH109" s="91" t="str">
        <f t="shared" si="137"/>
        <v/>
      </c>
      <c r="AI109" s="91" t="str">
        <f t="shared" si="137"/>
        <v/>
      </c>
      <c r="AJ109" s="91" t="str">
        <f t="shared" si="137"/>
        <v/>
      </c>
      <c r="AK109" s="91" t="str">
        <f t="shared" si="137"/>
        <v/>
      </c>
      <c r="AL109" s="91" t="str">
        <f t="shared" si="137"/>
        <v/>
      </c>
      <c r="AM109" s="91" t="str">
        <f t="shared" si="137"/>
        <v/>
      </c>
      <c r="AN109" s="91" t="str">
        <f t="shared" si="137"/>
        <v/>
      </c>
      <c r="AO109" s="91" t="str">
        <f t="shared" ref="AO109:BD121" si="138">IF($B109=AO$12,$U109,"")</f>
        <v/>
      </c>
      <c r="AP109" s="91" t="str">
        <f t="shared" si="138"/>
        <v/>
      </c>
      <c r="AQ109" s="91" t="str">
        <f t="shared" si="138"/>
        <v/>
      </c>
      <c r="AR109" s="91" t="str">
        <f t="shared" si="138"/>
        <v/>
      </c>
      <c r="AS109" s="91" t="str">
        <f t="shared" si="138"/>
        <v/>
      </c>
      <c r="AT109" s="91" t="str">
        <f t="shared" si="138"/>
        <v/>
      </c>
      <c r="AU109" s="91" t="str">
        <f t="shared" si="138"/>
        <v/>
      </c>
      <c r="AV109" s="91" t="str">
        <f t="shared" si="138"/>
        <v/>
      </c>
      <c r="AW109" s="91" t="str">
        <f t="shared" si="138"/>
        <v/>
      </c>
      <c r="AX109" s="91" t="str">
        <f t="shared" si="138"/>
        <v/>
      </c>
      <c r="AY109" s="91" t="str">
        <f t="shared" si="138"/>
        <v/>
      </c>
      <c r="AZ109" s="91" t="str">
        <f t="shared" si="138"/>
        <v/>
      </c>
      <c r="BA109" s="91" t="str">
        <f t="shared" si="138"/>
        <v/>
      </c>
      <c r="BB109" s="91" t="str">
        <f t="shared" si="138"/>
        <v/>
      </c>
      <c r="BC109" s="91" t="str">
        <f t="shared" si="138"/>
        <v/>
      </c>
      <c r="BD109" s="91" t="str">
        <f t="shared" si="138"/>
        <v/>
      </c>
      <c r="BE109" s="91" t="str">
        <f t="shared" ref="BE109:BT121" si="139">IF($B109=BE$12,$U109,"")</f>
        <v/>
      </c>
      <c r="BF109" s="91" t="str">
        <f t="shared" si="139"/>
        <v/>
      </c>
      <c r="BG109" s="91" t="str">
        <f t="shared" si="139"/>
        <v/>
      </c>
      <c r="BH109" s="91" t="str">
        <f t="shared" si="139"/>
        <v/>
      </c>
      <c r="BI109" s="91" t="str">
        <f t="shared" si="139"/>
        <v/>
      </c>
      <c r="BJ109" s="91" t="str">
        <f t="shared" si="139"/>
        <v/>
      </c>
      <c r="BK109" s="91" t="str">
        <f t="shared" si="139"/>
        <v/>
      </c>
      <c r="BL109" s="91" t="str">
        <f t="shared" si="139"/>
        <v/>
      </c>
      <c r="BM109" s="91" t="str">
        <f t="shared" si="139"/>
        <v/>
      </c>
      <c r="BN109" s="91" t="str">
        <f t="shared" si="139"/>
        <v/>
      </c>
      <c r="BO109" s="91" t="str">
        <f t="shared" si="139"/>
        <v/>
      </c>
      <c r="BP109" s="91" t="str">
        <f t="shared" si="139"/>
        <v/>
      </c>
      <c r="BQ109" s="91" t="str">
        <f t="shared" si="139"/>
        <v/>
      </c>
      <c r="BR109" s="91" t="str">
        <f t="shared" si="139"/>
        <v/>
      </c>
      <c r="BS109" s="91" t="str">
        <f t="shared" si="139"/>
        <v/>
      </c>
      <c r="BT109" s="91" t="str">
        <f t="shared" si="139"/>
        <v/>
      </c>
      <c r="BU109" s="91" t="str">
        <f t="shared" ref="BU109:DT113" si="140">IF($B109=BU$12,$U109,"")</f>
        <v/>
      </c>
      <c r="BV109" s="91" t="str">
        <f t="shared" si="140"/>
        <v/>
      </c>
      <c r="BW109" s="91" t="str">
        <f t="shared" si="140"/>
        <v/>
      </c>
      <c r="BX109" s="91" t="str">
        <f t="shared" si="140"/>
        <v/>
      </c>
      <c r="BY109" s="91" t="str">
        <f t="shared" si="140"/>
        <v/>
      </c>
      <c r="BZ109" s="91" t="str">
        <f t="shared" si="140"/>
        <v/>
      </c>
      <c r="CA109" s="91" t="str">
        <f t="shared" si="140"/>
        <v/>
      </c>
      <c r="CB109" s="91" t="str">
        <f t="shared" si="140"/>
        <v/>
      </c>
      <c r="CC109" s="91" t="str">
        <f t="shared" si="140"/>
        <v/>
      </c>
      <c r="CD109" s="91" t="str">
        <f t="shared" si="140"/>
        <v/>
      </c>
      <c r="CE109" s="91" t="str">
        <f t="shared" si="140"/>
        <v/>
      </c>
      <c r="CF109" s="91" t="str">
        <f t="shared" si="140"/>
        <v/>
      </c>
      <c r="CG109" s="91" t="str">
        <f t="shared" si="140"/>
        <v/>
      </c>
      <c r="CH109" s="91" t="str">
        <f t="shared" si="140"/>
        <v/>
      </c>
      <c r="CI109" s="91" t="str">
        <f t="shared" si="140"/>
        <v/>
      </c>
      <c r="CJ109" s="91" t="str">
        <f t="shared" si="140"/>
        <v/>
      </c>
      <c r="CK109" s="91" t="str">
        <f t="shared" si="140"/>
        <v/>
      </c>
      <c r="CL109" s="91" t="str">
        <f t="shared" si="140"/>
        <v/>
      </c>
      <c r="CM109" s="91" t="str">
        <f t="shared" si="140"/>
        <v/>
      </c>
      <c r="CN109" s="91" t="str">
        <f t="shared" si="140"/>
        <v/>
      </c>
      <c r="CO109" s="91" t="str">
        <f t="shared" si="140"/>
        <v/>
      </c>
      <c r="CP109" s="91" t="str">
        <f t="shared" si="140"/>
        <v/>
      </c>
      <c r="CQ109" s="91" t="str">
        <f t="shared" si="140"/>
        <v/>
      </c>
      <c r="CR109" s="91" t="str">
        <f t="shared" si="140"/>
        <v/>
      </c>
      <c r="CS109" s="91" t="str">
        <f t="shared" si="140"/>
        <v/>
      </c>
      <c r="CT109" s="91" t="str">
        <f t="shared" si="140"/>
        <v/>
      </c>
      <c r="CU109" s="91" t="str">
        <f t="shared" si="140"/>
        <v/>
      </c>
      <c r="CV109" s="91" t="str">
        <f t="shared" si="140"/>
        <v/>
      </c>
      <c r="CW109" s="91" t="str">
        <f t="shared" si="140"/>
        <v/>
      </c>
      <c r="CX109" s="91" t="str">
        <f t="shared" si="140"/>
        <v/>
      </c>
      <c r="CY109" s="91" t="str">
        <f t="shared" si="140"/>
        <v/>
      </c>
      <c r="CZ109" s="91" t="str">
        <f t="shared" si="140"/>
        <v/>
      </c>
      <c r="DA109" s="91" t="str">
        <f t="shared" si="140"/>
        <v/>
      </c>
      <c r="DB109" s="91" t="str">
        <f t="shared" si="140"/>
        <v/>
      </c>
      <c r="DC109" s="91" t="str">
        <f t="shared" si="140"/>
        <v/>
      </c>
      <c r="DD109" s="91" t="str">
        <f t="shared" si="140"/>
        <v/>
      </c>
      <c r="DE109" s="91" t="str">
        <f t="shared" si="140"/>
        <v/>
      </c>
      <c r="DF109" s="91" t="str">
        <f t="shared" si="140"/>
        <v/>
      </c>
      <c r="DG109" s="91" t="str">
        <f t="shared" si="140"/>
        <v/>
      </c>
      <c r="DH109" s="91" t="str">
        <f t="shared" si="140"/>
        <v/>
      </c>
      <c r="DI109" s="91" t="str">
        <f t="shared" si="140"/>
        <v/>
      </c>
      <c r="DJ109" s="91" t="str">
        <f t="shared" si="140"/>
        <v/>
      </c>
      <c r="DK109" s="91" t="str">
        <f t="shared" si="140"/>
        <v/>
      </c>
      <c r="DL109" s="91" t="str">
        <f t="shared" si="140"/>
        <v/>
      </c>
      <c r="DM109" s="91" t="str">
        <f t="shared" si="140"/>
        <v/>
      </c>
      <c r="DN109" s="91" t="str">
        <f t="shared" si="140"/>
        <v/>
      </c>
      <c r="DO109" s="91" t="str">
        <f t="shared" si="140"/>
        <v/>
      </c>
      <c r="DP109" s="91" t="str">
        <f t="shared" si="140"/>
        <v/>
      </c>
      <c r="DQ109" s="91" t="str">
        <f t="shared" si="140"/>
        <v/>
      </c>
      <c r="DR109" s="91" t="str">
        <f t="shared" si="140"/>
        <v/>
      </c>
      <c r="DS109" s="91" t="str">
        <f t="shared" si="140"/>
        <v/>
      </c>
      <c r="DT109" s="109" t="str">
        <f t="shared" si="140"/>
        <v/>
      </c>
      <c r="DU109" s="54"/>
      <c r="DV109" s="25"/>
      <c r="DW109" s="92" t="str">
        <f t="shared" ref="DW109:EL121" si="141">IF($B109=DW$12,$O109,"")</f>
        <v/>
      </c>
      <c r="DX109" s="93" t="str">
        <f t="shared" si="141"/>
        <v/>
      </c>
      <c r="DY109" s="93" t="str">
        <f t="shared" si="141"/>
        <v/>
      </c>
      <c r="DZ109" s="93" t="str">
        <f t="shared" si="141"/>
        <v/>
      </c>
      <c r="EA109" s="93" t="str">
        <f t="shared" si="141"/>
        <v/>
      </c>
      <c r="EB109" s="93" t="str">
        <f t="shared" si="141"/>
        <v/>
      </c>
      <c r="EC109" s="93" t="str">
        <f t="shared" si="141"/>
        <v/>
      </c>
      <c r="ED109" s="93" t="str">
        <f t="shared" si="141"/>
        <v/>
      </c>
      <c r="EE109" s="93" t="str">
        <f t="shared" si="141"/>
        <v/>
      </c>
      <c r="EF109" s="93" t="str">
        <f t="shared" si="141"/>
        <v/>
      </c>
      <c r="EG109" s="93" t="str">
        <f t="shared" si="141"/>
        <v/>
      </c>
      <c r="EH109" s="93" t="str">
        <f t="shared" si="141"/>
        <v/>
      </c>
      <c r="EI109" s="93" t="str">
        <f t="shared" si="141"/>
        <v/>
      </c>
      <c r="EJ109" s="93" t="str">
        <f t="shared" si="141"/>
        <v/>
      </c>
      <c r="EK109" s="93" t="str">
        <f t="shared" si="141"/>
        <v/>
      </c>
      <c r="EL109" s="93" t="str">
        <f t="shared" si="141"/>
        <v/>
      </c>
      <c r="EM109" s="93" t="str">
        <f t="shared" ref="EM109:FB121" si="142">IF($B109=EM$12,$O109,"")</f>
        <v/>
      </c>
      <c r="EN109" s="93" t="str">
        <f t="shared" si="142"/>
        <v/>
      </c>
      <c r="EO109" s="93" t="str">
        <f t="shared" si="142"/>
        <v/>
      </c>
      <c r="EP109" s="93" t="str">
        <f t="shared" si="142"/>
        <v/>
      </c>
      <c r="EQ109" s="93" t="str">
        <f t="shared" si="142"/>
        <v/>
      </c>
      <c r="ER109" s="93" t="str">
        <f t="shared" si="142"/>
        <v/>
      </c>
      <c r="ES109" s="93" t="str">
        <f t="shared" si="142"/>
        <v/>
      </c>
      <c r="ET109" s="93" t="str">
        <f t="shared" si="142"/>
        <v/>
      </c>
      <c r="EU109" s="93" t="str">
        <f t="shared" si="142"/>
        <v/>
      </c>
      <c r="EV109" s="93" t="str">
        <f t="shared" si="142"/>
        <v/>
      </c>
      <c r="EW109" s="93" t="str">
        <f t="shared" si="142"/>
        <v/>
      </c>
      <c r="EX109" s="93" t="str">
        <f t="shared" si="142"/>
        <v/>
      </c>
      <c r="EY109" s="93" t="str">
        <f t="shared" si="142"/>
        <v/>
      </c>
      <c r="EZ109" s="93" t="str">
        <f t="shared" si="142"/>
        <v/>
      </c>
      <c r="FA109" s="93" t="str">
        <f t="shared" si="142"/>
        <v/>
      </c>
      <c r="FB109" s="93" t="str">
        <f t="shared" si="142"/>
        <v/>
      </c>
      <c r="FC109" s="93" t="str">
        <f t="shared" ref="FC109:FR121" si="143">IF($B109=FC$12,$O109,"")</f>
        <v/>
      </c>
      <c r="FD109" s="93" t="str">
        <f t="shared" si="143"/>
        <v/>
      </c>
      <c r="FE109" s="93" t="str">
        <f t="shared" si="143"/>
        <v/>
      </c>
      <c r="FF109" s="93" t="str">
        <f t="shared" si="143"/>
        <v/>
      </c>
      <c r="FG109" s="93" t="str">
        <f t="shared" si="143"/>
        <v/>
      </c>
      <c r="FH109" s="93" t="str">
        <f t="shared" si="143"/>
        <v/>
      </c>
      <c r="FI109" s="93" t="str">
        <f t="shared" si="143"/>
        <v/>
      </c>
      <c r="FJ109" s="93" t="str">
        <f t="shared" si="143"/>
        <v/>
      </c>
      <c r="FK109" s="93" t="str">
        <f t="shared" si="143"/>
        <v/>
      </c>
      <c r="FL109" s="93" t="str">
        <f t="shared" si="143"/>
        <v/>
      </c>
      <c r="FM109" s="93" t="str">
        <f t="shared" si="143"/>
        <v/>
      </c>
      <c r="FN109" s="93" t="str">
        <f t="shared" si="143"/>
        <v/>
      </c>
      <c r="FO109" s="93" t="str">
        <f t="shared" si="143"/>
        <v/>
      </c>
      <c r="FP109" s="93" t="str">
        <f t="shared" si="143"/>
        <v/>
      </c>
      <c r="FQ109" s="93" t="str">
        <f t="shared" si="143"/>
        <v/>
      </c>
      <c r="FR109" s="93" t="str">
        <f t="shared" si="143"/>
        <v/>
      </c>
      <c r="FS109" s="93" t="str">
        <f t="shared" ref="FS109:HR113" si="144">IF($B109=FS$12,$O109,"")</f>
        <v/>
      </c>
      <c r="FT109" s="93" t="str">
        <f t="shared" si="144"/>
        <v/>
      </c>
      <c r="FU109" s="93" t="str">
        <f t="shared" si="144"/>
        <v/>
      </c>
      <c r="FV109" s="93" t="str">
        <f t="shared" si="144"/>
        <v/>
      </c>
      <c r="FW109" s="93" t="str">
        <f t="shared" si="144"/>
        <v/>
      </c>
      <c r="FX109" s="93" t="str">
        <f t="shared" si="144"/>
        <v/>
      </c>
      <c r="FY109" s="93" t="str">
        <f t="shared" si="144"/>
        <v/>
      </c>
      <c r="FZ109" s="93" t="str">
        <f t="shared" si="144"/>
        <v/>
      </c>
      <c r="GA109" s="93" t="str">
        <f t="shared" si="144"/>
        <v/>
      </c>
      <c r="GB109" s="93" t="str">
        <f t="shared" si="144"/>
        <v/>
      </c>
      <c r="GC109" s="93" t="str">
        <f t="shared" si="144"/>
        <v/>
      </c>
      <c r="GD109" s="93" t="str">
        <f t="shared" si="144"/>
        <v/>
      </c>
      <c r="GE109" s="93" t="str">
        <f t="shared" si="144"/>
        <v/>
      </c>
      <c r="GF109" s="93" t="str">
        <f t="shared" si="144"/>
        <v/>
      </c>
      <c r="GG109" s="93" t="str">
        <f t="shared" si="144"/>
        <v/>
      </c>
      <c r="GH109" s="93" t="str">
        <f t="shared" si="144"/>
        <v/>
      </c>
      <c r="GI109" s="93" t="str">
        <f t="shared" si="144"/>
        <v/>
      </c>
      <c r="GJ109" s="93" t="str">
        <f t="shared" si="144"/>
        <v/>
      </c>
      <c r="GK109" s="93" t="str">
        <f t="shared" si="144"/>
        <v/>
      </c>
      <c r="GL109" s="93" t="str">
        <f t="shared" si="144"/>
        <v/>
      </c>
      <c r="GM109" s="93" t="str">
        <f t="shared" si="144"/>
        <v/>
      </c>
      <c r="GN109" s="93" t="str">
        <f t="shared" si="144"/>
        <v/>
      </c>
      <c r="GO109" s="93" t="str">
        <f t="shared" si="144"/>
        <v/>
      </c>
      <c r="GP109" s="93" t="str">
        <f t="shared" si="144"/>
        <v/>
      </c>
      <c r="GQ109" s="93" t="str">
        <f t="shared" si="144"/>
        <v/>
      </c>
      <c r="GR109" s="93" t="str">
        <f t="shared" si="144"/>
        <v/>
      </c>
      <c r="GS109" s="93" t="str">
        <f t="shared" si="144"/>
        <v/>
      </c>
      <c r="GT109" s="93" t="str">
        <f t="shared" si="144"/>
        <v/>
      </c>
      <c r="GU109" s="93" t="str">
        <f t="shared" si="144"/>
        <v/>
      </c>
      <c r="GV109" s="93" t="str">
        <f t="shared" si="144"/>
        <v/>
      </c>
      <c r="GW109" s="93" t="str">
        <f t="shared" si="144"/>
        <v/>
      </c>
      <c r="GX109" s="93" t="str">
        <f t="shared" si="144"/>
        <v/>
      </c>
      <c r="GY109" s="93" t="str">
        <f t="shared" si="144"/>
        <v/>
      </c>
      <c r="GZ109" s="93" t="str">
        <f t="shared" si="144"/>
        <v/>
      </c>
      <c r="HA109" s="93" t="str">
        <f t="shared" si="144"/>
        <v/>
      </c>
      <c r="HB109" s="93" t="str">
        <f t="shared" si="144"/>
        <v/>
      </c>
      <c r="HC109" s="93" t="str">
        <f t="shared" si="144"/>
        <v/>
      </c>
      <c r="HD109" s="93" t="str">
        <f t="shared" si="144"/>
        <v/>
      </c>
      <c r="HE109" s="93" t="str">
        <f t="shared" si="144"/>
        <v/>
      </c>
      <c r="HF109" s="93" t="str">
        <f t="shared" si="144"/>
        <v/>
      </c>
      <c r="HG109" s="93" t="str">
        <f t="shared" si="144"/>
        <v/>
      </c>
      <c r="HH109" s="93" t="str">
        <f t="shared" si="144"/>
        <v/>
      </c>
      <c r="HI109" s="93" t="str">
        <f t="shared" si="144"/>
        <v/>
      </c>
      <c r="HJ109" s="93" t="str">
        <f t="shared" si="144"/>
        <v/>
      </c>
      <c r="HK109" s="93" t="str">
        <f t="shared" si="144"/>
        <v/>
      </c>
      <c r="HL109" s="93" t="str">
        <f t="shared" si="144"/>
        <v/>
      </c>
      <c r="HM109" s="93" t="str">
        <f t="shared" si="144"/>
        <v/>
      </c>
      <c r="HN109" s="93" t="str">
        <f t="shared" si="144"/>
        <v/>
      </c>
      <c r="HO109" s="93" t="str">
        <f t="shared" si="144"/>
        <v/>
      </c>
      <c r="HP109" s="93" t="str">
        <f t="shared" si="144"/>
        <v/>
      </c>
      <c r="HQ109" s="93" t="str">
        <f t="shared" si="144"/>
        <v/>
      </c>
      <c r="HR109" s="115" t="str">
        <f t="shared" si="144"/>
        <v/>
      </c>
    </row>
    <row r="110" spans="1:226" ht="11.15" customHeight="1" x14ac:dyDescent="0.25">
      <c r="A110" s="26"/>
      <c r="B110" s="27"/>
      <c r="C110" s="28" t="str">
        <f>IF(A110=0,"",VLOOKUP(A110,[3]CO!$A$3:$F$5327,2,0))</f>
        <v/>
      </c>
      <c r="D110" s="29"/>
      <c r="E110" s="29"/>
      <c r="F110" s="104" t="str">
        <f t="shared" ref="F110:F121" si="145">IF(AND(B110&gt;0,H110&gt;0),(H110*100) &amp; "% DE $" &amp;$Q$76,"")</f>
        <v/>
      </c>
      <c r="G110" s="30" t="str">
        <f>IF(A110=0,"",VLOOKUP(A110,[3]CO!$A$3:$F$5327,3,0))</f>
        <v/>
      </c>
      <c r="H110" s="95"/>
      <c r="I110" s="31"/>
      <c r="J110" s="31"/>
      <c r="K110" s="31"/>
      <c r="L110" s="31"/>
      <c r="M110" s="32" t="str">
        <f t="shared" si="135"/>
        <v/>
      </c>
      <c r="N110" s="32" t="str">
        <f>IF(B110=0,"",IF(H110="M",HLOOKUP(B110,$Y$12:$DT$13,2),IF(A110=0,"",VLOOKUP(A110,[3]CO!$A$3:$F$5327,4,0))))</f>
        <v/>
      </c>
      <c r="O110" s="32" t="str">
        <f t="shared" si="11"/>
        <v/>
      </c>
      <c r="P110" s="33"/>
      <c r="Q110" s="34" t="str">
        <f t="shared" si="136"/>
        <v/>
      </c>
      <c r="R110" s="35"/>
      <c r="S110" s="98"/>
      <c r="T110" s="53" t="str">
        <f>IF(A110=0,"",VLOOKUP(A110,[3]CO!$A$3:$F$5318,5,0))</f>
        <v/>
      </c>
      <c r="U110" s="54">
        <f t="shared" si="93"/>
        <v>0</v>
      </c>
      <c r="V110" s="24"/>
      <c r="W110" s="25"/>
      <c r="X110" s="25"/>
      <c r="Y110" s="64" t="str">
        <f t="shared" si="137"/>
        <v/>
      </c>
      <c r="Z110" s="55" t="str">
        <f t="shared" si="137"/>
        <v/>
      </c>
      <c r="AA110" s="55" t="str">
        <f t="shared" si="137"/>
        <v/>
      </c>
      <c r="AB110" s="55" t="str">
        <f t="shared" si="137"/>
        <v/>
      </c>
      <c r="AC110" s="55" t="str">
        <f t="shared" si="137"/>
        <v/>
      </c>
      <c r="AD110" s="55" t="str">
        <f t="shared" si="137"/>
        <v/>
      </c>
      <c r="AE110" s="55" t="str">
        <f t="shared" si="137"/>
        <v/>
      </c>
      <c r="AF110" s="55" t="str">
        <f t="shared" si="137"/>
        <v/>
      </c>
      <c r="AG110" s="55" t="str">
        <f t="shared" si="137"/>
        <v/>
      </c>
      <c r="AH110" s="55" t="str">
        <f t="shared" si="137"/>
        <v/>
      </c>
      <c r="AI110" s="55" t="str">
        <f t="shared" si="137"/>
        <v/>
      </c>
      <c r="AJ110" s="55" t="str">
        <f t="shared" si="137"/>
        <v/>
      </c>
      <c r="AK110" s="55" t="str">
        <f t="shared" si="137"/>
        <v/>
      </c>
      <c r="AL110" s="55" t="str">
        <f t="shared" si="137"/>
        <v/>
      </c>
      <c r="AM110" s="55" t="str">
        <f t="shared" si="137"/>
        <v/>
      </c>
      <c r="AN110" s="55" t="str">
        <f t="shared" si="137"/>
        <v/>
      </c>
      <c r="AO110" s="55" t="str">
        <f t="shared" si="138"/>
        <v/>
      </c>
      <c r="AP110" s="55" t="str">
        <f t="shared" si="138"/>
        <v/>
      </c>
      <c r="AQ110" s="55" t="str">
        <f t="shared" si="138"/>
        <v/>
      </c>
      <c r="AR110" s="55" t="str">
        <f t="shared" si="138"/>
        <v/>
      </c>
      <c r="AS110" s="55" t="str">
        <f t="shared" si="138"/>
        <v/>
      </c>
      <c r="AT110" s="55" t="str">
        <f t="shared" si="138"/>
        <v/>
      </c>
      <c r="AU110" s="55" t="str">
        <f t="shared" si="138"/>
        <v/>
      </c>
      <c r="AV110" s="55" t="str">
        <f t="shared" si="138"/>
        <v/>
      </c>
      <c r="AW110" s="55" t="str">
        <f t="shared" si="138"/>
        <v/>
      </c>
      <c r="AX110" s="55" t="str">
        <f t="shared" si="138"/>
        <v/>
      </c>
      <c r="AY110" s="55" t="str">
        <f t="shared" si="138"/>
        <v/>
      </c>
      <c r="AZ110" s="55" t="str">
        <f t="shared" si="138"/>
        <v/>
      </c>
      <c r="BA110" s="55" t="str">
        <f t="shared" si="138"/>
        <v/>
      </c>
      <c r="BB110" s="55" t="str">
        <f t="shared" si="138"/>
        <v/>
      </c>
      <c r="BC110" s="55" t="str">
        <f t="shared" si="138"/>
        <v/>
      </c>
      <c r="BD110" s="55" t="str">
        <f t="shared" si="138"/>
        <v/>
      </c>
      <c r="BE110" s="55" t="str">
        <f t="shared" si="139"/>
        <v/>
      </c>
      <c r="BF110" s="55" t="str">
        <f t="shared" si="139"/>
        <v/>
      </c>
      <c r="BG110" s="55" t="str">
        <f t="shared" si="139"/>
        <v/>
      </c>
      <c r="BH110" s="55" t="str">
        <f t="shared" si="139"/>
        <v/>
      </c>
      <c r="BI110" s="55" t="str">
        <f t="shared" si="139"/>
        <v/>
      </c>
      <c r="BJ110" s="55" t="str">
        <f t="shared" si="139"/>
        <v/>
      </c>
      <c r="BK110" s="55" t="str">
        <f t="shared" si="139"/>
        <v/>
      </c>
      <c r="BL110" s="55" t="str">
        <f t="shared" si="139"/>
        <v/>
      </c>
      <c r="BM110" s="55" t="str">
        <f t="shared" si="139"/>
        <v/>
      </c>
      <c r="BN110" s="55" t="str">
        <f t="shared" si="139"/>
        <v/>
      </c>
      <c r="BO110" s="55" t="str">
        <f t="shared" si="139"/>
        <v/>
      </c>
      <c r="BP110" s="55" t="str">
        <f t="shared" si="139"/>
        <v/>
      </c>
      <c r="BQ110" s="55" t="str">
        <f t="shared" si="139"/>
        <v/>
      </c>
      <c r="BR110" s="55" t="str">
        <f t="shared" si="139"/>
        <v/>
      </c>
      <c r="BS110" s="55" t="str">
        <f t="shared" si="139"/>
        <v/>
      </c>
      <c r="BT110" s="55" t="str">
        <f t="shared" si="139"/>
        <v/>
      </c>
      <c r="BU110" s="55" t="str">
        <f t="shared" si="140"/>
        <v/>
      </c>
      <c r="BV110" s="55" t="str">
        <f t="shared" si="140"/>
        <v/>
      </c>
      <c r="BW110" s="55" t="str">
        <f t="shared" si="140"/>
        <v/>
      </c>
      <c r="BX110" s="55" t="str">
        <f t="shared" si="140"/>
        <v/>
      </c>
      <c r="BY110" s="55" t="str">
        <f t="shared" si="140"/>
        <v/>
      </c>
      <c r="BZ110" s="55" t="str">
        <f t="shared" si="140"/>
        <v/>
      </c>
      <c r="CA110" s="55" t="str">
        <f t="shared" si="140"/>
        <v/>
      </c>
      <c r="CB110" s="55" t="str">
        <f t="shared" si="140"/>
        <v/>
      </c>
      <c r="CC110" s="55" t="str">
        <f t="shared" si="140"/>
        <v/>
      </c>
      <c r="CD110" s="55" t="str">
        <f t="shared" si="140"/>
        <v/>
      </c>
      <c r="CE110" s="55" t="str">
        <f t="shared" si="140"/>
        <v/>
      </c>
      <c r="CF110" s="55" t="str">
        <f t="shared" si="140"/>
        <v/>
      </c>
      <c r="CG110" s="55" t="str">
        <f t="shared" si="140"/>
        <v/>
      </c>
      <c r="CH110" s="55" t="str">
        <f t="shared" si="140"/>
        <v/>
      </c>
      <c r="CI110" s="55" t="str">
        <f t="shared" si="140"/>
        <v/>
      </c>
      <c r="CJ110" s="55" t="str">
        <f t="shared" si="140"/>
        <v/>
      </c>
      <c r="CK110" s="55" t="str">
        <f t="shared" si="140"/>
        <v/>
      </c>
      <c r="CL110" s="55" t="str">
        <f t="shared" si="140"/>
        <v/>
      </c>
      <c r="CM110" s="55" t="str">
        <f t="shared" si="140"/>
        <v/>
      </c>
      <c r="CN110" s="55" t="str">
        <f t="shared" si="140"/>
        <v/>
      </c>
      <c r="CO110" s="55" t="str">
        <f t="shared" si="140"/>
        <v/>
      </c>
      <c r="CP110" s="55" t="str">
        <f t="shared" si="140"/>
        <v/>
      </c>
      <c r="CQ110" s="55" t="str">
        <f t="shared" si="140"/>
        <v/>
      </c>
      <c r="CR110" s="55" t="str">
        <f t="shared" si="140"/>
        <v/>
      </c>
      <c r="CS110" s="55" t="str">
        <f t="shared" si="140"/>
        <v/>
      </c>
      <c r="CT110" s="55" t="str">
        <f t="shared" si="140"/>
        <v/>
      </c>
      <c r="CU110" s="55" t="str">
        <f t="shared" si="140"/>
        <v/>
      </c>
      <c r="CV110" s="55" t="str">
        <f t="shared" si="140"/>
        <v/>
      </c>
      <c r="CW110" s="55" t="str">
        <f t="shared" si="140"/>
        <v/>
      </c>
      <c r="CX110" s="55" t="str">
        <f t="shared" si="140"/>
        <v/>
      </c>
      <c r="CY110" s="55" t="str">
        <f t="shared" si="140"/>
        <v/>
      </c>
      <c r="CZ110" s="55" t="str">
        <f t="shared" si="140"/>
        <v/>
      </c>
      <c r="DA110" s="55" t="str">
        <f t="shared" si="140"/>
        <v/>
      </c>
      <c r="DB110" s="55" t="str">
        <f t="shared" si="140"/>
        <v/>
      </c>
      <c r="DC110" s="55" t="str">
        <f t="shared" si="140"/>
        <v/>
      </c>
      <c r="DD110" s="55" t="str">
        <f t="shared" si="140"/>
        <v/>
      </c>
      <c r="DE110" s="55" t="str">
        <f t="shared" si="140"/>
        <v/>
      </c>
      <c r="DF110" s="55" t="str">
        <f t="shared" si="140"/>
        <v/>
      </c>
      <c r="DG110" s="55" t="str">
        <f t="shared" si="140"/>
        <v/>
      </c>
      <c r="DH110" s="55" t="str">
        <f t="shared" si="140"/>
        <v/>
      </c>
      <c r="DI110" s="55" t="str">
        <f t="shared" si="140"/>
        <v/>
      </c>
      <c r="DJ110" s="55" t="str">
        <f t="shared" si="140"/>
        <v/>
      </c>
      <c r="DK110" s="55" t="str">
        <f t="shared" si="140"/>
        <v/>
      </c>
      <c r="DL110" s="55" t="str">
        <f t="shared" si="140"/>
        <v/>
      </c>
      <c r="DM110" s="55" t="str">
        <f t="shared" si="140"/>
        <v/>
      </c>
      <c r="DN110" s="55" t="str">
        <f t="shared" si="140"/>
        <v/>
      </c>
      <c r="DO110" s="55" t="str">
        <f t="shared" si="140"/>
        <v/>
      </c>
      <c r="DP110" s="55" t="str">
        <f t="shared" si="140"/>
        <v/>
      </c>
      <c r="DQ110" s="55" t="str">
        <f t="shared" si="140"/>
        <v/>
      </c>
      <c r="DR110" s="55" t="str">
        <f t="shared" si="140"/>
        <v/>
      </c>
      <c r="DS110" s="55" t="str">
        <f t="shared" si="140"/>
        <v/>
      </c>
      <c r="DT110" s="110" t="str">
        <f t="shared" si="140"/>
        <v/>
      </c>
      <c r="DU110" s="54"/>
      <c r="DV110" s="25"/>
      <c r="DW110" s="61" t="str">
        <f t="shared" si="141"/>
        <v/>
      </c>
      <c r="DX110" s="50" t="str">
        <f t="shared" si="141"/>
        <v/>
      </c>
      <c r="DY110" s="50" t="str">
        <f t="shared" si="141"/>
        <v/>
      </c>
      <c r="DZ110" s="50" t="str">
        <f t="shared" si="141"/>
        <v/>
      </c>
      <c r="EA110" s="50" t="str">
        <f t="shared" si="141"/>
        <v/>
      </c>
      <c r="EB110" s="50" t="str">
        <f t="shared" si="141"/>
        <v/>
      </c>
      <c r="EC110" s="50" t="str">
        <f t="shared" si="141"/>
        <v/>
      </c>
      <c r="ED110" s="50" t="str">
        <f t="shared" si="141"/>
        <v/>
      </c>
      <c r="EE110" s="50" t="str">
        <f t="shared" si="141"/>
        <v/>
      </c>
      <c r="EF110" s="50" t="str">
        <f t="shared" si="141"/>
        <v/>
      </c>
      <c r="EG110" s="50" t="str">
        <f t="shared" si="141"/>
        <v/>
      </c>
      <c r="EH110" s="50" t="str">
        <f t="shared" si="141"/>
        <v/>
      </c>
      <c r="EI110" s="50" t="str">
        <f t="shared" si="141"/>
        <v/>
      </c>
      <c r="EJ110" s="50" t="str">
        <f t="shared" si="141"/>
        <v/>
      </c>
      <c r="EK110" s="50" t="str">
        <f t="shared" si="141"/>
        <v/>
      </c>
      <c r="EL110" s="50" t="str">
        <f t="shared" si="141"/>
        <v/>
      </c>
      <c r="EM110" s="50" t="str">
        <f t="shared" si="142"/>
        <v/>
      </c>
      <c r="EN110" s="50" t="str">
        <f t="shared" si="142"/>
        <v/>
      </c>
      <c r="EO110" s="50" t="str">
        <f t="shared" si="142"/>
        <v/>
      </c>
      <c r="EP110" s="50" t="str">
        <f t="shared" si="142"/>
        <v/>
      </c>
      <c r="EQ110" s="50" t="str">
        <f t="shared" si="142"/>
        <v/>
      </c>
      <c r="ER110" s="50" t="str">
        <f t="shared" si="142"/>
        <v/>
      </c>
      <c r="ES110" s="50" t="str">
        <f t="shared" si="142"/>
        <v/>
      </c>
      <c r="ET110" s="50" t="str">
        <f t="shared" si="142"/>
        <v/>
      </c>
      <c r="EU110" s="50" t="str">
        <f t="shared" si="142"/>
        <v/>
      </c>
      <c r="EV110" s="50" t="str">
        <f t="shared" si="142"/>
        <v/>
      </c>
      <c r="EW110" s="50" t="str">
        <f t="shared" si="142"/>
        <v/>
      </c>
      <c r="EX110" s="50" t="str">
        <f t="shared" si="142"/>
        <v/>
      </c>
      <c r="EY110" s="50" t="str">
        <f t="shared" si="142"/>
        <v/>
      </c>
      <c r="EZ110" s="50" t="str">
        <f t="shared" si="142"/>
        <v/>
      </c>
      <c r="FA110" s="50" t="str">
        <f t="shared" si="142"/>
        <v/>
      </c>
      <c r="FB110" s="50" t="str">
        <f t="shared" si="142"/>
        <v/>
      </c>
      <c r="FC110" s="50" t="str">
        <f t="shared" si="143"/>
        <v/>
      </c>
      <c r="FD110" s="50" t="str">
        <f t="shared" si="143"/>
        <v/>
      </c>
      <c r="FE110" s="50" t="str">
        <f t="shared" si="143"/>
        <v/>
      </c>
      <c r="FF110" s="50" t="str">
        <f t="shared" si="143"/>
        <v/>
      </c>
      <c r="FG110" s="50" t="str">
        <f t="shared" si="143"/>
        <v/>
      </c>
      <c r="FH110" s="50" t="str">
        <f t="shared" si="143"/>
        <v/>
      </c>
      <c r="FI110" s="50" t="str">
        <f t="shared" si="143"/>
        <v/>
      </c>
      <c r="FJ110" s="50" t="str">
        <f t="shared" si="143"/>
        <v/>
      </c>
      <c r="FK110" s="50" t="str">
        <f t="shared" si="143"/>
        <v/>
      </c>
      <c r="FL110" s="50" t="str">
        <f t="shared" si="143"/>
        <v/>
      </c>
      <c r="FM110" s="50" t="str">
        <f t="shared" si="143"/>
        <v/>
      </c>
      <c r="FN110" s="50" t="str">
        <f t="shared" si="143"/>
        <v/>
      </c>
      <c r="FO110" s="50" t="str">
        <f t="shared" si="143"/>
        <v/>
      </c>
      <c r="FP110" s="50" t="str">
        <f t="shared" si="143"/>
        <v/>
      </c>
      <c r="FQ110" s="50" t="str">
        <f t="shared" si="143"/>
        <v/>
      </c>
      <c r="FR110" s="50" t="str">
        <f t="shared" si="143"/>
        <v/>
      </c>
      <c r="FS110" s="50" t="str">
        <f t="shared" si="144"/>
        <v/>
      </c>
      <c r="FT110" s="50" t="str">
        <f t="shared" si="144"/>
        <v/>
      </c>
      <c r="FU110" s="50" t="str">
        <f t="shared" si="144"/>
        <v/>
      </c>
      <c r="FV110" s="50" t="str">
        <f t="shared" si="144"/>
        <v/>
      </c>
      <c r="FW110" s="50" t="str">
        <f t="shared" si="144"/>
        <v/>
      </c>
      <c r="FX110" s="50" t="str">
        <f t="shared" si="144"/>
        <v/>
      </c>
      <c r="FY110" s="50" t="str">
        <f t="shared" si="144"/>
        <v/>
      </c>
      <c r="FZ110" s="50" t="str">
        <f t="shared" si="144"/>
        <v/>
      </c>
      <c r="GA110" s="50" t="str">
        <f t="shared" si="144"/>
        <v/>
      </c>
      <c r="GB110" s="50" t="str">
        <f t="shared" si="144"/>
        <v/>
      </c>
      <c r="GC110" s="50" t="str">
        <f t="shared" si="144"/>
        <v/>
      </c>
      <c r="GD110" s="50" t="str">
        <f t="shared" si="144"/>
        <v/>
      </c>
      <c r="GE110" s="50" t="str">
        <f t="shared" si="144"/>
        <v/>
      </c>
      <c r="GF110" s="50" t="str">
        <f t="shared" si="144"/>
        <v/>
      </c>
      <c r="GG110" s="50" t="str">
        <f t="shared" si="144"/>
        <v/>
      </c>
      <c r="GH110" s="50" t="str">
        <f t="shared" si="144"/>
        <v/>
      </c>
      <c r="GI110" s="50" t="str">
        <f t="shared" si="144"/>
        <v/>
      </c>
      <c r="GJ110" s="50" t="str">
        <f t="shared" si="144"/>
        <v/>
      </c>
      <c r="GK110" s="50" t="str">
        <f t="shared" si="144"/>
        <v/>
      </c>
      <c r="GL110" s="50" t="str">
        <f t="shared" si="144"/>
        <v/>
      </c>
      <c r="GM110" s="50" t="str">
        <f t="shared" si="144"/>
        <v/>
      </c>
      <c r="GN110" s="50" t="str">
        <f t="shared" si="144"/>
        <v/>
      </c>
      <c r="GO110" s="50" t="str">
        <f t="shared" si="144"/>
        <v/>
      </c>
      <c r="GP110" s="50" t="str">
        <f t="shared" si="144"/>
        <v/>
      </c>
      <c r="GQ110" s="50" t="str">
        <f t="shared" si="144"/>
        <v/>
      </c>
      <c r="GR110" s="50" t="str">
        <f t="shared" si="144"/>
        <v/>
      </c>
      <c r="GS110" s="50" t="str">
        <f t="shared" si="144"/>
        <v/>
      </c>
      <c r="GT110" s="50" t="str">
        <f t="shared" si="144"/>
        <v/>
      </c>
      <c r="GU110" s="50" t="str">
        <f t="shared" si="144"/>
        <v/>
      </c>
      <c r="GV110" s="50" t="str">
        <f t="shared" si="144"/>
        <v/>
      </c>
      <c r="GW110" s="50" t="str">
        <f t="shared" si="144"/>
        <v/>
      </c>
      <c r="GX110" s="50" t="str">
        <f t="shared" si="144"/>
        <v/>
      </c>
      <c r="GY110" s="50" t="str">
        <f t="shared" si="144"/>
        <v/>
      </c>
      <c r="GZ110" s="50" t="str">
        <f t="shared" si="144"/>
        <v/>
      </c>
      <c r="HA110" s="50" t="str">
        <f t="shared" si="144"/>
        <v/>
      </c>
      <c r="HB110" s="50" t="str">
        <f t="shared" si="144"/>
        <v/>
      </c>
      <c r="HC110" s="50" t="str">
        <f t="shared" si="144"/>
        <v/>
      </c>
      <c r="HD110" s="50" t="str">
        <f t="shared" si="144"/>
        <v/>
      </c>
      <c r="HE110" s="50" t="str">
        <f t="shared" si="144"/>
        <v/>
      </c>
      <c r="HF110" s="50" t="str">
        <f t="shared" si="144"/>
        <v/>
      </c>
      <c r="HG110" s="50" t="str">
        <f t="shared" si="144"/>
        <v/>
      </c>
      <c r="HH110" s="50" t="str">
        <f t="shared" si="144"/>
        <v/>
      </c>
      <c r="HI110" s="50" t="str">
        <f t="shared" si="144"/>
        <v/>
      </c>
      <c r="HJ110" s="50" t="str">
        <f t="shared" si="144"/>
        <v/>
      </c>
      <c r="HK110" s="50" t="str">
        <f t="shared" si="144"/>
        <v/>
      </c>
      <c r="HL110" s="50" t="str">
        <f t="shared" si="144"/>
        <v/>
      </c>
      <c r="HM110" s="50" t="str">
        <f t="shared" si="144"/>
        <v/>
      </c>
      <c r="HN110" s="50" t="str">
        <f t="shared" si="144"/>
        <v/>
      </c>
      <c r="HO110" s="50" t="str">
        <f t="shared" si="144"/>
        <v/>
      </c>
      <c r="HP110" s="50" t="str">
        <f t="shared" si="144"/>
        <v/>
      </c>
      <c r="HQ110" s="50" t="str">
        <f t="shared" si="144"/>
        <v/>
      </c>
      <c r="HR110" s="116" t="str">
        <f t="shared" si="144"/>
        <v/>
      </c>
    </row>
    <row r="111" spans="1:226" ht="11.15" customHeight="1" x14ac:dyDescent="0.25">
      <c r="A111" s="26"/>
      <c r="B111" s="27"/>
      <c r="C111" s="28" t="str">
        <f>IF(A111=0,"",VLOOKUP(A111,[3]CO!$A$3:$F$5327,2,0))</f>
        <v/>
      </c>
      <c r="D111" s="29"/>
      <c r="E111" s="29"/>
      <c r="F111" s="104" t="str">
        <f t="shared" si="145"/>
        <v/>
      </c>
      <c r="G111" s="30" t="str">
        <f>IF(A111=0,"",VLOOKUP(A111,[3]CO!$A$3:$F$5327,3,0))</f>
        <v/>
      </c>
      <c r="H111" s="95"/>
      <c r="I111" s="31"/>
      <c r="J111" s="31"/>
      <c r="K111" s="31"/>
      <c r="L111" s="31"/>
      <c r="M111" s="32" t="str">
        <f t="shared" si="135"/>
        <v/>
      </c>
      <c r="N111" s="32" t="str">
        <f>IF(B111=0,"",IF(H111="M",HLOOKUP(B111,$Y$12:$DT$13,2),IF(A111=0,"",VLOOKUP(A111,[3]CO!$A$3:$F$5327,4,0))))</f>
        <v/>
      </c>
      <c r="O111" s="32" t="str">
        <f t="shared" si="11"/>
        <v/>
      </c>
      <c r="P111" s="33"/>
      <c r="Q111" s="34" t="str">
        <f t="shared" si="136"/>
        <v/>
      </c>
      <c r="R111" s="35"/>
      <c r="S111" s="98"/>
      <c r="T111" s="53" t="str">
        <f>IF(A111=0,"",VLOOKUP(A111,[3]CO!$A$3:$F$5318,5,0))</f>
        <v/>
      </c>
      <c r="U111" s="54">
        <f t="shared" si="93"/>
        <v>0</v>
      </c>
      <c r="V111" s="24"/>
      <c r="W111" s="25"/>
      <c r="X111" s="25"/>
      <c r="Y111" s="64" t="str">
        <f t="shared" si="137"/>
        <v/>
      </c>
      <c r="Z111" s="55" t="str">
        <f t="shared" si="137"/>
        <v/>
      </c>
      <c r="AA111" s="55" t="str">
        <f t="shared" si="137"/>
        <v/>
      </c>
      <c r="AB111" s="55" t="str">
        <f t="shared" si="137"/>
        <v/>
      </c>
      <c r="AC111" s="55" t="str">
        <f t="shared" si="137"/>
        <v/>
      </c>
      <c r="AD111" s="55" t="str">
        <f t="shared" si="137"/>
        <v/>
      </c>
      <c r="AE111" s="55" t="str">
        <f t="shared" si="137"/>
        <v/>
      </c>
      <c r="AF111" s="55" t="str">
        <f t="shared" si="137"/>
        <v/>
      </c>
      <c r="AG111" s="55" t="str">
        <f t="shared" si="137"/>
        <v/>
      </c>
      <c r="AH111" s="55" t="str">
        <f t="shared" si="137"/>
        <v/>
      </c>
      <c r="AI111" s="55" t="str">
        <f t="shared" si="137"/>
        <v/>
      </c>
      <c r="AJ111" s="55" t="str">
        <f t="shared" si="137"/>
        <v/>
      </c>
      <c r="AK111" s="55" t="str">
        <f t="shared" si="137"/>
        <v/>
      </c>
      <c r="AL111" s="55" t="str">
        <f t="shared" si="137"/>
        <v/>
      </c>
      <c r="AM111" s="55" t="str">
        <f t="shared" si="137"/>
        <v/>
      </c>
      <c r="AN111" s="55" t="str">
        <f t="shared" si="137"/>
        <v/>
      </c>
      <c r="AO111" s="55" t="str">
        <f t="shared" si="138"/>
        <v/>
      </c>
      <c r="AP111" s="55" t="str">
        <f t="shared" si="138"/>
        <v/>
      </c>
      <c r="AQ111" s="55" t="str">
        <f t="shared" si="138"/>
        <v/>
      </c>
      <c r="AR111" s="55" t="str">
        <f t="shared" si="138"/>
        <v/>
      </c>
      <c r="AS111" s="55" t="str">
        <f t="shared" si="138"/>
        <v/>
      </c>
      <c r="AT111" s="55" t="str">
        <f t="shared" si="138"/>
        <v/>
      </c>
      <c r="AU111" s="55" t="str">
        <f t="shared" si="138"/>
        <v/>
      </c>
      <c r="AV111" s="55" t="str">
        <f t="shared" si="138"/>
        <v/>
      </c>
      <c r="AW111" s="55" t="str">
        <f t="shared" si="138"/>
        <v/>
      </c>
      <c r="AX111" s="55" t="str">
        <f t="shared" si="138"/>
        <v/>
      </c>
      <c r="AY111" s="55" t="str">
        <f t="shared" si="138"/>
        <v/>
      </c>
      <c r="AZ111" s="55" t="str">
        <f t="shared" si="138"/>
        <v/>
      </c>
      <c r="BA111" s="55" t="str">
        <f t="shared" si="138"/>
        <v/>
      </c>
      <c r="BB111" s="55" t="str">
        <f t="shared" si="138"/>
        <v/>
      </c>
      <c r="BC111" s="55" t="str">
        <f t="shared" si="138"/>
        <v/>
      </c>
      <c r="BD111" s="55" t="str">
        <f t="shared" si="138"/>
        <v/>
      </c>
      <c r="BE111" s="55" t="str">
        <f t="shared" si="139"/>
        <v/>
      </c>
      <c r="BF111" s="55" t="str">
        <f t="shared" si="139"/>
        <v/>
      </c>
      <c r="BG111" s="55" t="str">
        <f t="shared" si="139"/>
        <v/>
      </c>
      <c r="BH111" s="55" t="str">
        <f t="shared" si="139"/>
        <v/>
      </c>
      <c r="BI111" s="55" t="str">
        <f t="shared" si="139"/>
        <v/>
      </c>
      <c r="BJ111" s="55" t="str">
        <f t="shared" si="139"/>
        <v/>
      </c>
      <c r="BK111" s="55" t="str">
        <f t="shared" si="139"/>
        <v/>
      </c>
      <c r="BL111" s="55" t="str">
        <f t="shared" si="139"/>
        <v/>
      </c>
      <c r="BM111" s="55" t="str">
        <f t="shared" si="139"/>
        <v/>
      </c>
      <c r="BN111" s="55" t="str">
        <f t="shared" si="139"/>
        <v/>
      </c>
      <c r="BO111" s="55" t="str">
        <f t="shared" si="139"/>
        <v/>
      </c>
      <c r="BP111" s="55" t="str">
        <f t="shared" si="139"/>
        <v/>
      </c>
      <c r="BQ111" s="55" t="str">
        <f t="shared" si="139"/>
        <v/>
      </c>
      <c r="BR111" s="55" t="str">
        <f t="shared" si="139"/>
        <v/>
      </c>
      <c r="BS111" s="55" t="str">
        <f t="shared" si="139"/>
        <v/>
      </c>
      <c r="BT111" s="55" t="str">
        <f t="shared" si="139"/>
        <v/>
      </c>
      <c r="BU111" s="55" t="str">
        <f t="shared" si="140"/>
        <v/>
      </c>
      <c r="BV111" s="55" t="str">
        <f t="shared" si="140"/>
        <v/>
      </c>
      <c r="BW111" s="55" t="str">
        <f t="shared" si="140"/>
        <v/>
      </c>
      <c r="BX111" s="55" t="str">
        <f t="shared" si="140"/>
        <v/>
      </c>
      <c r="BY111" s="55" t="str">
        <f t="shared" si="140"/>
        <v/>
      </c>
      <c r="BZ111" s="55" t="str">
        <f t="shared" si="140"/>
        <v/>
      </c>
      <c r="CA111" s="55" t="str">
        <f t="shared" si="140"/>
        <v/>
      </c>
      <c r="CB111" s="55" t="str">
        <f t="shared" si="140"/>
        <v/>
      </c>
      <c r="CC111" s="55" t="str">
        <f t="shared" si="140"/>
        <v/>
      </c>
      <c r="CD111" s="55" t="str">
        <f t="shared" si="140"/>
        <v/>
      </c>
      <c r="CE111" s="55" t="str">
        <f t="shared" si="140"/>
        <v/>
      </c>
      <c r="CF111" s="55" t="str">
        <f t="shared" si="140"/>
        <v/>
      </c>
      <c r="CG111" s="55" t="str">
        <f t="shared" si="140"/>
        <v/>
      </c>
      <c r="CH111" s="55" t="str">
        <f t="shared" si="140"/>
        <v/>
      </c>
      <c r="CI111" s="55" t="str">
        <f t="shared" si="140"/>
        <v/>
      </c>
      <c r="CJ111" s="55" t="str">
        <f t="shared" si="140"/>
        <v/>
      </c>
      <c r="CK111" s="55" t="str">
        <f t="shared" si="140"/>
        <v/>
      </c>
      <c r="CL111" s="55" t="str">
        <f t="shared" si="140"/>
        <v/>
      </c>
      <c r="CM111" s="55" t="str">
        <f t="shared" si="140"/>
        <v/>
      </c>
      <c r="CN111" s="55" t="str">
        <f t="shared" si="140"/>
        <v/>
      </c>
      <c r="CO111" s="55" t="str">
        <f t="shared" si="140"/>
        <v/>
      </c>
      <c r="CP111" s="55" t="str">
        <f t="shared" si="140"/>
        <v/>
      </c>
      <c r="CQ111" s="55" t="str">
        <f t="shared" si="140"/>
        <v/>
      </c>
      <c r="CR111" s="55" t="str">
        <f t="shared" si="140"/>
        <v/>
      </c>
      <c r="CS111" s="55" t="str">
        <f t="shared" si="140"/>
        <v/>
      </c>
      <c r="CT111" s="55" t="str">
        <f t="shared" si="140"/>
        <v/>
      </c>
      <c r="CU111" s="55" t="str">
        <f t="shared" si="140"/>
        <v/>
      </c>
      <c r="CV111" s="55" t="str">
        <f t="shared" si="140"/>
        <v/>
      </c>
      <c r="CW111" s="55" t="str">
        <f t="shared" si="140"/>
        <v/>
      </c>
      <c r="CX111" s="55" t="str">
        <f t="shared" si="140"/>
        <v/>
      </c>
      <c r="CY111" s="55" t="str">
        <f t="shared" si="140"/>
        <v/>
      </c>
      <c r="CZ111" s="55" t="str">
        <f t="shared" si="140"/>
        <v/>
      </c>
      <c r="DA111" s="55" t="str">
        <f t="shared" si="140"/>
        <v/>
      </c>
      <c r="DB111" s="55" t="str">
        <f t="shared" si="140"/>
        <v/>
      </c>
      <c r="DC111" s="55" t="str">
        <f t="shared" si="140"/>
        <v/>
      </c>
      <c r="DD111" s="55" t="str">
        <f t="shared" si="140"/>
        <v/>
      </c>
      <c r="DE111" s="55" t="str">
        <f t="shared" si="140"/>
        <v/>
      </c>
      <c r="DF111" s="55" t="str">
        <f t="shared" si="140"/>
        <v/>
      </c>
      <c r="DG111" s="55" t="str">
        <f t="shared" si="140"/>
        <v/>
      </c>
      <c r="DH111" s="55" t="str">
        <f t="shared" si="140"/>
        <v/>
      </c>
      <c r="DI111" s="55" t="str">
        <f t="shared" si="140"/>
        <v/>
      </c>
      <c r="DJ111" s="55" t="str">
        <f t="shared" si="140"/>
        <v/>
      </c>
      <c r="DK111" s="55" t="str">
        <f t="shared" si="140"/>
        <v/>
      </c>
      <c r="DL111" s="55" t="str">
        <f t="shared" si="140"/>
        <v/>
      </c>
      <c r="DM111" s="55" t="str">
        <f t="shared" si="140"/>
        <v/>
      </c>
      <c r="DN111" s="55" t="str">
        <f t="shared" si="140"/>
        <v/>
      </c>
      <c r="DO111" s="55" t="str">
        <f t="shared" si="140"/>
        <v/>
      </c>
      <c r="DP111" s="55" t="str">
        <f t="shared" si="140"/>
        <v/>
      </c>
      <c r="DQ111" s="55" t="str">
        <f t="shared" si="140"/>
        <v/>
      </c>
      <c r="DR111" s="55" t="str">
        <f t="shared" si="140"/>
        <v/>
      </c>
      <c r="DS111" s="55" t="str">
        <f t="shared" si="140"/>
        <v/>
      </c>
      <c r="DT111" s="110" t="str">
        <f t="shared" si="140"/>
        <v/>
      </c>
      <c r="DU111" s="54"/>
      <c r="DV111" s="25"/>
      <c r="DW111" s="61" t="str">
        <f t="shared" si="141"/>
        <v/>
      </c>
      <c r="DX111" s="50" t="str">
        <f t="shared" si="141"/>
        <v/>
      </c>
      <c r="DY111" s="50" t="str">
        <f t="shared" si="141"/>
        <v/>
      </c>
      <c r="DZ111" s="50" t="str">
        <f t="shared" si="141"/>
        <v/>
      </c>
      <c r="EA111" s="50" t="str">
        <f t="shared" si="141"/>
        <v/>
      </c>
      <c r="EB111" s="50" t="str">
        <f t="shared" si="141"/>
        <v/>
      </c>
      <c r="EC111" s="50" t="str">
        <f t="shared" si="141"/>
        <v/>
      </c>
      <c r="ED111" s="50" t="str">
        <f t="shared" si="141"/>
        <v/>
      </c>
      <c r="EE111" s="50" t="str">
        <f t="shared" si="141"/>
        <v/>
      </c>
      <c r="EF111" s="50" t="str">
        <f t="shared" si="141"/>
        <v/>
      </c>
      <c r="EG111" s="50" t="str">
        <f t="shared" si="141"/>
        <v/>
      </c>
      <c r="EH111" s="50" t="str">
        <f t="shared" si="141"/>
        <v/>
      </c>
      <c r="EI111" s="50" t="str">
        <f t="shared" si="141"/>
        <v/>
      </c>
      <c r="EJ111" s="50" t="str">
        <f t="shared" si="141"/>
        <v/>
      </c>
      <c r="EK111" s="50" t="str">
        <f t="shared" si="141"/>
        <v/>
      </c>
      <c r="EL111" s="50" t="str">
        <f t="shared" si="141"/>
        <v/>
      </c>
      <c r="EM111" s="50" t="str">
        <f t="shared" si="142"/>
        <v/>
      </c>
      <c r="EN111" s="50" t="str">
        <f t="shared" si="142"/>
        <v/>
      </c>
      <c r="EO111" s="50" t="str">
        <f t="shared" si="142"/>
        <v/>
      </c>
      <c r="EP111" s="50" t="str">
        <f t="shared" si="142"/>
        <v/>
      </c>
      <c r="EQ111" s="50" t="str">
        <f t="shared" si="142"/>
        <v/>
      </c>
      <c r="ER111" s="50" t="str">
        <f t="shared" si="142"/>
        <v/>
      </c>
      <c r="ES111" s="50" t="str">
        <f t="shared" si="142"/>
        <v/>
      </c>
      <c r="ET111" s="50" t="str">
        <f t="shared" si="142"/>
        <v/>
      </c>
      <c r="EU111" s="50" t="str">
        <f t="shared" si="142"/>
        <v/>
      </c>
      <c r="EV111" s="50" t="str">
        <f t="shared" si="142"/>
        <v/>
      </c>
      <c r="EW111" s="50" t="str">
        <f t="shared" si="142"/>
        <v/>
      </c>
      <c r="EX111" s="50" t="str">
        <f t="shared" si="142"/>
        <v/>
      </c>
      <c r="EY111" s="50" t="str">
        <f t="shared" si="142"/>
        <v/>
      </c>
      <c r="EZ111" s="50" t="str">
        <f t="shared" si="142"/>
        <v/>
      </c>
      <c r="FA111" s="50" t="str">
        <f t="shared" si="142"/>
        <v/>
      </c>
      <c r="FB111" s="50" t="str">
        <f t="shared" si="142"/>
        <v/>
      </c>
      <c r="FC111" s="50" t="str">
        <f t="shared" si="143"/>
        <v/>
      </c>
      <c r="FD111" s="50" t="str">
        <f t="shared" si="143"/>
        <v/>
      </c>
      <c r="FE111" s="50" t="str">
        <f t="shared" si="143"/>
        <v/>
      </c>
      <c r="FF111" s="50" t="str">
        <f t="shared" si="143"/>
        <v/>
      </c>
      <c r="FG111" s="50" t="str">
        <f t="shared" si="143"/>
        <v/>
      </c>
      <c r="FH111" s="50" t="str">
        <f t="shared" si="143"/>
        <v/>
      </c>
      <c r="FI111" s="50" t="str">
        <f t="shared" si="143"/>
        <v/>
      </c>
      <c r="FJ111" s="50" t="str">
        <f t="shared" si="143"/>
        <v/>
      </c>
      <c r="FK111" s="50" t="str">
        <f t="shared" si="143"/>
        <v/>
      </c>
      <c r="FL111" s="50" t="str">
        <f t="shared" si="143"/>
        <v/>
      </c>
      <c r="FM111" s="50" t="str">
        <f t="shared" si="143"/>
        <v/>
      </c>
      <c r="FN111" s="50" t="str">
        <f t="shared" si="143"/>
        <v/>
      </c>
      <c r="FO111" s="50" t="str">
        <f t="shared" si="143"/>
        <v/>
      </c>
      <c r="FP111" s="50" t="str">
        <f t="shared" si="143"/>
        <v/>
      </c>
      <c r="FQ111" s="50" t="str">
        <f t="shared" si="143"/>
        <v/>
      </c>
      <c r="FR111" s="50" t="str">
        <f t="shared" si="143"/>
        <v/>
      </c>
      <c r="FS111" s="50" t="str">
        <f t="shared" si="144"/>
        <v/>
      </c>
      <c r="FT111" s="50" t="str">
        <f t="shared" si="144"/>
        <v/>
      </c>
      <c r="FU111" s="50" t="str">
        <f t="shared" si="144"/>
        <v/>
      </c>
      <c r="FV111" s="50" t="str">
        <f t="shared" si="144"/>
        <v/>
      </c>
      <c r="FW111" s="50" t="str">
        <f t="shared" si="144"/>
        <v/>
      </c>
      <c r="FX111" s="50" t="str">
        <f t="shared" si="144"/>
        <v/>
      </c>
      <c r="FY111" s="50" t="str">
        <f t="shared" si="144"/>
        <v/>
      </c>
      <c r="FZ111" s="50" t="str">
        <f t="shared" si="144"/>
        <v/>
      </c>
      <c r="GA111" s="50" t="str">
        <f t="shared" si="144"/>
        <v/>
      </c>
      <c r="GB111" s="50" t="str">
        <f t="shared" si="144"/>
        <v/>
      </c>
      <c r="GC111" s="50" t="str">
        <f t="shared" si="144"/>
        <v/>
      </c>
      <c r="GD111" s="50" t="str">
        <f t="shared" si="144"/>
        <v/>
      </c>
      <c r="GE111" s="50" t="str">
        <f t="shared" si="144"/>
        <v/>
      </c>
      <c r="GF111" s="50" t="str">
        <f t="shared" si="144"/>
        <v/>
      </c>
      <c r="GG111" s="50" t="str">
        <f t="shared" si="144"/>
        <v/>
      </c>
      <c r="GH111" s="50" t="str">
        <f t="shared" si="144"/>
        <v/>
      </c>
      <c r="GI111" s="50" t="str">
        <f t="shared" si="144"/>
        <v/>
      </c>
      <c r="GJ111" s="50" t="str">
        <f t="shared" si="144"/>
        <v/>
      </c>
      <c r="GK111" s="50" t="str">
        <f t="shared" si="144"/>
        <v/>
      </c>
      <c r="GL111" s="50" t="str">
        <f t="shared" si="144"/>
        <v/>
      </c>
      <c r="GM111" s="50" t="str">
        <f t="shared" si="144"/>
        <v/>
      </c>
      <c r="GN111" s="50" t="str">
        <f t="shared" si="144"/>
        <v/>
      </c>
      <c r="GO111" s="50" t="str">
        <f t="shared" si="144"/>
        <v/>
      </c>
      <c r="GP111" s="50" t="str">
        <f t="shared" si="144"/>
        <v/>
      </c>
      <c r="GQ111" s="50" t="str">
        <f t="shared" si="144"/>
        <v/>
      </c>
      <c r="GR111" s="50" t="str">
        <f t="shared" si="144"/>
        <v/>
      </c>
      <c r="GS111" s="50" t="str">
        <f t="shared" si="144"/>
        <v/>
      </c>
      <c r="GT111" s="50" t="str">
        <f t="shared" si="144"/>
        <v/>
      </c>
      <c r="GU111" s="50" t="str">
        <f t="shared" si="144"/>
        <v/>
      </c>
      <c r="GV111" s="50" t="str">
        <f t="shared" si="144"/>
        <v/>
      </c>
      <c r="GW111" s="50" t="str">
        <f t="shared" si="144"/>
        <v/>
      </c>
      <c r="GX111" s="50" t="str">
        <f t="shared" si="144"/>
        <v/>
      </c>
      <c r="GY111" s="50" t="str">
        <f t="shared" si="144"/>
        <v/>
      </c>
      <c r="GZ111" s="50" t="str">
        <f t="shared" si="144"/>
        <v/>
      </c>
      <c r="HA111" s="50" t="str">
        <f t="shared" si="144"/>
        <v/>
      </c>
      <c r="HB111" s="50" t="str">
        <f t="shared" si="144"/>
        <v/>
      </c>
      <c r="HC111" s="50" t="str">
        <f t="shared" si="144"/>
        <v/>
      </c>
      <c r="HD111" s="50" t="str">
        <f t="shared" si="144"/>
        <v/>
      </c>
      <c r="HE111" s="50" t="str">
        <f t="shared" si="144"/>
        <v/>
      </c>
      <c r="HF111" s="50" t="str">
        <f t="shared" si="144"/>
        <v/>
      </c>
      <c r="HG111" s="50" t="str">
        <f t="shared" si="144"/>
        <v/>
      </c>
      <c r="HH111" s="50" t="str">
        <f t="shared" si="144"/>
        <v/>
      </c>
      <c r="HI111" s="50" t="str">
        <f t="shared" si="144"/>
        <v/>
      </c>
      <c r="HJ111" s="50" t="str">
        <f t="shared" si="144"/>
        <v/>
      </c>
      <c r="HK111" s="50" t="str">
        <f t="shared" si="144"/>
        <v/>
      </c>
      <c r="HL111" s="50" t="str">
        <f t="shared" si="144"/>
        <v/>
      </c>
      <c r="HM111" s="50" t="str">
        <f t="shared" si="144"/>
        <v/>
      </c>
      <c r="HN111" s="50" t="str">
        <f t="shared" si="144"/>
        <v/>
      </c>
      <c r="HO111" s="50" t="str">
        <f t="shared" si="144"/>
        <v/>
      </c>
      <c r="HP111" s="50" t="str">
        <f t="shared" si="144"/>
        <v/>
      </c>
      <c r="HQ111" s="50" t="str">
        <f t="shared" si="144"/>
        <v/>
      </c>
      <c r="HR111" s="116" t="str">
        <f t="shared" si="144"/>
        <v/>
      </c>
    </row>
    <row r="112" spans="1:226" ht="11.15" customHeight="1" x14ac:dyDescent="0.25">
      <c r="A112" s="26"/>
      <c r="B112" s="27"/>
      <c r="C112" s="28" t="str">
        <f>IF(A112=0,"",VLOOKUP(A112,[3]CO!$A$3:$F$5327,2,0))</f>
        <v/>
      </c>
      <c r="D112" s="29"/>
      <c r="E112" s="29"/>
      <c r="F112" s="104" t="str">
        <f t="shared" si="145"/>
        <v/>
      </c>
      <c r="G112" s="30" t="str">
        <f>IF(A112=0,"",VLOOKUP(A112,[3]CO!$A$3:$F$5327,3,0))</f>
        <v/>
      </c>
      <c r="H112" s="95"/>
      <c r="I112" s="31"/>
      <c r="J112" s="31"/>
      <c r="K112" s="31"/>
      <c r="L112" s="31"/>
      <c r="M112" s="32" t="str">
        <f t="shared" si="135"/>
        <v/>
      </c>
      <c r="N112" s="32" t="str">
        <f>IF(B112=0,"",IF(H112="M",HLOOKUP(B112,$Y$12:$DT$13,2),IF(A112=0,"",VLOOKUP(A112,[3]CO!$A$3:$F$5327,4,0))))</f>
        <v/>
      </c>
      <c r="O112" s="32" t="str">
        <f t="shared" si="11"/>
        <v/>
      </c>
      <c r="P112" s="33"/>
      <c r="Q112" s="34" t="str">
        <f t="shared" si="136"/>
        <v/>
      </c>
      <c r="R112" s="35"/>
      <c r="S112" s="98"/>
      <c r="T112" s="53" t="str">
        <f>IF(A112=0,"",VLOOKUP(A112,[3]CO!$A$3:$F$5318,5,0))</f>
        <v/>
      </c>
      <c r="U112" s="54">
        <f t="shared" si="93"/>
        <v>0</v>
      </c>
      <c r="V112" s="24"/>
      <c r="W112" s="25"/>
      <c r="X112" s="25"/>
      <c r="Y112" s="64" t="str">
        <f t="shared" si="137"/>
        <v/>
      </c>
      <c r="Z112" s="55" t="str">
        <f t="shared" si="137"/>
        <v/>
      </c>
      <c r="AA112" s="55" t="str">
        <f t="shared" si="137"/>
        <v/>
      </c>
      <c r="AB112" s="55" t="str">
        <f t="shared" si="137"/>
        <v/>
      </c>
      <c r="AC112" s="55" t="str">
        <f t="shared" si="137"/>
        <v/>
      </c>
      <c r="AD112" s="55" t="str">
        <f t="shared" si="137"/>
        <v/>
      </c>
      <c r="AE112" s="55" t="str">
        <f t="shared" si="137"/>
        <v/>
      </c>
      <c r="AF112" s="55" t="str">
        <f t="shared" si="137"/>
        <v/>
      </c>
      <c r="AG112" s="55" t="str">
        <f t="shared" si="137"/>
        <v/>
      </c>
      <c r="AH112" s="55" t="str">
        <f t="shared" si="137"/>
        <v/>
      </c>
      <c r="AI112" s="55" t="str">
        <f t="shared" si="137"/>
        <v/>
      </c>
      <c r="AJ112" s="55" t="str">
        <f t="shared" si="137"/>
        <v/>
      </c>
      <c r="AK112" s="55" t="str">
        <f t="shared" si="137"/>
        <v/>
      </c>
      <c r="AL112" s="55" t="str">
        <f t="shared" si="137"/>
        <v/>
      </c>
      <c r="AM112" s="55" t="str">
        <f t="shared" si="137"/>
        <v/>
      </c>
      <c r="AN112" s="55" t="str">
        <f t="shared" si="137"/>
        <v/>
      </c>
      <c r="AO112" s="55" t="str">
        <f t="shared" si="138"/>
        <v/>
      </c>
      <c r="AP112" s="55" t="str">
        <f t="shared" si="138"/>
        <v/>
      </c>
      <c r="AQ112" s="55" t="str">
        <f t="shared" si="138"/>
        <v/>
      </c>
      <c r="AR112" s="55" t="str">
        <f t="shared" si="138"/>
        <v/>
      </c>
      <c r="AS112" s="55" t="str">
        <f t="shared" si="138"/>
        <v/>
      </c>
      <c r="AT112" s="55" t="str">
        <f t="shared" si="138"/>
        <v/>
      </c>
      <c r="AU112" s="55" t="str">
        <f t="shared" si="138"/>
        <v/>
      </c>
      <c r="AV112" s="55" t="str">
        <f t="shared" si="138"/>
        <v/>
      </c>
      <c r="AW112" s="55" t="str">
        <f t="shared" si="138"/>
        <v/>
      </c>
      <c r="AX112" s="55" t="str">
        <f t="shared" si="138"/>
        <v/>
      </c>
      <c r="AY112" s="55" t="str">
        <f t="shared" si="138"/>
        <v/>
      </c>
      <c r="AZ112" s="55" t="str">
        <f t="shared" si="138"/>
        <v/>
      </c>
      <c r="BA112" s="55" t="str">
        <f t="shared" si="138"/>
        <v/>
      </c>
      <c r="BB112" s="55" t="str">
        <f t="shared" si="138"/>
        <v/>
      </c>
      <c r="BC112" s="55" t="str">
        <f t="shared" si="138"/>
        <v/>
      </c>
      <c r="BD112" s="55" t="str">
        <f t="shared" si="138"/>
        <v/>
      </c>
      <c r="BE112" s="55" t="str">
        <f t="shared" si="139"/>
        <v/>
      </c>
      <c r="BF112" s="55" t="str">
        <f t="shared" si="139"/>
        <v/>
      </c>
      <c r="BG112" s="55" t="str">
        <f t="shared" si="139"/>
        <v/>
      </c>
      <c r="BH112" s="55" t="str">
        <f t="shared" si="139"/>
        <v/>
      </c>
      <c r="BI112" s="55" t="str">
        <f t="shared" si="139"/>
        <v/>
      </c>
      <c r="BJ112" s="55" t="str">
        <f t="shared" si="139"/>
        <v/>
      </c>
      <c r="BK112" s="55" t="str">
        <f t="shared" si="139"/>
        <v/>
      </c>
      <c r="BL112" s="55" t="str">
        <f t="shared" si="139"/>
        <v/>
      </c>
      <c r="BM112" s="55" t="str">
        <f t="shared" si="139"/>
        <v/>
      </c>
      <c r="BN112" s="55" t="str">
        <f t="shared" si="139"/>
        <v/>
      </c>
      <c r="BO112" s="55" t="str">
        <f t="shared" si="139"/>
        <v/>
      </c>
      <c r="BP112" s="55" t="str">
        <f t="shared" si="139"/>
        <v/>
      </c>
      <c r="BQ112" s="55" t="str">
        <f t="shared" si="139"/>
        <v/>
      </c>
      <c r="BR112" s="55" t="str">
        <f t="shared" si="139"/>
        <v/>
      </c>
      <c r="BS112" s="55" t="str">
        <f t="shared" si="139"/>
        <v/>
      </c>
      <c r="BT112" s="55" t="str">
        <f t="shared" si="139"/>
        <v/>
      </c>
      <c r="BU112" s="55" t="str">
        <f t="shared" si="140"/>
        <v/>
      </c>
      <c r="BV112" s="55" t="str">
        <f t="shared" si="140"/>
        <v/>
      </c>
      <c r="BW112" s="55" t="str">
        <f t="shared" si="140"/>
        <v/>
      </c>
      <c r="BX112" s="55" t="str">
        <f t="shared" si="140"/>
        <v/>
      </c>
      <c r="BY112" s="55" t="str">
        <f t="shared" si="140"/>
        <v/>
      </c>
      <c r="BZ112" s="55" t="str">
        <f t="shared" si="140"/>
        <v/>
      </c>
      <c r="CA112" s="55" t="str">
        <f t="shared" si="140"/>
        <v/>
      </c>
      <c r="CB112" s="55" t="str">
        <f t="shared" si="140"/>
        <v/>
      </c>
      <c r="CC112" s="55" t="str">
        <f t="shared" si="140"/>
        <v/>
      </c>
      <c r="CD112" s="55" t="str">
        <f t="shared" si="140"/>
        <v/>
      </c>
      <c r="CE112" s="55" t="str">
        <f t="shared" si="140"/>
        <v/>
      </c>
      <c r="CF112" s="55" t="str">
        <f t="shared" si="140"/>
        <v/>
      </c>
      <c r="CG112" s="55" t="str">
        <f t="shared" si="140"/>
        <v/>
      </c>
      <c r="CH112" s="55" t="str">
        <f t="shared" si="140"/>
        <v/>
      </c>
      <c r="CI112" s="55" t="str">
        <f t="shared" si="140"/>
        <v/>
      </c>
      <c r="CJ112" s="55" t="str">
        <f t="shared" si="140"/>
        <v/>
      </c>
      <c r="CK112" s="55" t="str">
        <f t="shared" si="140"/>
        <v/>
      </c>
      <c r="CL112" s="55" t="str">
        <f t="shared" si="140"/>
        <v/>
      </c>
      <c r="CM112" s="55" t="str">
        <f t="shared" si="140"/>
        <v/>
      </c>
      <c r="CN112" s="55" t="str">
        <f t="shared" si="140"/>
        <v/>
      </c>
      <c r="CO112" s="55" t="str">
        <f t="shared" si="140"/>
        <v/>
      </c>
      <c r="CP112" s="55" t="str">
        <f t="shared" si="140"/>
        <v/>
      </c>
      <c r="CQ112" s="55" t="str">
        <f t="shared" si="140"/>
        <v/>
      </c>
      <c r="CR112" s="55" t="str">
        <f t="shared" si="140"/>
        <v/>
      </c>
      <c r="CS112" s="55" t="str">
        <f t="shared" si="140"/>
        <v/>
      </c>
      <c r="CT112" s="55" t="str">
        <f t="shared" si="140"/>
        <v/>
      </c>
      <c r="CU112" s="55" t="str">
        <f t="shared" si="140"/>
        <v/>
      </c>
      <c r="CV112" s="55" t="str">
        <f t="shared" si="140"/>
        <v/>
      </c>
      <c r="CW112" s="55" t="str">
        <f t="shared" si="140"/>
        <v/>
      </c>
      <c r="CX112" s="55" t="str">
        <f t="shared" si="140"/>
        <v/>
      </c>
      <c r="CY112" s="55" t="str">
        <f t="shared" si="140"/>
        <v/>
      </c>
      <c r="CZ112" s="55" t="str">
        <f t="shared" si="140"/>
        <v/>
      </c>
      <c r="DA112" s="55" t="str">
        <f t="shared" si="140"/>
        <v/>
      </c>
      <c r="DB112" s="55" t="str">
        <f t="shared" si="140"/>
        <v/>
      </c>
      <c r="DC112" s="55" t="str">
        <f t="shared" si="140"/>
        <v/>
      </c>
      <c r="DD112" s="55" t="str">
        <f t="shared" si="140"/>
        <v/>
      </c>
      <c r="DE112" s="55" t="str">
        <f t="shared" si="140"/>
        <v/>
      </c>
      <c r="DF112" s="55" t="str">
        <f t="shared" si="140"/>
        <v/>
      </c>
      <c r="DG112" s="55" t="str">
        <f t="shared" si="140"/>
        <v/>
      </c>
      <c r="DH112" s="55" t="str">
        <f t="shared" si="140"/>
        <v/>
      </c>
      <c r="DI112" s="55" t="str">
        <f t="shared" si="140"/>
        <v/>
      </c>
      <c r="DJ112" s="55" t="str">
        <f t="shared" si="140"/>
        <v/>
      </c>
      <c r="DK112" s="55" t="str">
        <f t="shared" si="140"/>
        <v/>
      </c>
      <c r="DL112" s="55" t="str">
        <f t="shared" si="140"/>
        <v/>
      </c>
      <c r="DM112" s="55" t="str">
        <f t="shared" si="140"/>
        <v/>
      </c>
      <c r="DN112" s="55" t="str">
        <f t="shared" si="140"/>
        <v/>
      </c>
      <c r="DO112" s="55" t="str">
        <f t="shared" si="140"/>
        <v/>
      </c>
      <c r="DP112" s="55" t="str">
        <f t="shared" si="140"/>
        <v/>
      </c>
      <c r="DQ112" s="55" t="str">
        <f t="shared" si="140"/>
        <v/>
      </c>
      <c r="DR112" s="55" t="str">
        <f t="shared" si="140"/>
        <v/>
      </c>
      <c r="DS112" s="55" t="str">
        <f t="shared" si="140"/>
        <v/>
      </c>
      <c r="DT112" s="110" t="str">
        <f t="shared" si="140"/>
        <v/>
      </c>
      <c r="DU112" s="54"/>
      <c r="DV112" s="25"/>
      <c r="DW112" s="61" t="str">
        <f t="shared" si="141"/>
        <v/>
      </c>
      <c r="DX112" s="50" t="str">
        <f t="shared" si="141"/>
        <v/>
      </c>
      <c r="DY112" s="50" t="str">
        <f t="shared" si="141"/>
        <v/>
      </c>
      <c r="DZ112" s="50" t="str">
        <f t="shared" si="141"/>
        <v/>
      </c>
      <c r="EA112" s="50" t="str">
        <f t="shared" si="141"/>
        <v/>
      </c>
      <c r="EB112" s="50" t="str">
        <f t="shared" si="141"/>
        <v/>
      </c>
      <c r="EC112" s="50" t="str">
        <f t="shared" si="141"/>
        <v/>
      </c>
      <c r="ED112" s="50" t="str">
        <f t="shared" si="141"/>
        <v/>
      </c>
      <c r="EE112" s="50" t="str">
        <f t="shared" si="141"/>
        <v/>
      </c>
      <c r="EF112" s="50" t="str">
        <f t="shared" si="141"/>
        <v/>
      </c>
      <c r="EG112" s="50" t="str">
        <f t="shared" si="141"/>
        <v/>
      </c>
      <c r="EH112" s="50" t="str">
        <f t="shared" si="141"/>
        <v/>
      </c>
      <c r="EI112" s="50" t="str">
        <f t="shared" si="141"/>
        <v/>
      </c>
      <c r="EJ112" s="50" t="str">
        <f t="shared" si="141"/>
        <v/>
      </c>
      <c r="EK112" s="50" t="str">
        <f t="shared" si="141"/>
        <v/>
      </c>
      <c r="EL112" s="50" t="str">
        <f t="shared" si="141"/>
        <v/>
      </c>
      <c r="EM112" s="50" t="str">
        <f t="shared" si="142"/>
        <v/>
      </c>
      <c r="EN112" s="50" t="str">
        <f t="shared" si="142"/>
        <v/>
      </c>
      <c r="EO112" s="50" t="str">
        <f t="shared" si="142"/>
        <v/>
      </c>
      <c r="EP112" s="50" t="str">
        <f t="shared" si="142"/>
        <v/>
      </c>
      <c r="EQ112" s="50" t="str">
        <f t="shared" si="142"/>
        <v/>
      </c>
      <c r="ER112" s="50" t="str">
        <f t="shared" si="142"/>
        <v/>
      </c>
      <c r="ES112" s="50" t="str">
        <f t="shared" si="142"/>
        <v/>
      </c>
      <c r="ET112" s="50" t="str">
        <f t="shared" si="142"/>
        <v/>
      </c>
      <c r="EU112" s="50" t="str">
        <f t="shared" si="142"/>
        <v/>
      </c>
      <c r="EV112" s="50" t="str">
        <f t="shared" si="142"/>
        <v/>
      </c>
      <c r="EW112" s="50" t="str">
        <f t="shared" si="142"/>
        <v/>
      </c>
      <c r="EX112" s="50" t="str">
        <f t="shared" si="142"/>
        <v/>
      </c>
      <c r="EY112" s="50" t="str">
        <f t="shared" si="142"/>
        <v/>
      </c>
      <c r="EZ112" s="50" t="str">
        <f t="shared" si="142"/>
        <v/>
      </c>
      <c r="FA112" s="50" t="str">
        <f t="shared" si="142"/>
        <v/>
      </c>
      <c r="FB112" s="50" t="str">
        <f t="shared" si="142"/>
        <v/>
      </c>
      <c r="FC112" s="50" t="str">
        <f t="shared" si="143"/>
        <v/>
      </c>
      <c r="FD112" s="50" t="str">
        <f t="shared" si="143"/>
        <v/>
      </c>
      <c r="FE112" s="50" t="str">
        <f t="shared" si="143"/>
        <v/>
      </c>
      <c r="FF112" s="50" t="str">
        <f t="shared" si="143"/>
        <v/>
      </c>
      <c r="FG112" s="50" t="str">
        <f t="shared" si="143"/>
        <v/>
      </c>
      <c r="FH112" s="50" t="str">
        <f t="shared" si="143"/>
        <v/>
      </c>
      <c r="FI112" s="50" t="str">
        <f t="shared" si="143"/>
        <v/>
      </c>
      <c r="FJ112" s="50" t="str">
        <f t="shared" si="143"/>
        <v/>
      </c>
      <c r="FK112" s="50" t="str">
        <f t="shared" si="143"/>
        <v/>
      </c>
      <c r="FL112" s="50" t="str">
        <f t="shared" si="143"/>
        <v/>
      </c>
      <c r="FM112" s="50" t="str">
        <f t="shared" si="143"/>
        <v/>
      </c>
      <c r="FN112" s="50" t="str">
        <f t="shared" si="143"/>
        <v/>
      </c>
      <c r="FO112" s="50" t="str">
        <f t="shared" si="143"/>
        <v/>
      </c>
      <c r="FP112" s="50" t="str">
        <f t="shared" si="143"/>
        <v/>
      </c>
      <c r="FQ112" s="50" t="str">
        <f t="shared" si="143"/>
        <v/>
      </c>
      <c r="FR112" s="50" t="str">
        <f t="shared" si="143"/>
        <v/>
      </c>
      <c r="FS112" s="50" t="str">
        <f t="shared" si="144"/>
        <v/>
      </c>
      <c r="FT112" s="50" t="str">
        <f t="shared" si="144"/>
        <v/>
      </c>
      <c r="FU112" s="50" t="str">
        <f t="shared" si="144"/>
        <v/>
      </c>
      <c r="FV112" s="50" t="str">
        <f t="shared" si="144"/>
        <v/>
      </c>
      <c r="FW112" s="50" t="str">
        <f t="shared" si="144"/>
        <v/>
      </c>
      <c r="FX112" s="50" t="str">
        <f t="shared" si="144"/>
        <v/>
      </c>
      <c r="FY112" s="50" t="str">
        <f t="shared" si="144"/>
        <v/>
      </c>
      <c r="FZ112" s="50" t="str">
        <f t="shared" si="144"/>
        <v/>
      </c>
      <c r="GA112" s="50" t="str">
        <f t="shared" si="144"/>
        <v/>
      </c>
      <c r="GB112" s="50" t="str">
        <f t="shared" si="144"/>
        <v/>
      </c>
      <c r="GC112" s="50" t="str">
        <f t="shared" si="144"/>
        <v/>
      </c>
      <c r="GD112" s="50" t="str">
        <f t="shared" si="144"/>
        <v/>
      </c>
      <c r="GE112" s="50" t="str">
        <f t="shared" si="144"/>
        <v/>
      </c>
      <c r="GF112" s="50" t="str">
        <f t="shared" si="144"/>
        <v/>
      </c>
      <c r="GG112" s="50" t="str">
        <f t="shared" si="144"/>
        <v/>
      </c>
      <c r="GH112" s="50" t="str">
        <f t="shared" si="144"/>
        <v/>
      </c>
      <c r="GI112" s="50" t="str">
        <f t="shared" si="144"/>
        <v/>
      </c>
      <c r="GJ112" s="50" t="str">
        <f t="shared" si="144"/>
        <v/>
      </c>
      <c r="GK112" s="50" t="str">
        <f t="shared" si="144"/>
        <v/>
      </c>
      <c r="GL112" s="50" t="str">
        <f t="shared" si="144"/>
        <v/>
      </c>
      <c r="GM112" s="50" t="str">
        <f t="shared" si="144"/>
        <v/>
      </c>
      <c r="GN112" s="50" t="str">
        <f t="shared" si="144"/>
        <v/>
      </c>
      <c r="GO112" s="50" t="str">
        <f t="shared" si="144"/>
        <v/>
      </c>
      <c r="GP112" s="50" t="str">
        <f t="shared" si="144"/>
        <v/>
      </c>
      <c r="GQ112" s="50" t="str">
        <f t="shared" si="144"/>
        <v/>
      </c>
      <c r="GR112" s="50" t="str">
        <f t="shared" si="144"/>
        <v/>
      </c>
      <c r="GS112" s="50" t="str">
        <f t="shared" si="144"/>
        <v/>
      </c>
      <c r="GT112" s="50" t="str">
        <f t="shared" si="144"/>
        <v/>
      </c>
      <c r="GU112" s="50" t="str">
        <f t="shared" si="144"/>
        <v/>
      </c>
      <c r="GV112" s="50" t="str">
        <f t="shared" si="144"/>
        <v/>
      </c>
      <c r="GW112" s="50" t="str">
        <f t="shared" si="144"/>
        <v/>
      </c>
      <c r="GX112" s="50" t="str">
        <f t="shared" si="144"/>
        <v/>
      </c>
      <c r="GY112" s="50" t="str">
        <f t="shared" si="144"/>
        <v/>
      </c>
      <c r="GZ112" s="50" t="str">
        <f t="shared" si="144"/>
        <v/>
      </c>
      <c r="HA112" s="50" t="str">
        <f t="shared" si="144"/>
        <v/>
      </c>
      <c r="HB112" s="50" t="str">
        <f t="shared" si="144"/>
        <v/>
      </c>
      <c r="HC112" s="50" t="str">
        <f t="shared" si="144"/>
        <v/>
      </c>
      <c r="HD112" s="50" t="str">
        <f t="shared" si="144"/>
        <v/>
      </c>
      <c r="HE112" s="50" t="str">
        <f t="shared" si="144"/>
        <v/>
      </c>
      <c r="HF112" s="50" t="str">
        <f t="shared" si="144"/>
        <v/>
      </c>
      <c r="HG112" s="50" t="str">
        <f t="shared" si="144"/>
        <v/>
      </c>
      <c r="HH112" s="50" t="str">
        <f t="shared" si="144"/>
        <v/>
      </c>
      <c r="HI112" s="50" t="str">
        <f t="shared" si="144"/>
        <v/>
      </c>
      <c r="HJ112" s="50" t="str">
        <f t="shared" si="144"/>
        <v/>
      </c>
      <c r="HK112" s="50" t="str">
        <f t="shared" si="144"/>
        <v/>
      </c>
      <c r="HL112" s="50" t="str">
        <f t="shared" si="144"/>
        <v/>
      </c>
      <c r="HM112" s="50" t="str">
        <f t="shared" si="144"/>
        <v/>
      </c>
      <c r="HN112" s="50" t="str">
        <f t="shared" si="144"/>
        <v/>
      </c>
      <c r="HO112" s="50" t="str">
        <f t="shared" si="144"/>
        <v/>
      </c>
      <c r="HP112" s="50" t="str">
        <f t="shared" si="144"/>
        <v/>
      </c>
      <c r="HQ112" s="50" t="str">
        <f t="shared" si="144"/>
        <v/>
      </c>
      <c r="HR112" s="116" t="str">
        <f t="shared" si="144"/>
        <v/>
      </c>
    </row>
    <row r="113" spans="1:226" ht="11.15" customHeight="1" x14ac:dyDescent="0.25">
      <c r="A113" s="26"/>
      <c r="B113" s="27"/>
      <c r="C113" s="28" t="str">
        <f>IF(A113=0,"",VLOOKUP(A113,[3]CO!$A$3:$F$5327,2,0))</f>
        <v/>
      </c>
      <c r="D113" s="29"/>
      <c r="E113" s="29"/>
      <c r="F113" s="104" t="str">
        <f t="shared" si="145"/>
        <v/>
      </c>
      <c r="G113" s="30" t="str">
        <f>IF(A113=0,"",VLOOKUP(A113,[3]CO!$A$3:$F$5327,3,0))</f>
        <v/>
      </c>
      <c r="H113" s="95"/>
      <c r="I113" s="31"/>
      <c r="J113" s="31"/>
      <c r="K113" s="31"/>
      <c r="L113" s="31"/>
      <c r="M113" s="32" t="str">
        <f t="shared" si="135"/>
        <v/>
      </c>
      <c r="N113" s="32" t="str">
        <f>IF(B113=0,"",IF(H113="M",HLOOKUP(B113,$Y$12:$DT$13,2),IF(A113=0,"",VLOOKUP(A113,[3]CO!$A$3:$F$5327,4,0))))</f>
        <v/>
      </c>
      <c r="O113" s="32" t="str">
        <f t="shared" si="11"/>
        <v/>
      </c>
      <c r="P113" s="33"/>
      <c r="Q113" s="34" t="str">
        <f t="shared" si="136"/>
        <v/>
      </c>
      <c r="R113" s="35"/>
      <c r="S113" s="98"/>
      <c r="T113" s="53" t="str">
        <f>IF(A113=0,"",VLOOKUP(A113,[3]CO!$A$3:$F$5318,5,0))</f>
        <v/>
      </c>
      <c r="U113" s="54">
        <f t="shared" si="93"/>
        <v>0</v>
      </c>
      <c r="V113" s="24"/>
      <c r="W113" s="25"/>
      <c r="X113" s="25"/>
      <c r="Y113" s="64" t="str">
        <f t="shared" si="137"/>
        <v/>
      </c>
      <c r="Z113" s="55" t="str">
        <f t="shared" si="137"/>
        <v/>
      </c>
      <c r="AA113" s="55" t="str">
        <f t="shared" si="137"/>
        <v/>
      </c>
      <c r="AB113" s="55" t="str">
        <f t="shared" si="137"/>
        <v/>
      </c>
      <c r="AC113" s="55" t="str">
        <f t="shared" si="137"/>
        <v/>
      </c>
      <c r="AD113" s="55" t="str">
        <f t="shared" si="137"/>
        <v/>
      </c>
      <c r="AE113" s="55" t="str">
        <f t="shared" si="137"/>
        <v/>
      </c>
      <c r="AF113" s="55" t="str">
        <f t="shared" si="137"/>
        <v/>
      </c>
      <c r="AG113" s="55" t="str">
        <f t="shared" si="137"/>
        <v/>
      </c>
      <c r="AH113" s="55" t="str">
        <f t="shared" si="137"/>
        <v/>
      </c>
      <c r="AI113" s="55" t="str">
        <f t="shared" si="137"/>
        <v/>
      </c>
      <c r="AJ113" s="55" t="str">
        <f t="shared" si="137"/>
        <v/>
      </c>
      <c r="AK113" s="55" t="str">
        <f t="shared" si="137"/>
        <v/>
      </c>
      <c r="AL113" s="55" t="str">
        <f t="shared" si="137"/>
        <v/>
      </c>
      <c r="AM113" s="55" t="str">
        <f t="shared" si="137"/>
        <v/>
      </c>
      <c r="AN113" s="55" t="str">
        <f t="shared" si="137"/>
        <v/>
      </c>
      <c r="AO113" s="55" t="str">
        <f t="shared" si="138"/>
        <v/>
      </c>
      <c r="AP113" s="55" t="str">
        <f t="shared" si="138"/>
        <v/>
      </c>
      <c r="AQ113" s="55" t="str">
        <f t="shared" si="138"/>
        <v/>
      </c>
      <c r="AR113" s="55" t="str">
        <f t="shared" si="138"/>
        <v/>
      </c>
      <c r="AS113" s="55" t="str">
        <f t="shared" si="138"/>
        <v/>
      </c>
      <c r="AT113" s="55" t="str">
        <f t="shared" si="138"/>
        <v/>
      </c>
      <c r="AU113" s="55" t="str">
        <f t="shared" si="138"/>
        <v/>
      </c>
      <c r="AV113" s="55" t="str">
        <f t="shared" si="138"/>
        <v/>
      </c>
      <c r="AW113" s="55" t="str">
        <f t="shared" si="138"/>
        <v/>
      </c>
      <c r="AX113" s="55" t="str">
        <f t="shared" si="138"/>
        <v/>
      </c>
      <c r="AY113" s="55" t="str">
        <f t="shared" si="138"/>
        <v/>
      </c>
      <c r="AZ113" s="55" t="str">
        <f t="shared" si="138"/>
        <v/>
      </c>
      <c r="BA113" s="55" t="str">
        <f t="shared" si="138"/>
        <v/>
      </c>
      <c r="BB113" s="55" t="str">
        <f t="shared" si="138"/>
        <v/>
      </c>
      <c r="BC113" s="55" t="str">
        <f t="shared" si="138"/>
        <v/>
      </c>
      <c r="BD113" s="55" t="str">
        <f t="shared" si="138"/>
        <v/>
      </c>
      <c r="BE113" s="55" t="str">
        <f t="shared" si="139"/>
        <v/>
      </c>
      <c r="BF113" s="55" t="str">
        <f t="shared" si="139"/>
        <v/>
      </c>
      <c r="BG113" s="55" t="str">
        <f t="shared" si="139"/>
        <v/>
      </c>
      <c r="BH113" s="55" t="str">
        <f t="shared" si="139"/>
        <v/>
      </c>
      <c r="BI113" s="55" t="str">
        <f t="shared" si="139"/>
        <v/>
      </c>
      <c r="BJ113" s="55" t="str">
        <f t="shared" si="139"/>
        <v/>
      </c>
      <c r="BK113" s="55" t="str">
        <f t="shared" si="139"/>
        <v/>
      </c>
      <c r="BL113" s="55" t="str">
        <f t="shared" si="139"/>
        <v/>
      </c>
      <c r="BM113" s="55" t="str">
        <f t="shared" si="139"/>
        <v/>
      </c>
      <c r="BN113" s="55" t="str">
        <f t="shared" si="139"/>
        <v/>
      </c>
      <c r="BO113" s="55" t="str">
        <f t="shared" si="139"/>
        <v/>
      </c>
      <c r="BP113" s="55" t="str">
        <f t="shared" si="139"/>
        <v/>
      </c>
      <c r="BQ113" s="55" t="str">
        <f t="shared" si="139"/>
        <v/>
      </c>
      <c r="BR113" s="55" t="str">
        <f t="shared" si="139"/>
        <v/>
      </c>
      <c r="BS113" s="55" t="str">
        <f t="shared" si="139"/>
        <v/>
      </c>
      <c r="BT113" s="55" t="str">
        <f t="shared" si="139"/>
        <v/>
      </c>
      <c r="BU113" s="55" t="str">
        <f t="shared" si="140"/>
        <v/>
      </c>
      <c r="BV113" s="55" t="str">
        <f t="shared" si="140"/>
        <v/>
      </c>
      <c r="BW113" s="55" t="str">
        <f t="shared" si="140"/>
        <v/>
      </c>
      <c r="BX113" s="55" t="str">
        <f t="shared" si="140"/>
        <v/>
      </c>
      <c r="BY113" s="55" t="str">
        <f t="shared" si="140"/>
        <v/>
      </c>
      <c r="BZ113" s="55" t="str">
        <f t="shared" si="140"/>
        <v/>
      </c>
      <c r="CA113" s="55" t="str">
        <f t="shared" si="140"/>
        <v/>
      </c>
      <c r="CB113" s="55" t="str">
        <f t="shared" si="140"/>
        <v/>
      </c>
      <c r="CC113" s="55" t="str">
        <f t="shared" si="140"/>
        <v/>
      </c>
      <c r="CD113" s="55" t="str">
        <f t="shared" si="140"/>
        <v/>
      </c>
      <c r="CE113" s="55" t="str">
        <f t="shared" si="140"/>
        <v/>
      </c>
      <c r="CF113" s="55" t="str">
        <f t="shared" si="140"/>
        <v/>
      </c>
      <c r="CG113" s="55" t="str">
        <f t="shared" si="140"/>
        <v/>
      </c>
      <c r="CH113" s="55" t="str">
        <f t="shared" si="140"/>
        <v/>
      </c>
      <c r="CI113" s="55" t="str">
        <f t="shared" si="140"/>
        <v/>
      </c>
      <c r="CJ113" s="55" t="str">
        <f t="shared" si="140"/>
        <v/>
      </c>
      <c r="CK113" s="55" t="str">
        <f t="shared" si="140"/>
        <v/>
      </c>
      <c r="CL113" s="55" t="str">
        <f t="shared" si="140"/>
        <v/>
      </c>
      <c r="CM113" s="55" t="str">
        <f t="shared" si="140"/>
        <v/>
      </c>
      <c r="CN113" s="55" t="str">
        <f t="shared" si="140"/>
        <v/>
      </c>
      <c r="CO113" s="55" t="str">
        <f t="shared" si="140"/>
        <v/>
      </c>
      <c r="CP113" s="55" t="str">
        <f t="shared" si="140"/>
        <v/>
      </c>
      <c r="CQ113" s="55" t="str">
        <f t="shared" si="140"/>
        <v/>
      </c>
      <c r="CR113" s="55" t="str">
        <f t="shared" si="140"/>
        <v/>
      </c>
      <c r="CS113" s="55" t="str">
        <f t="shared" si="140"/>
        <v/>
      </c>
      <c r="CT113" s="55" t="str">
        <f t="shared" si="140"/>
        <v/>
      </c>
      <c r="CU113" s="55" t="str">
        <f t="shared" si="140"/>
        <v/>
      </c>
      <c r="CV113" s="55" t="str">
        <f t="shared" si="140"/>
        <v/>
      </c>
      <c r="CW113" s="55" t="str">
        <f t="shared" si="140"/>
        <v/>
      </c>
      <c r="CX113" s="55" t="str">
        <f t="shared" si="140"/>
        <v/>
      </c>
      <c r="CY113" s="55" t="str">
        <f t="shared" si="140"/>
        <v/>
      </c>
      <c r="CZ113" s="55" t="str">
        <f t="shared" si="140"/>
        <v/>
      </c>
      <c r="DA113" s="55" t="str">
        <f t="shared" si="140"/>
        <v/>
      </c>
      <c r="DB113" s="55" t="str">
        <f t="shared" si="140"/>
        <v/>
      </c>
      <c r="DC113" s="55" t="str">
        <f t="shared" si="140"/>
        <v/>
      </c>
      <c r="DD113" s="55" t="str">
        <f t="shared" si="140"/>
        <v/>
      </c>
      <c r="DE113" s="55" t="str">
        <f t="shared" si="140"/>
        <v/>
      </c>
      <c r="DF113" s="55" t="str">
        <f t="shared" si="140"/>
        <v/>
      </c>
      <c r="DG113" s="55" t="str">
        <f t="shared" si="140"/>
        <v/>
      </c>
      <c r="DH113" s="55" t="str">
        <f t="shared" si="140"/>
        <v/>
      </c>
      <c r="DI113" s="55" t="str">
        <f t="shared" si="140"/>
        <v/>
      </c>
      <c r="DJ113" s="55" t="str">
        <f t="shared" si="140"/>
        <v/>
      </c>
      <c r="DK113" s="55" t="str">
        <f t="shared" si="140"/>
        <v/>
      </c>
      <c r="DL113" s="55" t="str">
        <f t="shared" si="140"/>
        <v/>
      </c>
      <c r="DM113" s="55" t="str">
        <f t="shared" si="140"/>
        <v/>
      </c>
      <c r="DN113" s="55" t="str">
        <f t="shared" si="140"/>
        <v/>
      </c>
      <c r="DO113" s="55" t="str">
        <f t="shared" si="140"/>
        <v/>
      </c>
      <c r="DP113" s="55" t="str">
        <f t="shared" ref="DP113:DT121" si="146">IF($B113=DP$12,$U113,"")</f>
        <v/>
      </c>
      <c r="DQ113" s="55" t="str">
        <f t="shared" si="146"/>
        <v/>
      </c>
      <c r="DR113" s="55" t="str">
        <f t="shared" si="146"/>
        <v/>
      </c>
      <c r="DS113" s="55" t="str">
        <f t="shared" si="146"/>
        <v/>
      </c>
      <c r="DT113" s="110" t="str">
        <f t="shared" si="146"/>
        <v/>
      </c>
      <c r="DU113" s="54"/>
      <c r="DV113" s="25"/>
      <c r="DW113" s="61" t="str">
        <f t="shared" si="141"/>
        <v/>
      </c>
      <c r="DX113" s="50" t="str">
        <f t="shared" si="141"/>
        <v/>
      </c>
      <c r="DY113" s="50" t="str">
        <f t="shared" si="141"/>
        <v/>
      </c>
      <c r="DZ113" s="50" t="str">
        <f t="shared" si="141"/>
        <v/>
      </c>
      <c r="EA113" s="50" t="str">
        <f t="shared" si="141"/>
        <v/>
      </c>
      <c r="EB113" s="50" t="str">
        <f t="shared" si="141"/>
        <v/>
      </c>
      <c r="EC113" s="50" t="str">
        <f t="shared" si="141"/>
        <v/>
      </c>
      <c r="ED113" s="50" t="str">
        <f t="shared" si="141"/>
        <v/>
      </c>
      <c r="EE113" s="50" t="str">
        <f t="shared" si="141"/>
        <v/>
      </c>
      <c r="EF113" s="50" t="str">
        <f t="shared" si="141"/>
        <v/>
      </c>
      <c r="EG113" s="50" t="str">
        <f t="shared" si="141"/>
        <v/>
      </c>
      <c r="EH113" s="50" t="str">
        <f t="shared" si="141"/>
        <v/>
      </c>
      <c r="EI113" s="50" t="str">
        <f t="shared" si="141"/>
        <v/>
      </c>
      <c r="EJ113" s="50" t="str">
        <f t="shared" si="141"/>
        <v/>
      </c>
      <c r="EK113" s="50" t="str">
        <f t="shared" si="141"/>
        <v/>
      </c>
      <c r="EL113" s="50" t="str">
        <f t="shared" si="141"/>
        <v/>
      </c>
      <c r="EM113" s="50" t="str">
        <f t="shared" si="142"/>
        <v/>
      </c>
      <c r="EN113" s="50" t="str">
        <f t="shared" si="142"/>
        <v/>
      </c>
      <c r="EO113" s="50" t="str">
        <f t="shared" si="142"/>
        <v/>
      </c>
      <c r="EP113" s="50" t="str">
        <f t="shared" si="142"/>
        <v/>
      </c>
      <c r="EQ113" s="50" t="str">
        <f t="shared" si="142"/>
        <v/>
      </c>
      <c r="ER113" s="50" t="str">
        <f t="shared" si="142"/>
        <v/>
      </c>
      <c r="ES113" s="50" t="str">
        <f t="shared" si="142"/>
        <v/>
      </c>
      <c r="ET113" s="50" t="str">
        <f t="shared" si="142"/>
        <v/>
      </c>
      <c r="EU113" s="50" t="str">
        <f t="shared" si="142"/>
        <v/>
      </c>
      <c r="EV113" s="50" t="str">
        <f t="shared" si="142"/>
        <v/>
      </c>
      <c r="EW113" s="50" t="str">
        <f t="shared" si="142"/>
        <v/>
      </c>
      <c r="EX113" s="50" t="str">
        <f t="shared" si="142"/>
        <v/>
      </c>
      <c r="EY113" s="50" t="str">
        <f t="shared" si="142"/>
        <v/>
      </c>
      <c r="EZ113" s="50" t="str">
        <f t="shared" si="142"/>
        <v/>
      </c>
      <c r="FA113" s="50" t="str">
        <f t="shared" si="142"/>
        <v/>
      </c>
      <c r="FB113" s="50" t="str">
        <f t="shared" si="142"/>
        <v/>
      </c>
      <c r="FC113" s="50" t="str">
        <f t="shared" si="143"/>
        <v/>
      </c>
      <c r="FD113" s="50" t="str">
        <f t="shared" si="143"/>
        <v/>
      </c>
      <c r="FE113" s="50" t="str">
        <f t="shared" si="143"/>
        <v/>
      </c>
      <c r="FF113" s="50" t="str">
        <f t="shared" si="143"/>
        <v/>
      </c>
      <c r="FG113" s="50" t="str">
        <f t="shared" si="143"/>
        <v/>
      </c>
      <c r="FH113" s="50" t="str">
        <f t="shared" si="143"/>
        <v/>
      </c>
      <c r="FI113" s="50" t="str">
        <f t="shared" si="143"/>
        <v/>
      </c>
      <c r="FJ113" s="50" t="str">
        <f t="shared" si="143"/>
        <v/>
      </c>
      <c r="FK113" s="50" t="str">
        <f t="shared" si="143"/>
        <v/>
      </c>
      <c r="FL113" s="50" t="str">
        <f t="shared" si="143"/>
        <v/>
      </c>
      <c r="FM113" s="50" t="str">
        <f t="shared" si="143"/>
        <v/>
      </c>
      <c r="FN113" s="50" t="str">
        <f t="shared" si="143"/>
        <v/>
      </c>
      <c r="FO113" s="50" t="str">
        <f t="shared" si="143"/>
        <v/>
      </c>
      <c r="FP113" s="50" t="str">
        <f t="shared" si="143"/>
        <v/>
      </c>
      <c r="FQ113" s="50" t="str">
        <f t="shared" si="143"/>
        <v/>
      </c>
      <c r="FR113" s="50" t="str">
        <f t="shared" si="143"/>
        <v/>
      </c>
      <c r="FS113" s="50" t="str">
        <f t="shared" si="144"/>
        <v/>
      </c>
      <c r="FT113" s="50" t="str">
        <f t="shared" si="144"/>
        <v/>
      </c>
      <c r="FU113" s="50" t="str">
        <f t="shared" si="144"/>
        <v/>
      </c>
      <c r="FV113" s="50" t="str">
        <f t="shared" si="144"/>
        <v/>
      </c>
      <c r="FW113" s="50" t="str">
        <f t="shared" si="144"/>
        <v/>
      </c>
      <c r="FX113" s="50" t="str">
        <f t="shared" si="144"/>
        <v/>
      </c>
      <c r="FY113" s="50" t="str">
        <f t="shared" si="144"/>
        <v/>
      </c>
      <c r="FZ113" s="50" t="str">
        <f t="shared" si="144"/>
        <v/>
      </c>
      <c r="GA113" s="50" t="str">
        <f t="shared" si="144"/>
        <v/>
      </c>
      <c r="GB113" s="50" t="str">
        <f t="shared" si="144"/>
        <v/>
      </c>
      <c r="GC113" s="50" t="str">
        <f t="shared" si="144"/>
        <v/>
      </c>
      <c r="GD113" s="50" t="str">
        <f t="shared" si="144"/>
        <v/>
      </c>
      <c r="GE113" s="50" t="str">
        <f t="shared" si="144"/>
        <v/>
      </c>
      <c r="GF113" s="50" t="str">
        <f t="shared" si="144"/>
        <v/>
      </c>
      <c r="GG113" s="50" t="str">
        <f t="shared" si="144"/>
        <v/>
      </c>
      <c r="GH113" s="50" t="str">
        <f t="shared" si="144"/>
        <v/>
      </c>
      <c r="GI113" s="50" t="str">
        <f t="shared" si="144"/>
        <v/>
      </c>
      <c r="GJ113" s="50" t="str">
        <f t="shared" si="144"/>
        <v/>
      </c>
      <c r="GK113" s="50" t="str">
        <f t="shared" si="144"/>
        <v/>
      </c>
      <c r="GL113" s="50" t="str">
        <f t="shared" si="144"/>
        <v/>
      </c>
      <c r="GM113" s="50" t="str">
        <f t="shared" si="144"/>
        <v/>
      </c>
      <c r="GN113" s="50" t="str">
        <f t="shared" si="144"/>
        <v/>
      </c>
      <c r="GO113" s="50" t="str">
        <f t="shared" si="144"/>
        <v/>
      </c>
      <c r="GP113" s="50" t="str">
        <f t="shared" si="144"/>
        <v/>
      </c>
      <c r="GQ113" s="50" t="str">
        <f t="shared" si="144"/>
        <v/>
      </c>
      <c r="GR113" s="50" t="str">
        <f t="shared" si="144"/>
        <v/>
      </c>
      <c r="GS113" s="50" t="str">
        <f t="shared" si="144"/>
        <v/>
      </c>
      <c r="GT113" s="50" t="str">
        <f t="shared" si="144"/>
        <v/>
      </c>
      <c r="GU113" s="50" t="str">
        <f t="shared" si="144"/>
        <v/>
      </c>
      <c r="GV113" s="50" t="str">
        <f t="shared" si="144"/>
        <v/>
      </c>
      <c r="GW113" s="50" t="str">
        <f t="shared" si="144"/>
        <v/>
      </c>
      <c r="GX113" s="50" t="str">
        <f t="shared" si="144"/>
        <v/>
      </c>
      <c r="GY113" s="50" t="str">
        <f t="shared" si="144"/>
        <v/>
      </c>
      <c r="GZ113" s="50" t="str">
        <f t="shared" si="144"/>
        <v/>
      </c>
      <c r="HA113" s="50" t="str">
        <f t="shared" si="144"/>
        <v/>
      </c>
      <c r="HB113" s="50" t="str">
        <f t="shared" si="144"/>
        <v/>
      </c>
      <c r="HC113" s="50" t="str">
        <f t="shared" si="144"/>
        <v/>
      </c>
      <c r="HD113" s="50" t="str">
        <f t="shared" si="144"/>
        <v/>
      </c>
      <c r="HE113" s="50" t="str">
        <f t="shared" si="144"/>
        <v/>
      </c>
      <c r="HF113" s="50" t="str">
        <f t="shared" si="144"/>
        <v/>
      </c>
      <c r="HG113" s="50" t="str">
        <f t="shared" si="144"/>
        <v/>
      </c>
      <c r="HH113" s="50" t="str">
        <f t="shared" si="144"/>
        <v/>
      </c>
      <c r="HI113" s="50" t="str">
        <f t="shared" si="144"/>
        <v/>
      </c>
      <c r="HJ113" s="50" t="str">
        <f t="shared" si="144"/>
        <v/>
      </c>
      <c r="HK113" s="50" t="str">
        <f t="shared" si="144"/>
        <v/>
      </c>
      <c r="HL113" s="50" t="str">
        <f t="shared" si="144"/>
        <v/>
      </c>
      <c r="HM113" s="50" t="str">
        <f t="shared" si="144"/>
        <v/>
      </c>
      <c r="HN113" s="50" t="str">
        <f t="shared" ref="HN113:HR121" si="147">IF($B113=HN$12,$O113,"")</f>
        <v/>
      </c>
      <c r="HO113" s="50" t="str">
        <f t="shared" si="147"/>
        <v/>
      </c>
      <c r="HP113" s="50" t="str">
        <f t="shared" si="147"/>
        <v/>
      </c>
      <c r="HQ113" s="50" t="str">
        <f t="shared" si="147"/>
        <v/>
      </c>
      <c r="HR113" s="116" t="str">
        <f t="shared" si="147"/>
        <v/>
      </c>
    </row>
    <row r="114" spans="1:226" ht="11.15" customHeight="1" x14ac:dyDescent="0.25">
      <c r="A114" s="26"/>
      <c r="B114" s="27"/>
      <c r="C114" s="28" t="str">
        <f>IF(A114=0,"",VLOOKUP(A114,[3]CO!$A$3:$F$5327,2,0))</f>
        <v/>
      </c>
      <c r="D114" s="29"/>
      <c r="E114" s="29"/>
      <c r="F114" s="104" t="str">
        <f t="shared" ref="F114:F119" si="148">IF(AND(B114&gt;0,H114&gt;0),(H114*100) &amp; "% DE $" &amp;$Q$76,"")</f>
        <v/>
      </c>
      <c r="G114" s="30" t="str">
        <f>IF(A114=0,"",VLOOKUP(A114,[3]CO!$A$3:$F$5327,3,0))</f>
        <v/>
      </c>
      <c r="H114" s="95"/>
      <c r="I114" s="31"/>
      <c r="J114" s="31"/>
      <c r="K114" s="31"/>
      <c r="L114" s="31"/>
      <c r="M114" s="32" t="str">
        <f t="shared" ref="M114:M119" si="149">IF(L114=0,"",H114*Q$76/N114)</f>
        <v/>
      </c>
      <c r="N114" s="32" t="str">
        <f>IF(B114=0,"",IF(H114="M",HLOOKUP(B114,$Y$12:$DT$13,2),IF(A114=0,"",VLOOKUP(A114,[3]CO!$A$3:$F$5327,4,0))))</f>
        <v/>
      </c>
      <c r="O114" s="32" t="str">
        <f t="shared" ref="O114:O119" si="150">IF(L114=0,"",PRODUCT(M114:N114))</f>
        <v/>
      </c>
      <c r="P114" s="33"/>
      <c r="Q114" s="34" t="str">
        <f t="shared" ref="Q114:Q119" si="151">IF(P114=0,"",(HLOOKUP(P114,$DW$12:$HR$13,2)))</f>
        <v/>
      </c>
      <c r="R114" s="35"/>
      <c r="S114" s="98"/>
      <c r="T114" s="53" t="str">
        <f>IF(A114=0,"",VLOOKUP(A114,[3]CO!$A$3:$F$5318,5,0))</f>
        <v/>
      </c>
      <c r="U114" s="54">
        <f t="shared" ref="U114:U119" si="152">IF(T114=1,O114*0.1,)</f>
        <v>0</v>
      </c>
      <c r="V114" s="24"/>
      <c r="W114" s="25"/>
      <c r="X114" s="25"/>
      <c r="Y114" s="64" t="str">
        <f t="shared" si="137"/>
        <v/>
      </c>
      <c r="Z114" s="55" t="str">
        <f t="shared" si="137"/>
        <v/>
      </c>
      <c r="AA114" s="55" t="str">
        <f t="shared" si="137"/>
        <v/>
      </c>
      <c r="AB114" s="55" t="str">
        <f t="shared" si="137"/>
        <v/>
      </c>
      <c r="AC114" s="55" t="str">
        <f t="shared" si="137"/>
        <v/>
      </c>
      <c r="AD114" s="55" t="str">
        <f t="shared" si="137"/>
        <v/>
      </c>
      <c r="AE114" s="55" t="str">
        <f t="shared" si="137"/>
        <v/>
      </c>
      <c r="AF114" s="55" t="str">
        <f t="shared" si="137"/>
        <v/>
      </c>
      <c r="AG114" s="55" t="str">
        <f t="shared" si="137"/>
        <v/>
      </c>
      <c r="AH114" s="55" t="str">
        <f t="shared" si="137"/>
        <v/>
      </c>
      <c r="AI114" s="55" t="str">
        <f t="shared" si="137"/>
        <v/>
      </c>
      <c r="AJ114" s="55" t="str">
        <f t="shared" si="137"/>
        <v/>
      </c>
      <c r="AK114" s="55" t="str">
        <f t="shared" si="137"/>
        <v/>
      </c>
      <c r="AL114" s="55" t="str">
        <f t="shared" si="137"/>
        <v/>
      </c>
      <c r="AM114" s="55" t="str">
        <f t="shared" si="137"/>
        <v/>
      </c>
      <c r="AN114" s="55" t="str">
        <f t="shared" si="137"/>
        <v/>
      </c>
      <c r="AO114" s="55" t="str">
        <f t="shared" si="138"/>
        <v/>
      </c>
      <c r="AP114" s="55" t="str">
        <f t="shared" si="138"/>
        <v/>
      </c>
      <c r="AQ114" s="55" t="str">
        <f t="shared" si="138"/>
        <v/>
      </c>
      <c r="AR114" s="55" t="str">
        <f t="shared" si="138"/>
        <v/>
      </c>
      <c r="AS114" s="55" t="str">
        <f t="shared" si="138"/>
        <v/>
      </c>
      <c r="AT114" s="55" t="str">
        <f t="shared" si="138"/>
        <v/>
      </c>
      <c r="AU114" s="55" t="str">
        <f t="shared" si="138"/>
        <v/>
      </c>
      <c r="AV114" s="55" t="str">
        <f t="shared" si="138"/>
        <v/>
      </c>
      <c r="AW114" s="55" t="str">
        <f t="shared" si="138"/>
        <v/>
      </c>
      <c r="AX114" s="55" t="str">
        <f t="shared" si="138"/>
        <v/>
      </c>
      <c r="AY114" s="55" t="str">
        <f t="shared" si="138"/>
        <v/>
      </c>
      <c r="AZ114" s="55" t="str">
        <f t="shared" si="138"/>
        <v/>
      </c>
      <c r="BA114" s="55" t="str">
        <f t="shared" si="138"/>
        <v/>
      </c>
      <c r="BB114" s="55" t="str">
        <f t="shared" si="138"/>
        <v/>
      </c>
      <c r="BC114" s="55" t="str">
        <f t="shared" si="138"/>
        <v/>
      </c>
      <c r="BD114" s="55" t="str">
        <f t="shared" si="138"/>
        <v/>
      </c>
      <c r="BE114" s="55" t="str">
        <f t="shared" si="139"/>
        <v/>
      </c>
      <c r="BF114" s="55" t="str">
        <f t="shared" si="139"/>
        <v/>
      </c>
      <c r="BG114" s="55" t="str">
        <f t="shared" si="139"/>
        <v/>
      </c>
      <c r="BH114" s="55" t="str">
        <f t="shared" si="139"/>
        <v/>
      </c>
      <c r="BI114" s="55" t="str">
        <f t="shared" si="139"/>
        <v/>
      </c>
      <c r="BJ114" s="55" t="str">
        <f t="shared" si="139"/>
        <v/>
      </c>
      <c r="BK114" s="55" t="str">
        <f t="shared" si="139"/>
        <v/>
      </c>
      <c r="BL114" s="55" t="str">
        <f t="shared" si="139"/>
        <v/>
      </c>
      <c r="BM114" s="55" t="str">
        <f t="shared" si="139"/>
        <v/>
      </c>
      <c r="BN114" s="55" t="str">
        <f t="shared" si="139"/>
        <v/>
      </c>
      <c r="BO114" s="55" t="str">
        <f t="shared" si="139"/>
        <v/>
      </c>
      <c r="BP114" s="55" t="str">
        <f t="shared" si="139"/>
        <v/>
      </c>
      <c r="BQ114" s="55" t="str">
        <f t="shared" si="139"/>
        <v/>
      </c>
      <c r="BR114" s="55" t="str">
        <f t="shared" si="139"/>
        <v/>
      </c>
      <c r="BS114" s="55" t="str">
        <f t="shared" si="139"/>
        <v/>
      </c>
      <c r="BT114" s="55" t="str">
        <f t="shared" si="139"/>
        <v/>
      </c>
      <c r="BU114" s="55" t="str">
        <f t="shared" ref="BU114:DP121" si="153">IF($B114=BU$12,$U114,"")</f>
        <v/>
      </c>
      <c r="BV114" s="55" t="str">
        <f t="shared" si="153"/>
        <v/>
      </c>
      <c r="BW114" s="55" t="str">
        <f t="shared" si="153"/>
        <v/>
      </c>
      <c r="BX114" s="55" t="str">
        <f t="shared" si="153"/>
        <v/>
      </c>
      <c r="BY114" s="55" t="str">
        <f t="shared" si="153"/>
        <v/>
      </c>
      <c r="BZ114" s="55" t="str">
        <f t="shared" si="153"/>
        <v/>
      </c>
      <c r="CA114" s="55" t="str">
        <f t="shared" si="153"/>
        <v/>
      </c>
      <c r="CB114" s="55" t="str">
        <f t="shared" si="153"/>
        <v/>
      </c>
      <c r="CC114" s="55" t="str">
        <f t="shared" si="153"/>
        <v/>
      </c>
      <c r="CD114" s="55" t="str">
        <f t="shared" si="153"/>
        <v/>
      </c>
      <c r="CE114" s="55" t="str">
        <f t="shared" si="153"/>
        <v/>
      </c>
      <c r="CF114" s="55" t="str">
        <f t="shared" si="153"/>
        <v/>
      </c>
      <c r="CG114" s="55" t="str">
        <f t="shared" si="153"/>
        <v/>
      </c>
      <c r="CH114" s="55" t="str">
        <f t="shared" si="153"/>
        <v/>
      </c>
      <c r="CI114" s="55" t="str">
        <f t="shared" si="153"/>
        <v/>
      </c>
      <c r="CJ114" s="55" t="str">
        <f t="shared" si="153"/>
        <v/>
      </c>
      <c r="CK114" s="55" t="str">
        <f t="shared" si="153"/>
        <v/>
      </c>
      <c r="CL114" s="55" t="str">
        <f t="shared" si="153"/>
        <v/>
      </c>
      <c r="CM114" s="55" t="str">
        <f t="shared" si="153"/>
        <v/>
      </c>
      <c r="CN114" s="55" t="str">
        <f t="shared" si="153"/>
        <v/>
      </c>
      <c r="CO114" s="55" t="str">
        <f t="shared" si="153"/>
        <v/>
      </c>
      <c r="CP114" s="55" t="str">
        <f t="shared" si="153"/>
        <v/>
      </c>
      <c r="CQ114" s="55" t="str">
        <f t="shared" si="153"/>
        <v/>
      </c>
      <c r="CR114" s="55" t="str">
        <f t="shared" si="153"/>
        <v/>
      </c>
      <c r="CS114" s="55" t="str">
        <f t="shared" si="153"/>
        <v/>
      </c>
      <c r="CT114" s="55" t="str">
        <f t="shared" si="153"/>
        <v/>
      </c>
      <c r="CU114" s="55" t="str">
        <f t="shared" si="153"/>
        <v/>
      </c>
      <c r="CV114" s="55" t="str">
        <f t="shared" si="153"/>
        <v/>
      </c>
      <c r="CW114" s="55" t="str">
        <f t="shared" si="153"/>
        <v/>
      </c>
      <c r="CX114" s="55" t="str">
        <f t="shared" si="153"/>
        <v/>
      </c>
      <c r="CY114" s="55" t="str">
        <f t="shared" si="153"/>
        <v/>
      </c>
      <c r="CZ114" s="55" t="str">
        <f t="shared" si="153"/>
        <v/>
      </c>
      <c r="DA114" s="55" t="str">
        <f t="shared" si="153"/>
        <v/>
      </c>
      <c r="DB114" s="55" t="str">
        <f t="shared" si="153"/>
        <v/>
      </c>
      <c r="DC114" s="55" t="str">
        <f t="shared" si="153"/>
        <v/>
      </c>
      <c r="DD114" s="55" t="str">
        <f t="shared" si="153"/>
        <v/>
      </c>
      <c r="DE114" s="55" t="str">
        <f t="shared" si="153"/>
        <v/>
      </c>
      <c r="DF114" s="55" t="str">
        <f t="shared" si="153"/>
        <v/>
      </c>
      <c r="DG114" s="55" t="str">
        <f t="shared" si="153"/>
        <v/>
      </c>
      <c r="DH114" s="55" t="str">
        <f t="shared" si="153"/>
        <v/>
      </c>
      <c r="DI114" s="55" t="str">
        <f t="shared" si="153"/>
        <v/>
      </c>
      <c r="DJ114" s="55" t="str">
        <f t="shared" si="153"/>
        <v/>
      </c>
      <c r="DK114" s="55" t="str">
        <f t="shared" si="153"/>
        <v/>
      </c>
      <c r="DL114" s="55" t="str">
        <f t="shared" si="153"/>
        <v/>
      </c>
      <c r="DM114" s="55" t="str">
        <f t="shared" si="153"/>
        <v/>
      </c>
      <c r="DN114" s="55" t="str">
        <f t="shared" si="153"/>
        <v/>
      </c>
      <c r="DO114" s="55" t="str">
        <f t="shared" si="153"/>
        <v/>
      </c>
      <c r="DP114" s="55" t="str">
        <f t="shared" si="153"/>
        <v/>
      </c>
      <c r="DQ114" s="55" t="str">
        <f t="shared" si="146"/>
        <v/>
      </c>
      <c r="DR114" s="55" t="str">
        <f t="shared" si="146"/>
        <v/>
      </c>
      <c r="DS114" s="55" t="str">
        <f t="shared" si="146"/>
        <v/>
      </c>
      <c r="DT114" s="110" t="str">
        <f t="shared" si="146"/>
        <v/>
      </c>
      <c r="DU114" s="54"/>
      <c r="DV114" s="25"/>
      <c r="DW114" s="61" t="str">
        <f t="shared" si="141"/>
        <v/>
      </c>
      <c r="DX114" s="50" t="str">
        <f t="shared" si="141"/>
        <v/>
      </c>
      <c r="DY114" s="50" t="str">
        <f t="shared" si="141"/>
        <v/>
      </c>
      <c r="DZ114" s="50" t="str">
        <f t="shared" si="141"/>
        <v/>
      </c>
      <c r="EA114" s="50" t="str">
        <f t="shared" si="141"/>
        <v/>
      </c>
      <c r="EB114" s="50" t="str">
        <f t="shared" si="141"/>
        <v/>
      </c>
      <c r="EC114" s="50" t="str">
        <f t="shared" si="141"/>
        <v/>
      </c>
      <c r="ED114" s="50" t="str">
        <f t="shared" si="141"/>
        <v/>
      </c>
      <c r="EE114" s="50" t="str">
        <f t="shared" si="141"/>
        <v/>
      </c>
      <c r="EF114" s="50" t="str">
        <f t="shared" si="141"/>
        <v/>
      </c>
      <c r="EG114" s="50" t="str">
        <f t="shared" si="141"/>
        <v/>
      </c>
      <c r="EH114" s="50" t="str">
        <f t="shared" si="141"/>
        <v/>
      </c>
      <c r="EI114" s="50" t="str">
        <f t="shared" si="141"/>
        <v/>
      </c>
      <c r="EJ114" s="50" t="str">
        <f t="shared" si="141"/>
        <v/>
      </c>
      <c r="EK114" s="50" t="str">
        <f t="shared" si="141"/>
        <v/>
      </c>
      <c r="EL114" s="50" t="str">
        <f t="shared" si="141"/>
        <v/>
      </c>
      <c r="EM114" s="50" t="str">
        <f t="shared" si="142"/>
        <v/>
      </c>
      <c r="EN114" s="50" t="str">
        <f t="shared" si="142"/>
        <v/>
      </c>
      <c r="EO114" s="50" t="str">
        <f t="shared" si="142"/>
        <v/>
      </c>
      <c r="EP114" s="50" t="str">
        <f t="shared" si="142"/>
        <v/>
      </c>
      <c r="EQ114" s="50" t="str">
        <f t="shared" si="142"/>
        <v/>
      </c>
      <c r="ER114" s="50" t="str">
        <f t="shared" si="142"/>
        <v/>
      </c>
      <c r="ES114" s="50" t="str">
        <f t="shared" si="142"/>
        <v/>
      </c>
      <c r="ET114" s="50" t="str">
        <f t="shared" si="142"/>
        <v/>
      </c>
      <c r="EU114" s="50" t="str">
        <f t="shared" si="142"/>
        <v/>
      </c>
      <c r="EV114" s="50" t="str">
        <f t="shared" si="142"/>
        <v/>
      </c>
      <c r="EW114" s="50" t="str">
        <f t="shared" si="142"/>
        <v/>
      </c>
      <c r="EX114" s="50" t="str">
        <f t="shared" si="142"/>
        <v/>
      </c>
      <c r="EY114" s="50" t="str">
        <f t="shared" si="142"/>
        <v/>
      </c>
      <c r="EZ114" s="50" t="str">
        <f t="shared" si="142"/>
        <v/>
      </c>
      <c r="FA114" s="50" t="str">
        <f t="shared" si="142"/>
        <v/>
      </c>
      <c r="FB114" s="50" t="str">
        <f t="shared" si="142"/>
        <v/>
      </c>
      <c r="FC114" s="50" t="str">
        <f t="shared" si="143"/>
        <v/>
      </c>
      <c r="FD114" s="50" t="str">
        <f t="shared" si="143"/>
        <v/>
      </c>
      <c r="FE114" s="50" t="str">
        <f t="shared" si="143"/>
        <v/>
      </c>
      <c r="FF114" s="50" t="str">
        <f t="shared" si="143"/>
        <v/>
      </c>
      <c r="FG114" s="50" t="str">
        <f t="shared" si="143"/>
        <v/>
      </c>
      <c r="FH114" s="50" t="str">
        <f t="shared" si="143"/>
        <v/>
      </c>
      <c r="FI114" s="50" t="str">
        <f t="shared" si="143"/>
        <v/>
      </c>
      <c r="FJ114" s="50" t="str">
        <f t="shared" si="143"/>
        <v/>
      </c>
      <c r="FK114" s="50" t="str">
        <f t="shared" si="143"/>
        <v/>
      </c>
      <c r="FL114" s="50" t="str">
        <f t="shared" si="143"/>
        <v/>
      </c>
      <c r="FM114" s="50" t="str">
        <f t="shared" si="143"/>
        <v/>
      </c>
      <c r="FN114" s="50" t="str">
        <f t="shared" si="143"/>
        <v/>
      </c>
      <c r="FO114" s="50" t="str">
        <f t="shared" si="143"/>
        <v/>
      </c>
      <c r="FP114" s="50" t="str">
        <f t="shared" si="143"/>
        <v/>
      </c>
      <c r="FQ114" s="50" t="str">
        <f t="shared" si="143"/>
        <v/>
      </c>
      <c r="FR114" s="50" t="str">
        <f t="shared" si="143"/>
        <v/>
      </c>
      <c r="FS114" s="50" t="str">
        <f t="shared" ref="FS114:HN121" si="154">IF($B114=FS$12,$O114,"")</f>
        <v/>
      </c>
      <c r="FT114" s="50" t="str">
        <f t="shared" si="154"/>
        <v/>
      </c>
      <c r="FU114" s="50" t="str">
        <f t="shared" si="154"/>
        <v/>
      </c>
      <c r="FV114" s="50" t="str">
        <f t="shared" si="154"/>
        <v/>
      </c>
      <c r="FW114" s="50" t="str">
        <f t="shared" si="154"/>
        <v/>
      </c>
      <c r="FX114" s="50" t="str">
        <f t="shared" si="154"/>
        <v/>
      </c>
      <c r="FY114" s="50" t="str">
        <f t="shared" si="154"/>
        <v/>
      </c>
      <c r="FZ114" s="50" t="str">
        <f t="shared" si="154"/>
        <v/>
      </c>
      <c r="GA114" s="50" t="str">
        <f t="shared" si="154"/>
        <v/>
      </c>
      <c r="GB114" s="50" t="str">
        <f t="shared" si="154"/>
        <v/>
      </c>
      <c r="GC114" s="50" t="str">
        <f t="shared" si="154"/>
        <v/>
      </c>
      <c r="GD114" s="50" t="str">
        <f t="shared" si="154"/>
        <v/>
      </c>
      <c r="GE114" s="50" t="str">
        <f t="shared" si="154"/>
        <v/>
      </c>
      <c r="GF114" s="50" t="str">
        <f t="shared" si="154"/>
        <v/>
      </c>
      <c r="GG114" s="50" t="str">
        <f t="shared" si="154"/>
        <v/>
      </c>
      <c r="GH114" s="50" t="str">
        <f t="shared" si="154"/>
        <v/>
      </c>
      <c r="GI114" s="50" t="str">
        <f t="shared" si="154"/>
        <v/>
      </c>
      <c r="GJ114" s="50" t="str">
        <f t="shared" si="154"/>
        <v/>
      </c>
      <c r="GK114" s="50" t="str">
        <f t="shared" si="154"/>
        <v/>
      </c>
      <c r="GL114" s="50" t="str">
        <f t="shared" si="154"/>
        <v/>
      </c>
      <c r="GM114" s="50" t="str">
        <f t="shared" si="154"/>
        <v/>
      </c>
      <c r="GN114" s="50" t="str">
        <f t="shared" si="154"/>
        <v/>
      </c>
      <c r="GO114" s="50" t="str">
        <f t="shared" si="154"/>
        <v/>
      </c>
      <c r="GP114" s="50" t="str">
        <f t="shared" si="154"/>
        <v/>
      </c>
      <c r="GQ114" s="50" t="str">
        <f t="shared" si="154"/>
        <v/>
      </c>
      <c r="GR114" s="50" t="str">
        <f t="shared" si="154"/>
        <v/>
      </c>
      <c r="GS114" s="50" t="str">
        <f t="shared" si="154"/>
        <v/>
      </c>
      <c r="GT114" s="50" t="str">
        <f t="shared" si="154"/>
        <v/>
      </c>
      <c r="GU114" s="50" t="str">
        <f t="shared" si="154"/>
        <v/>
      </c>
      <c r="GV114" s="50" t="str">
        <f t="shared" si="154"/>
        <v/>
      </c>
      <c r="GW114" s="50" t="str">
        <f t="shared" si="154"/>
        <v/>
      </c>
      <c r="GX114" s="50" t="str">
        <f t="shared" si="154"/>
        <v/>
      </c>
      <c r="GY114" s="50" t="str">
        <f t="shared" si="154"/>
        <v/>
      </c>
      <c r="GZ114" s="50" t="str">
        <f t="shared" si="154"/>
        <v/>
      </c>
      <c r="HA114" s="50" t="str">
        <f t="shared" si="154"/>
        <v/>
      </c>
      <c r="HB114" s="50" t="str">
        <f t="shared" si="154"/>
        <v/>
      </c>
      <c r="HC114" s="50" t="str">
        <f t="shared" si="154"/>
        <v/>
      </c>
      <c r="HD114" s="50" t="str">
        <f t="shared" si="154"/>
        <v/>
      </c>
      <c r="HE114" s="50" t="str">
        <f t="shared" si="154"/>
        <v/>
      </c>
      <c r="HF114" s="50" t="str">
        <f t="shared" si="154"/>
        <v/>
      </c>
      <c r="HG114" s="50" t="str">
        <f t="shared" si="154"/>
        <v/>
      </c>
      <c r="HH114" s="50" t="str">
        <f t="shared" si="154"/>
        <v/>
      </c>
      <c r="HI114" s="50" t="str">
        <f t="shared" si="154"/>
        <v/>
      </c>
      <c r="HJ114" s="50" t="str">
        <f t="shared" si="154"/>
        <v/>
      </c>
      <c r="HK114" s="50" t="str">
        <f t="shared" si="154"/>
        <v/>
      </c>
      <c r="HL114" s="50" t="str">
        <f t="shared" si="154"/>
        <v/>
      </c>
      <c r="HM114" s="50" t="str">
        <f t="shared" si="154"/>
        <v/>
      </c>
      <c r="HN114" s="50" t="str">
        <f t="shared" si="154"/>
        <v/>
      </c>
      <c r="HO114" s="50" t="str">
        <f t="shared" si="147"/>
        <v/>
      </c>
      <c r="HP114" s="50" t="str">
        <f t="shared" si="147"/>
        <v/>
      </c>
      <c r="HQ114" s="50" t="str">
        <f t="shared" si="147"/>
        <v/>
      </c>
      <c r="HR114" s="116" t="str">
        <f t="shared" si="147"/>
        <v/>
      </c>
    </row>
    <row r="115" spans="1:226" ht="11.15" customHeight="1" x14ac:dyDescent="0.25">
      <c r="A115" s="26"/>
      <c r="B115" s="27"/>
      <c r="C115" s="28" t="str">
        <f>IF(A115=0,"",VLOOKUP(A115,[3]CO!$A$3:$F$5327,2,0))</f>
        <v/>
      </c>
      <c r="D115" s="29"/>
      <c r="E115" s="29"/>
      <c r="F115" s="104" t="str">
        <f t="shared" si="148"/>
        <v/>
      </c>
      <c r="G115" s="30" t="str">
        <f>IF(A115=0,"",VLOOKUP(A115,[3]CO!$A$3:$F$5327,3,0))</f>
        <v/>
      </c>
      <c r="H115" s="95"/>
      <c r="I115" s="31"/>
      <c r="J115" s="31"/>
      <c r="K115" s="31"/>
      <c r="L115" s="31"/>
      <c r="M115" s="32" t="str">
        <f t="shared" si="149"/>
        <v/>
      </c>
      <c r="N115" s="32" t="str">
        <f>IF(B115=0,"",IF(H115="M",HLOOKUP(B115,$Y$12:$DT$13,2),IF(A115=0,"",VLOOKUP(A115,[3]CO!$A$3:$F$5327,4,0))))</f>
        <v/>
      </c>
      <c r="O115" s="32" t="str">
        <f t="shared" si="150"/>
        <v/>
      </c>
      <c r="P115" s="33"/>
      <c r="Q115" s="34" t="str">
        <f t="shared" si="151"/>
        <v/>
      </c>
      <c r="R115" s="35"/>
      <c r="S115" s="98"/>
      <c r="T115" s="53" t="str">
        <f>IF(A115=0,"",VLOOKUP(A115,[3]CO!$A$3:$F$5318,5,0))</f>
        <v/>
      </c>
      <c r="U115" s="54">
        <f t="shared" si="152"/>
        <v>0</v>
      </c>
      <c r="V115" s="24"/>
      <c r="W115" s="25"/>
      <c r="X115" s="25"/>
      <c r="Y115" s="64" t="str">
        <f t="shared" si="137"/>
        <v/>
      </c>
      <c r="Z115" s="55" t="str">
        <f t="shared" si="137"/>
        <v/>
      </c>
      <c r="AA115" s="55" t="str">
        <f t="shared" si="137"/>
        <v/>
      </c>
      <c r="AB115" s="55" t="str">
        <f t="shared" si="137"/>
        <v/>
      </c>
      <c r="AC115" s="55" t="str">
        <f t="shared" si="137"/>
        <v/>
      </c>
      <c r="AD115" s="55" t="str">
        <f t="shared" si="137"/>
        <v/>
      </c>
      <c r="AE115" s="55" t="str">
        <f t="shared" si="137"/>
        <v/>
      </c>
      <c r="AF115" s="55" t="str">
        <f t="shared" si="137"/>
        <v/>
      </c>
      <c r="AG115" s="55" t="str">
        <f t="shared" si="137"/>
        <v/>
      </c>
      <c r="AH115" s="55" t="str">
        <f t="shared" si="137"/>
        <v/>
      </c>
      <c r="AI115" s="55" t="str">
        <f t="shared" si="137"/>
        <v/>
      </c>
      <c r="AJ115" s="55" t="str">
        <f t="shared" si="137"/>
        <v/>
      </c>
      <c r="AK115" s="55" t="str">
        <f t="shared" si="137"/>
        <v/>
      </c>
      <c r="AL115" s="55" t="str">
        <f t="shared" si="137"/>
        <v/>
      </c>
      <c r="AM115" s="55" t="str">
        <f t="shared" si="137"/>
        <v/>
      </c>
      <c r="AN115" s="55" t="str">
        <f t="shared" si="137"/>
        <v/>
      </c>
      <c r="AO115" s="55" t="str">
        <f t="shared" si="138"/>
        <v/>
      </c>
      <c r="AP115" s="55" t="str">
        <f t="shared" si="138"/>
        <v/>
      </c>
      <c r="AQ115" s="55" t="str">
        <f t="shared" si="138"/>
        <v/>
      </c>
      <c r="AR115" s="55" t="str">
        <f t="shared" si="138"/>
        <v/>
      </c>
      <c r="AS115" s="55" t="str">
        <f t="shared" si="138"/>
        <v/>
      </c>
      <c r="AT115" s="55" t="str">
        <f t="shared" si="138"/>
        <v/>
      </c>
      <c r="AU115" s="55" t="str">
        <f t="shared" si="138"/>
        <v/>
      </c>
      <c r="AV115" s="55" t="str">
        <f t="shared" si="138"/>
        <v/>
      </c>
      <c r="AW115" s="55" t="str">
        <f t="shared" si="138"/>
        <v/>
      </c>
      <c r="AX115" s="55" t="str">
        <f t="shared" si="138"/>
        <v/>
      </c>
      <c r="AY115" s="55" t="str">
        <f t="shared" si="138"/>
        <v/>
      </c>
      <c r="AZ115" s="55" t="str">
        <f t="shared" si="138"/>
        <v/>
      </c>
      <c r="BA115" s="55" t="str">
        <f t="shared" si="138"/>
        <v/>
      </c>
      <c r="BB115" s="55" t="str">
        <f t="shared" si="138"/>
        <v/>
      </c>
      <c r="BC115" s="55" t="str">
        <f t="shared" si="138"/>
        <v/>
      </c>
      <c r="BD115" s="55" t="str">
        <f t="shared" si="138"/>
        <v/>
      </c>
      <c r="BE115" s="55" t="str">
        <f t="shared" si="139"/>
        <v/>
      </c>
      <c r="BF115" s="55" t="str">
        <f t="shared" si="139"/>
        <v/>
      </c>
      <c r="BG115" s="55" t="str">
        <f t="shared" si="139"/>
        <v/>
      </c>
      <c r="BH115" s="55" t="str">
        <f t="shared" si="139"/>
        <v/>
      </c>
      <c r="BI115" s="55" t="str">
        <f t="shared" si="139"/>
        <v/>
      </c>
      <c r="BJ115" s="55" t="str">
        <f t="shared" si="139"/>
        <v/>
      </c>
      <c r="BK115" s="55" t="str">
        <f t="shared" si="139"/>
        <v/>
      </c>
      <c r="BL115" s="55" t="str">
        <f t="shared" si="139"/>
        <v/>
      </c>
      <c r="BM115" s="55" t="str">
        <f t="shared" si="139"/>
        <v/>
      </c>
      <c r="BN115" s="55" t="str">
        <f t="shared" si="139"/>
        <v/>
      </c>
      <c r="BO115" s="55" t="str">
        <f t="shared" si="139"/>
        <v/>
      </c>
      <c r="BP115" s="55" t="str">
        <f t="shared" si="139"/>
        <v/>
      </c>
      <c r="BQ115" s="55" t="str">
        <f t="shared" si="139"/>
        <v/>
      </c>
      <c r="BR115" s="55" t="str">
        <f t="shared" si="139"/>
        <v/>
      </c>
      <c r="BS115" s="55" t="str">
        <f t="shared" si="139"/>
        <v/>
      </c>
      <c r="BT115" s="55" t="str">
        <f t="shared" si="139"/>
        <v/>
      </c>
      <c r="BU115" s="55" t="str">
        <f t="shared" si="153"/>
        <v/>
      </c>
      <c r="BV115" s="55" t="str">
        <f t="shared" si="153"/>
        <v/>
      </c>
      <c r="BW115" s="55" t="str">
        <f t="shared" si="153"/>
        <v/>
      </c>
      <c r="BX115" s="55" t="str">
        <f t="shared" si="153"/>
        <v/>
      </c>
      <c r="BY115" s="55" t="str">
        <f t="shared" si="153"/>
        <v/>
      </c>
      <c r="BZ115" s="55" t="str">
        <f t="shared" si="153"/>
        <v/>
      </c>
      <c r="CA115" s="55" t="str">
        <f t="shared" si="153"/>
        <v/>
      </c>
      <c r="CB115" s="55" t="str">
        <f t="shared" si="153"/>
        <v/>
      </c>
      <c r="CC115" s="55" t="str">
        <f t="shared" si="153"/>
        <v/>
      </c>
      <c r="CD115" s="55" t="str">
        <f t="shared" si="153"/>
        <v/>
      </c>
      <c r="CE115" s="55" t="str">
        <f t="shared" si="153"/>
        <v/>
      </c>
      <c r="CF115" s="55" t="str">
        <f t="shared" si="153"/>
        <v/>
      </c>
      <c r="CG115" s="55" t="str">
        <f t="shared" si="153"/>
        <v/>
      </c>
      <c r="CH115" s="55" t="str">
        <f t="shared" si="153"/>
        <v/>
      </c>
      <c r="CI115" s="55" t="str">
        <f t="shared" si="153"/>
        <v/>
      </c>
      <c r="CJ115" s="55" t="str">
        <f t="shared" si="153"/>
        <v/>
      </c>
      <c r="CK115" s="55" t="str">
        <f t="shared" si="153"/>
        <v/>
      </c>
      <c r="CL115" s="55" t="str">
        <f t="shared" si="153"/>
        <v/>
      </c>
      <c r="CM115" s="55" t="str">
        <f t="shared" si="153"/>
        <v/>
      </c>
      <c r="CN115" s="55" t="str">
        <f t="shared" si="153"/>
        <v/>
      </c>
      <c r="CO115" s="55" t="str">
        <f t="shared" si="153"/>
        <v/>
      </c>
      <c r="CP115" s="55" t="str">
        <f t="shared" si="153"/>
        <v/>
      </c>
      <c r="CQ115" s="55" t="str">
        <f t="shared" si="153"/>
        <v/>
      </c>
      <c r="CR115" s="55" t="str">
        <f t="shared" si="153"/>
        <v/>
      </c>
      <c r="CS115" s="55" t="str">
        <f t="shared" si="153"/>
        <v/>
      </c>
      <c r="CT115" s="55" t="str">
        <f t="shared" si="153"/>
        <v/>
      </c>
      <c r="CU115" s="55" t="str">
        <f t="shared" si="153"/>
        <v/>
      </c>
      <c r="CV115" s="55" t="str">
        <f t="shared" si="153"/>
        <v/>
      </c>
      <c r="CW115" s="55" t="str">
        <f t="shared" si="153"/>
        <v/>
      </c>
      <c r="CX115" s="55" t="str">
        <f t="shared" si="153"/>
        <v/>
      </c>
      <c r="CY115" s="55" t="str">
        <f t="shared" si="153"/>
        <v/>
      </c>
      <c r="CZ115" s="55" t="str">
        <f t="shared" si="153"/>
        <v/>
      </c>
      <c r="DA115" s="55" t="str">
        <f t="shared" si="153"/>
        <v/>
      </c>
      <c r="DB115" s="55" t="str">
        <f t="shared" si="153"/>
        <v/>
      </c>
      <c r="DC115" s="55" t="str">
        <f t="shared" si="153"/>
        <v/>
      </c>
      <c r="DD115" s="55" t="str">
        <f t="shared" si="153"/>
        <v/>
      </c>
      <c r="DE115" s="55" t="str">
        <f t="shared" si="153"/>
        <v/>
      </c>
      <c r="DF115" s="55" t="str">
        <f t="shared" si="153"/>
        <v/>
      </c>
      <c r="DG115" s="55" t="str">
        <f t="shared" si="153"/>
        <v/>
      </c>
      <c r="DH115" s="55" t="str">
        <f t="shared" si="153"/>
        <v/>
      </c>
      <c r="DI115" s="55" t="str">
        <f t="shared" si="153"/>
        <v/>
      </c>
      <c r="DJ115" s="55" t="str">
        <f t="shared" si="153"/>
        <v/>
      </c>
      <c r="DK115" s="55" t="str">
        <f t="shared" si="153"/>
        <v/>
      </c>
      <c r="DL115" s="55" t="str">
        <f t="shared" si="153"/>
        <v/>
      </c>
      <c r="DM115" s="55" t="str">
        <f t="shared" si="153"/>
        <v/>
      </c>
      <c r="DN115" s="55" t="str">
        <f t="shared" si="153"/>
        <v/>
      </c>
      <c r="DO115" s="55" t="str">
        <f t="shared" si="153"/>
        <v/>
      </c>
      <c r="DP115" s="55" t="str">
        <f t="shared" si="153"/>
        <v/>
      </c>
      <c r="DQ115" s="55" t="str">
        <f t="shared" si="146"/>
        <v/>
      </c>
      <c r="DR115" s="55" t="str">
        <f t="shared" si="146"/>
        <v/>
      </c>
      <c r="DS115" s="55" t="str">
        <f t="shared" si="146"/>
        <v/>
      </c>
      <c r="DT115" s="110" t="str">
        <f t="shared" si="146"/>
        <v/>
      </c>
      <c r="DU115" s="54"/>
      <c r="DV115" s="25"/>
      <c r="DW115" s="61" t="str">
        <f t="shared" si="141"/>
        <v/>
      </c>
      <c r="DX115" s="50" t="str">
        <f t="shared" si="141"/>
        <v/>
      </c>
      <c r="DY115" s="50" t="str">
        <f t="shared" si="141"/>
        <v/>
      </c>
      <c r="DZ115" s="50" t="str">
        <f t="shared" si="141"/>
        <v/>
      </c>
      <c r="EA115" s="50" t="str">
        <f t="shared" si="141"/>
        <v/>
      </c>
      <c r="EB115" s="50" t="str">
        <f t="shared" si="141"/>
        <v/>
      </c>
      <c r="EC115" s="50" t="str">
        <f t="shared" si="141"/>
        <v/>
      </c>
      <c r="ED115" s="50" t="str">
        <f t="shared" si="141"/>
        <v/>
      </c>
      <c r="EE115" s="50" t="str">
        <f t="shared" si="141"/>
        <v/>
      </c>
      <c r="EF115" s="50" t="str">
        <f t="shared" si="141"/>
        <v/>
      </c>
      <c r="EG115" s="50" t="str">
        <f t="shared" si="141"/>
        <v/>
      </c>
      <c r="EH115" s="50" t="str">
        <f t="shared" si="141"/>
        <v/>
      </c>
      <c r="EI115" s="50" t="str">
        <f t="shared" si="141"/>
        <v/>
      </c>
      <c r="EJ115" s="50" t="str">
        <f t="shared" si="141"/>
        <v/>
      </c>
      <c r="EK115" s="50" t="str">
        <f t="shared" si="141"/>
        <v/>
      </c>
      <c r="EL115" s="50" t="str">
        <f t="shared" si="141"/>
        <v/>
      </c>
      <c r="EM115" s="50" t="str">
        <f t="shared" si="142"/>
        <v/>
      </c>
      <c r="EN115" s="50" t="str">
        <f t="shared" si="142"/>
        <v/>
      </c>
      <c r="EO115" s="50" t="str">
        <f t="shared" si="142"/>
        <v/>
      </c>
      <c r="EP115" s="50" t="str">
        <f t="shared" si="142"/>
        <v/>
      </c>
      <c r="EQ115" s="50" t="str">
        <f t="shared" si="142"/>
        <v/>
      </c>
      <c r="ER115" s="50" t="str">
        <f t="shared" si="142"/>
        <v/>
      </c>
      <c r="ES115" s="50" t="str">
        <f t="shared" si="142"/>
        <v/>
      </c>
      <c r="ET115" s="50" t="str">
        <f t="shared" si="142"/>
        <v/>
      </c>
      <c r="EU115" s="50" t="str">
        <f t="shared" si="142"/>
        <v/>
      </c>
      <c r="EV115" s="50" t="str">
        <f t="shared" si="142"/>
        <v/>
      </c>
      <c r="EW115" s="50" t="str">
        <f t="shared" si="142"/>
        <v/>
      </c>
      <c r="EX115" s="50" t="str">
        <f t="shared" si="142"/>
        <v/>
      </c>
      <c r="EY115" s="50" t="str">
        <f t="shared" si="142"/>
        <v/>
      </c>
      <c r="EZ115" s="50" t="str">
        <f t="shared" si="142"/>
        <v/>
      </c>
      <c r="FA115" s="50" t="str">
        <f t="shared" si="142"/>
        <v/>
      </c>
      <c r="FB115" s="50" t="str">
        <f t="shared" si="142"/>
        <v/>
      </c>
      <c r="FC115" s="50" t="str">
        <f t="shared" si="143"/>
        <v/>
      </c>
      <c r="FD115" s="50" t="str">
        <f t="shared" si="143"/>
        <v/>
      </c>
      <c r="FE115" s="50" t="str">
        <f t="shared" si="143"/>
        <v/>
      </c>
      <c r="FF115" s="50" t="str">
        <f t="shared" si="143"/>
        <v/>
      </c>
      <c r="FG115" s="50" t="str">
        <f t="shared" si="143"/>
        <v/>
      </c>
      <c r="FH115" s="50" t="str">
        <f t="shared" si="143"/>
        <v/>
      </c>
      <c r="FI115" s="50" t="str">
        <f t="shared" si="143"/>
        <v/>
      </c>
      <c r="FJ115" s="50" t="str">
        <f t="shared" si="143"/>
        <v/>
      </c>
      <c r="FK115" s="50" t="str">
        <f t="shared" si="143"/>
        <v/>
      </c>
      <c r="FL115" s="50" t="str">
        <f t="shared" si="143"/>
        <v/>
      </c>
      <c r="FM115" s="50" t="str">
        <f t="shared" si="143"/>
        <v/>
      </c>
      <c r="FN115" s="50" t="str">
        <f t="shared" si="143"/>
        <v/>
      </c>
      <c r="FO115" s="50" t="str">
        <f t="shared" si="143"/>
        <v/>
      </c>
      <c r="FP115" s="50" t="str">
        <f t="shared" si="143"/>
        <v/>
      </c>
      <c r="FQ115" s="50" t="str">
        <f t="shared" si="143"/>
        <v/>
      </c>
      <c r="FR115" s="50" t="str">
        <f t="shared" si="143"/>
        <v/>
      </c>
      <c r="FS115" s="50" t="str">
        <f t="shared" si="154"/>
        <v/>
      </c>
      <c r="FT115" s="50" t="str">
        <f t="shared" si="154"/>
        <v/>
      </c>
      <c r="FU115" s="50" t="str">
        <f t="shared" si="154"/>
        <v/>
      </c>
      <c r="FV115" s="50" t="str">
        <f t="shared" si="154"/>
        <v/>
      </c>
      <c r="FW115" s="50" t="str">
        <f t="shared" si="154"/>
        <v/>
      </c>
      <c r="FX115" s="50" t="str">
        <f t="shared" si="154"/>
        <v/>
      </c>
      <c r="FY115" s="50" t="str">
        <f t="shared" si="154"/>
        <v/>
      </c>
      <c r="FZ115" s="50" t="str">
        <f t="shared" si="154"/>
        <v/>
      </c>
      <c r="GA115" s="50" t="str">
        <f t="shared" si="154"/>
        <v/>
      </c>
      <c r="GB115" s="50" t="str">
        <f t="shared" si="154"/>
        <v/>
      </c>
      <c r="GC115" s="50" t="str">
        <f t="shared" si="154"/>
        <v/>
      </c>
      <c r="GD115" s="50" t="str">
        <f t="shared" si="154"/>
        <v/>
      </c>
      <c r="GE115" s="50" t="str">
        <f t="shared" si="154"/>
        <v/>
      </c>
      <c r="GF115" s="50" t="str">
        <f t="shared" si="154"/>
        <v/>
      </c>
      <c r="GG115" s="50" t="str">
        <f t="shared" si="154"/>
        <v/>
      </c>
      <c r="GH115" s="50" t="str">
        <f t="shared" si="154"/>
        <v/>
      </c>
      <c r="GI115" s="50" t="str">
        <f t="shared" si="154"/>
        <v/>
      </c>
      <c r="GJ115" s="50" t="str">
        <f t="shared" si="154"/>
        <v/>
      </c>
      <c r="GK115" s="50" t="str">
        <f t="shared" si="154"/>
        <v/>
      </c>
      <c r="GL115" s="50" t="str">
        <f t="shared" si="154"/>
        <v/>
      </c>
      <c r="GM115" s="50" t="str">
        <f t="shared" si="154"/>
        <v/>
      </c>
      <c r="GN115" s="50" t="str">
        <f t="shared" si="154"/>
        <v/>
      </c>
      <c r="GO115" s="50" t="str">
        <f t="shared" si="154"/>
        <v/>
      </c>
      <c r="GP115" s="50" t="str">
        <f t="shared" si="154"/>
        <v/>
      </c>
      <c r="GQ115" s="50" t="str">
        <f t="shared" si="154"/>
        <v/>
      </c>
      <c r="GR115" s="50" t="str">
        <f t="shared" si="154"/>
        <v/>
      </c>
      <c r="GS115" s="50" t="str">
        <f t="shared" si="154"/>
        <v/>
      </c>
      <c r="GT115" s="50" t="str">
        <f t="shared" si="154"/>
        <v/>
      </c>
      <c r="GU115" s="50" t="str">
        <f t="shared" si="154"/>
        <v/>
      </c>
      <c r="GV115" s="50" t="str">
        <f t="shared" si="154"/>
        <v/>
      </c>
      <c r="GW115" s="50" t="str">
        <f t="shared" si="154"/>
        <v/>
      </c>
      <c r="GX115" s="50" t="str">
        <f t="shared" si="154"/>
        <v/>
      </c>
      <c r="GY115" s="50" t="str">
        <f t="shared" si="154"/>
        <v/>
      </c>
      <c r="GZ115" s="50" t="str">
        <f t="shared" si="154"/>
        <v/>
      </c>
      <c r="HA115" s="50" t="str">
        <f t="shared" si="154"/>
        <v/>
      </c>
      <c r="HB115" s="50" t="str">
        <f t="shared" si="154"/>
        <v/>
      </c>
      <c r="HC115" s="50" t="str">
        <f t="shared" si="154"/>
        <v/>
      </c>
      <c r="HD115" s="50" t="str">
        <f t="shared" si="154"/>
        <v/>
      </c>
      <c r="HE115" s="50" t="str">
        <f t="shared" si="154"/>
        <v/>
      </c>
      <c r="HF115" s="50" t="str">
        <f t="shared" si="154"/>
        <v/>
      </c>
      <c r="HG115" s="50" t="str">
        <f t="shared" si="154"/>
        <v/>
      </c>
      <c r="HH115" s="50" t="str">
        <f t="shared" si="154"/>
        <v/>
      </c>
      <c r="HI115" s="50" t="str">
        <f t="shared" si="154"/>
        <v/>
      </c>
      <c r="HJ115" s="50" t="str">
        <f t="shared" si="154"/>
        <v/>
      </c>
      <c r="HK115" s="50" t="str">
        <f t="shared" si="154"/>
        <v/>
      </c>
      <c r="HL115" s="50" t="str">
        <f t="shared" si="154"/>
        <v/>
      </c>
      <c r="HM115" s="50" t="str">
        <f t="shared" si="154"/>
        <v/>
      </c>
      <c r="HN115" s="50" t="str">
        <f t="shared" si="154"/>
        <v/>
      </c>
      <c r="HO115" s="50" t="str">
        <f t="shared" si="147"/>
        <v/>
      </c>
      <c r="HP115" s="50" t="str">
        <f t="shared" si="147"/>
        <v/>
      </c>
      <c r="HQ115" s="50" t="str">
        <f t="shared" si="147"/>
        <v/>
      </c>
      <c r="HR115" s="116" t="str">
        <f t="shared" si="147"/>
        <v/>
      </c>
    </row>
    <row r="116" spans="1:226" ht="11.15" customHeight="1" x14ac:dyDescent="0.25">
      <c r="A116" s="26"/>
      <c r="B116" s="27"/>
      <c r="C116" s="28" t="str">
        <f>IF(A116=0,"",VLOOKUP(A116,[3]CO!$A$3:$F$5327,2,0))</f>
        <v/>
      </c>
      <c r="D116" s="29"/>
      <c r="E116" s="29"/>
      <c r="F116" s="104" t="str">
        <f t="shared" si="148"/>
        <v/>
      </c>
      <c r="G116" s="30" t="str">
        <f>IF(A116=0,"",VLOOKUP(A116,[3]CO!$A$3:$F$5327,3,0))</f>
        <v/>
      </c>
      <c r="H116" s="95"/>
      <c r="I116" s="31"/>
      <c r="J116" s="31"/>
      <c r="K116" s="31"/>
      <c r="L116" s="31"/>
      <c r="M116" s="32" t="str">
        <f t="shared" si="149"/>
        <v/>
      </c>
      <c r="N116" s="32" t="str">
        <f>IF(B116=0,"",IF(H116="M",HLOOKUP(B116,$Y$12:$DT$13,2),IF(A116=0,"",VLOOKUP(A116,[3]CO!$A$3:$F$5327,4,0))))</f>
        <v/>
      </c>
      <c r="O116" s="32" t="str">
        <f t="shared" si="150"/>
        <v/>
      </c>
      <c r="P116" s="33"/>
      <c r="Q116" s="34" t="str">
        <f t="shared" si="151"/>
        <v/>
      </c>
      <c r="R116" s="35"/>
      <c r="S116" s="98"/>
      <c r="T116" s="53" t="str">
        <f>IF(A116=0,"",VLOOKUP(A116,[3]CO!$A$3:$F$5318,5,0))</f>
        <v/>
      </c>
      <c r="U116" s="54">
        <f t="shared" si="152"/>
        <v>0</v>
      </c>
      <c r="V116" s="24"/>
      <c r="W116" s="25"/>
      <c r="X116" s="25"/>
      <c r="Y116" s="64" t="str">
        <f t="shared" si="137"/>
        <v/>
      </c>
      <c r="Z116" s="55" t="str">
        <f t="shared" si="137"/>
        <v/>
      </c>
      <c r="AA116" s="55" t="str">
        <f t="shared" si="137"/>
        <v/>
      </c>
      <c r="AB116" s="55" t="str">
        <f t="shared" si="137"/>
        <v/>
      </c>
      <c r="AC116" s="55" t="str">
        <f t="shared" si="137"/>
        <v/>
      </c>
      <c r="AD116" s="55" t="str">
        <f t="shared" si="137"/>
        <v/>
      </c>
      <c r="AE116" s="55" t="str">
        <f t="shared" si="137"/>
        <v/>
      </c>
      <c r="AF116" s="55" t="str">
        <f t="shared" si="137"/>
        <v/>
      </c>
      <c r="AG116" s="55" t="str">
        <f t="shared" si="137"/>
        <v/>
      </c>
      <c r="AH116" s="55" t="str">
        <f t="shared" si="137"/>
        <v/>
      </c>
      <c r="AI116" s="55" t="str">
        <f t="shared" si="137"/>
        <v/>
      </c>
      <c r="AJ116" s="55" t="str">
        <f t="shared" si="137"/>
        <v/>
      </c>
      <c r="AK116" s="55" t="str">
        <f t="shared" si="137"/>
        <v/>
      </c>
      <c r="AL116" s="55" t="str">
        <f t="shared" si="137"/>
        <v/>
      </c>
      <c r="AM116" s="55" t="str">
        <f t="shared" si="137"/>
        <v/>
      </c>
      <c r="AN116" s="55" t="str">
        <f t="shared" si="137"/>
        <v/>
      </c>
      <c r="AO116" s="55" t="str">
        <f t="shared" si="138"/>
        <v/>
      </c>
      <c r="AP116" s="55" t="str">
        <f t="shared" si="138"/>
        <v/>
      </c>
      <c r="AQ116" s="55" t="str">
        <f t="shared" si="138"/>
        <v/>
      </c>
      <c r="AR116" s="55" t="str">
        <f t="shared" si="138"/>
        <v/>
      </c>
      <c r="AS116" s="55" t="str">
        <f t="shared" si="138"/>
        <v/>
      </c>
      <c r="AT116" s="55" t="str">
        <f t="shared" si="138"/>
        <v/>
      </c>
      <c r="AU116" s="55" t="str">
        <f t="shared" si="138"/>
        <v/>
      </c>
      <c r="AV116" s="55" t="str">
        <f t="shared" si="138"/>
        <v/>
      </c>
      <c r="AW116" s="55" t="str">
        <f t="shared" si="138"/>
        <v/>
      </c>
      <c r="AX116" s="55" t="str">
        <f t="shared" si="138"/>
        <v/>
      </c>
      <c r="AY116" s="55" t="str">
        <f t="shared" si="138"/>
        <v/>
      </c>
      <c r="AZ116" s="55" t="str">
        <f t="shared" si="138"/>
        <v/>
      </c>
      <c r="BA116" s="55" t="str">
        <f t="shared" si="138"/>
        <v/>
      </c>
      <c r="BB116" s="55" t="str">
        <f t="shared" si="138"/>
        <v/>
      </c>
      <c r="BC116" s="55" t="str">
        <f t="shared" si="138"/>
        <v/>
      </c>
      <c r="BD116" s="55" t="str">
        <f t="shared" si="138"/>
        <v/>
      </c>
      <c r="BE116" s="55" t="str">
        <f t="shared" si="139"/>
        <v/>
      </c>
      <c r="BF116" s="55" t="str">
        <f t="shared" si="139"/>
        <v/>
      </c>
      <c r="BG116" s="55" t="str">
        <f t="shared" si="139"/>
        <v/>
      </c>
      <c r="BH116" s="55" t="str">
        <f t="shared" si="139"/>
        <v/>
      </c>
      <c r="BI116" s="55" t="str">
        <f t="shared" si="139"/>
        <v/>
      </c>
      <c r="BJ116" s="55" t="str">
        <f t="shared" si="139"/>
        <v/>
      </c>
      <c r="BK116" s="55" t="str">
        <f t="shared" si="139"/>
        <v/>
      </c>
      <c r="BL116" s="55" t="str">
        <f t="shared" si="139"/>
        <v/>
      </c>
      <c r="BM116" s="55" t="str">
        <f t="shared" si="139"/>
        <v/>
      </c>
      <c r="BN116" s="55" t="str">
        <f t="shared" si="139"/>
        <v/>
      </c>
      <c r="BO116" s="55" t="str">
        <f t="shared" si="139"/>
        <v/>
      </c>
      <c r="BP116" s="55" t="str">
        <f t="shared" si="139"/>
        <v/>
      </c>
      <c r="BQ116" s="55" t="str">
        <f t="shared" si="139"/>
        <v/>
      </c>
      <c r="BR116" s="55" t="str">
        <f t="shared" si="139"/>
        <v/>
      </c>
      <c r="BS116" s="55" t="str">
        <f t="shared" si="139"/>
        <v/>
      </c>
      <c r="BT116" s="55" t="str">
        <f t="shared" si="139"/>
        <v/>
      </c>
      <c r="BU116" s="55" t="str">
        <f t="shared" si="153"/>
        <v/>
      </c>
      <c r="BV116" s="55" t="str">
        <f t="shared" si="153"/>
        <v/>
      </c>
      <c r="BW116" s="55" t="str">
        <f t="shared" si="153"/>
        <v/>
      </c>
      <c r="BX116" s="55" t="str">
        <f t="shared" si="153"/>
        <v/>
      </c>
      <c r="BY116" s="55" t="str">
        <f t="shared" si="153"/>
        <v/>
      </c>
      <c r="BZ116" s="55" t="str">
        <f t="shared" si="153"/>
        <v/>
      </c>
      <c r="CA116" s="55" t="str">
        <f t="shared" si="153"/>
        <v/>
      </c>
      <c r="CB116" s="55" t="str">
        <f t="shared" si="153"/>
        <v/>
      </c>
      <c r="CC116" s="55" t="str">
        <f t="shared" si="153"/>
        <v/>
      </c>
      <c r="CD116" s="55" t="str">
        <f t="shared" si="153"/>
        <v/>
      </c>
      <c r="CE116" s="55" t="str">
        <f t="shared" si="153"/>
        <v/>
      </c>
      <c r="CF116" s="55" t="str">
        <f t="shared" si="153"/>
        <v/>
      </c>
      <c r="CG116" s="55" t="str">
        <f t="shared" si="153"/>
        <v/>
      </c>
      <c r="CH116" s="55" t="str">
        <f t="shared" si="153"/>
        <v/>
      </c>
      <c r="CI116" s="55" t="str">
        <f t="shared" si="153"/>
        <v/>
      </c>
      <c r="CJ116" s="55" t="str">
        <f t="shared" si="153"/>
        <v/>
      </c>
      <c r="CK116" s="55" t="str">
        <f t="shared" si="153"/>
        <v/>
      </c>
      <c r="CL116" s="55" t="str">
        <f t="shared" si="153"/>
        <v/>
      </c>
      <c r="CM116" s="55" t="str">
        <f t="shared" si="153"/>
        <v/>
      </c>
      <c r="CN116" s="55" t="str">
        <f t="shared" si="153"/>
        <v/>
      </c>
      <c r="CO116" s="55" t="str">
        <f t="shared" si="153"/>
        <v/>
      </c>
      <c r="CP116" s="55" t="str">
        <f t="shared" si="153"/>
        <v/>
      </c>
      <c r="CQ116" s="55" t="str">
        <f t="shared" si="153"/>
        <v/>
      </c>
      <c r="CR116" s="55" t="str">
        <f t="shared" si="153"/>
        <v/>
      </c>
      <c r="CS116" s="55" t="str">
        <f t="shared" si="153"/>
        <v/>
      </c>
      <c r="CT116" s="55" t="str">
        <f t="shared" si="153"/>
        <v/>
      </c>
      <c r="CU116" s="55" t="str">
        <f t="shared" si="153"/>
        <v/>
      </c>
      <c r="CV116" s="55" t="str">
        <f t="shared" si="153"/>
        <v/>
      </c>
      <c r="CW116" s="55" t="str">
        <f t="shared" si="153"/>
        <v/>
      </c>
      <c r="CX116" s="55" t="str">
        <f t="shared" si="153"/>
        <v/>
      </c>
      <c r="CY116" s="55" t="str">
        <f t="shared" si="153"/>
        <v/>
      </c>
      <c r="CZ116" s="55" t="str">
        <f t="shared" si="153"/>
        <v/>
      </c>
      <c r="DA116" s="55" t="str">
        <f t="shared" si="153"/>
        <v/>
      </c>
      <c r="DB116" s="55" t="str">
        <f t="shared" si="153"/>
        <v/>
      </c>
      <c r="DC116" s="55" t="str">
        <f t="shared" si="153"/>
        <v/>
      </c>
      <c r="DD116" s="55" t="str">
        <f t="shared" si="153"/>
        <v/>
      </c>
      <c r="DE116" s="55" t="str">
        <f t="shared" si="153"/>
        <v/>
      </c>
      <c r="DF116" s="55" t="str">
        <f t="shared" si="153"/>
        <v/>
      </c>
      <c r="DG116" s="55" t="str">
        <f t="shared" si="153"/>
        <v/>
      </c>
      <c r="DH116" s="55" t="str">
        <f t="shared" si="153"/>
        <v/>
      </c>
      <c r="DI116" s="55" t="str">
        <f t="shared" si="153"/>
        <v/>
      </c>
      <c r="DJ116" s="55" t="str">
        <f t="shared" si="153"/>
        <v/>
      </c>
      <c r="DK116" s="55" t="str">
        <f t="shared" si="153"/>
        <v/>
      </c>
      <c r="DL116" s="55" t="str">
        <f t="shared" si="153"/>
        <v/>
      </c>
      <c r="DM116" s="55" t="str">
        <f t="shared" si="153"/>
        <v/>
      </c>
      <c r="DN116" s="55" t="str">
        <f t="shared" si="153"/>
        <v/>
      </c>
      <c r="DO116" s="55" t="str">
        <f t="shared" si="153"/>
        <v/>
      </c>
      <c r="DP116" s="55" t="str">
        <f t="shared" si="153"/>
        <v/>
      </c>
      <c r="DQ116" s="55" t="str">
        <f t="shared" si="146"/>
        <v/>
      </c>
      <c r="DR116" s="55" t="str">
        <f t="shared" si="146"/>
        <v/>
      </c>
      <c r="DS116" s="55" t="str">
        <f t="shared" si="146"/>
        <v/>
      </c>
      <c r="DT116" s="110" t="str">
        <f t="shared" si="146"/>
        <v/>
      </c>
      <c r="DU116" s="54"/>
      <c r="DV116" s="25"/>
      <c r="DW116" s="61" t="str">
        <f t="shared" si="141"/>
        <v/>
      </c>
      <c r="DX116" s="50" t="str">
        <f t="shared" si="141"/>
        <v/>
      </c>
      <c r="DY116" s="50" t="str">
        <f t="shared" si="141"/>
        <v/>
      </c>
      <c r="DZ116" s="50" t="str">
        <f t="shared" si="141"/>
        <v/>
      </c>
      <c r="EA116" s="50" t="str">
        <f t="shared" si="141"/>
        <v/>
      </c>
      <c r="EB116" s="50" t="str">
        <f t="shared" si="141"/>
        <v/>
      </c>
      <c r="EC116" s="50" t="str">
        <f t="shared" si="141"/>
        <v/>
      </c>
      <c r="ED116" s="50" t="str">
        <f t="shared" si="141"/>
        <v/>
      </c>
      <c r="EE116" s="50" t="str">
        <f t="shared" si="141"/>
        <v/>
      </c>
      <c r="EF116" s="50" t="str">
        <f t="shared" si="141"/>
        <v/>
      </c>
      <c r="EG116" s="50" t="str">
        <f t="shared" si="141"/>
        <v/>
      </c>
      <c r="EH116" s="50" t="str">
        <f t="shared" si="141"/>
        <v/>
      </c>
      <c r="EI116" s="50" t="str">
        <f t="shared" si="141"/>
        <v/>
      </c>
      <c r="EJ116" s="50" t="str">
        <f t="shared" si="141"/>
        <v/>
      </c>
      <c r="EK116" s="50" t="str">
        <f t="shared" si="141"/>
        <v/>
      </c>
      <c r="EL116" s="50" t="str">
        <f t="shared" si="141"/>
        <v/>
      </c>
      <c r="EM116" s="50" t="str">
        <f t="shared" si="142"/>
        <v/>
      </c>
      <c r="EN116" s="50" t="str">
        <f t="shared" si="142"/>
        <v/>
      </c>
      <c r="EO116" s="50" t="str">
        <f t="shared" si="142"/>
        <v/>
      </c>
      <c r="EP116" s="50" t="str">
        <f t="shared" si="142"/>
        <v/>
      </c>
      <c r="EQ116" s="50" t="str">
        <f t="shared" si="142"/>
        <v/>
      </c>
      <c r="ER116" s="50" t="str">
        <f t="shared" si="142"/>
        <v/>
      </c>
      <c r="ES116" s="50" t="str">
        <f t="shared" si="142"/>
        <v/>
      </c>
      <c r="ET116" s="50" t="str">
        <f t="shared" si="142"/>
        <v/>
      </c>
      <c r="EU116" s="50" t="str">
        <f t="shared" si="142"/>
        <v/>
      </c>
      <c r="EV116" s="50" t="str">
        <f t="shared" si="142"/>
        <v/>
      </c>
      <c r="EW116" s="50" t="str">
        <f t="shared" si="142"/>
        <v/>
      </c>
      <c r="EX116" s="50" t="str">
        <f t="shared" si="142"/>
        <v/>
      </c>
      <c r="EY116" s="50" t="str">
        <f t="shared" si="142"/>
        <v/>
      </c>
      <c r="EZ116" s="50" t="str">
        <f t="shared" si="142"/>
        <v/>
      </c>
      <c r="FA116" s="50" t="str">
        <f t="shared" si="142"/>
        <v/>
      </c>
      <c r="FB116" s="50" t="str">
        <f t="shared" si="142"/>
        <v/>
      </c>
      <c r="FC116" s="50" t="str">
        <f t="shared" si="143"/>
        <v/>
      </c>
      <c r="FD116" s="50" t="str">
        <f t="shared" si="143"/>
        <v/>
      </c>
      <c r="FE116" s="50" t="str">
        <f t="shared" si="143"/>
        <v/>
      </c>
      <c r="FF116" s="50" t="str">
        <f t="shared" si="143"/>
        <v/>
      </c>
      <c r="FG116" s="50" t="str">
        <f t="shared" si="143"/>
        <v/>
      </c>
      <c r="FH116" s="50" t="str">
        <f t="shared" si="143"/>
        <v/>
      </c>
      <c r="FI116" s="50" t="str">
        <f t="shared" si="143"/>
        <v/>
      </c>
      <c r="FJ116" s="50" t="str">
        <f t="shared" si="143"/>
        <v/>
      </c>
      <c r="FK116" s="50" t="str">
        <f t="shared" si="143"/>
        <v/>
      </c>
      <c r="FL116" s="50" t="str">
        <f t="shared" si="143"/>
        <v/>
      </c>
      <c r="FM116" s="50" t="str">
        <f t="shared" si="143"/>
        <v/>
      </c>
      <c r="FN116" s="50" t="str">
        <f t="shared" si="143"/>
        <v/>
      </c>
      <c r="FO116" s="50" t="str">
        <f t="shared" si="143"/>
        <v/>
      </c>
      <c r="FP116" s="50" t="str">
        <f t="shared" si="143"/>
        <v/>
      </c>
      <c r="FQ116" s="50" t="str">
        <f t="shared" si="143"/>
        <v/>
      </c>
      <c r="FR116" s="50" t="str">
        <f t="shared" si="143"/>
        <v/>
      </c>
      <c r="FS116" s="50" t="str">
        <f t="shared" si="154"/>
        <v/>
      </c>
      <c r="FT116" s="50" t="str">
        <f t="shared" si="154"/>
        <v/>
      </c>
      <c r="FU116" s="50" t="str">
        <f t="shared" si="154"/>
        <v/>
      </c>
      <c r="FV116" s="50" t="str">
        <f t="shared" si="154"/>
        <v/>
      </c>
      <c r="FW116" s="50" t="str">
        <f t="shared" si="154"/>
        <v/>
      </c>
      <c r="FX116" s="50" t="str">
        <f t="shared" si="154"/>
        <v/>
      </c>
      <c r="FY116" s="50" t="str">
        <f t="shared" si="154"/>
        <v/>
      </c>
      <c r="FZ116" s="50" t="str">
        <f t="shared" si="154"/>
        <v/>
      </c>
      <c r="GA116" s="50" t="str">
        <f t="shared" si="154"/>
        <v/>
      </c>
      <c r="GB116" s="50" t="str">
        <f t="shared" si="154"/>
        <v/>
      </c>
      <c r="GC116" s="50" t="str">
        <f t="shared" si="154"/>
        <v/>
      </c>
      <c r="GD116" s="50" t="str">
        <f t="shared" si="154"/>
        <v/>
      </c>
      <c r="GE116" s="50" t="str">
        <f t="shared" si="154"/>
        <v/>
      </c>
      <c r="GF116" s="50" t="str">
        <f t="shared" si="154"/>
        <v/>
      </c>
      <c r="GG116" s="50" t="str">
        <f t="shared" si="154"/>
        <v/>
      </c>
      <c r="GH116" s="50" t="str">
        <f t="shared" si="154"/>
        <v/>
      </c>
      <c r="GI116" s="50" t="str">
        <f t="shared" si="154"/>
        <v/>
      </c>
      <c r="GJ116" s="50" t="str">
        <f t="shared" si="154"/>
        <v/>
      </c>
      <c r="GK116" s="50" t="str">
        <f t="shared" si="154"/>
        <v/>
      </c>
      <c r="GL116" s="50" t="str">
        <f t="shared" si="154"/>
        <v/>
      </c>
      <c r="GM116" s="50" t="str">
        <f t="shared" si="154"/>
        <v/>
      </c>
      <c r="GN116" s="50" t="str">
        <f t="shared" si="154"/>
        <v/>
      </c>
      <c r="GO116" s="50" t="str">
        <f t="shared" si="154"/>
        <v/>
      </c>
      <c r="GP116" s="50" t="str">
        <f t="shared" si="154"/>
        <v/>
      </c>
      <c r="GQ116" s="50" t="str">
        <f t="shared" si="154"/>
        <v/>
      </c>
      <c r="GR116" s="50" t="str">
        <f t="shared" si="154"/>
        <v/>
      </c>
      <c r="GS116" s="50" t="str">
        <f t="shared" si="154"/>
        <v/>
      </c>
      <c r="GT116" s="50" t="str">
        <f t="shared" si="154"/>
        <v/>
      </c>
      <c r="GU116" s="50" t="str">
        <f t="shared" si="154"/>
        <v/>
      </c>
      <c r="GV116" s="50" t="str">
        <f t="shared" si="154"/>
        <v/>
      </c>
      <c r="GW116" s="50" t="str">
        <f t="shared" si="154"/>
        <v/>
      </c>
      <c r="GX116" s="50" t="str">
        <f t="shared" si="154"/>
        <v/>
      </c>
      <c r="GY116" s="50" t="str">
        <f t="shared" si="154"/>
        <v/>
      </c>
      <c r="GZ116" s="50" t="str">
        <f t="shared" si="154"/>
        <v/>
      </c>
      <c r="HA116" s="50" t="str">
        <f t="shared" si="154"/>
        <v/>
      </c>
      <c r="HB116" s="50" t="str">
        <f t="shared" si="154"/>
        <v/>
      </c>
      <c r="HC116" s="50" t="str">
        <f t="shared" si="154"/>
        <v/>
      </c>
      <c r="HD116" s="50" t="str">
        <f t="shared" si="154"/>
        <v/>
      </c>
      <c r="HE116" s="50" t="str">
        <f t="shared" si="154"/>
        <v/>
      </c>
      <c r="HF116" s="50" t="str">
        <f t="shared" si="154"/>
        <v/>
      </c>
      <c r="HG116" s="50" t="str">
        <f t="shared" si="154"/>
        <v/>
      </c>
      <c r="HH116" s="50" t="str">
        <f t="shared" si="154"/>
        <v/>
      </c>
      <c r="HI116" s="50" t="str">
        <f t="shared" si="154"/>
        <v/>
      </c>
      <c r="HJ116" s="50" t="str">
        <f t="shared" si="154"/>
        <v/>
      </c>
      <c r="HK116" s="50" t="str">
        <f t="shared" si="154"/>
        <v/>
      </c>
      <c r="HL116" s="50" t="str">
        <f t="shared" si="154"/>
        <v/>
      </c>
      <c r="HM116" s="50" t="str">
        <f t="shared" si="154"/>
        <v/>
      </c>
      <c r="HN116" s="50" t="str">
        <f t="shared" si="154"/>
        <v/>
      </c>
      <c r="HO116" s="50" t="str">
        <f t="shared" si="147"/>
        <v/>
      </c>
      <c r="HP116" s="50" t="str">
        <f t="shared" si="147"/>
        <v/>
      </c>
      <c r="HQ116" s="50" t="str">
        <f t="shared" si="147"/>
        <v/>
      </c>
      <c r="HR116" s="116" t="str">
        <f t="shared" si="147"/>
        <v/>
      </c>
    </row>
    <row r="117" spans="1:226" ht="11.15" customHeight="1" x14ac:dyDescent="0.25">
      <c r="A117" s="26"/>
      <c r="B117" s="27"/>
      <c r="C117" s="28" t="str">
        <f>IF(A117=0,"",VLOOKUP(A117,[3]CO!$A$3:$F$5327,2,0))</f>
        <v/>
      </c>
      <c r="D117" s="29"/>
      <c r="E117" s="29"/>
      <c r="F117" s="104" t="str">
        <f t="shared" si="148"/>
        <v/>
      </c>
      <c r="G117" s="30" t="str">
        <f>IF(A117=0,"",VLOOKUP(A117,[3]CO!$A$3:$F$5327,3,0))</f>
        <v/>
      </c>
      <c r="H117" s="95"/>
      <c r="I117" s="31"/>
      <c r="J117" s="31"/>
      <c r="K117" s="31"/>
      <c r="L117" s="31"/>
      <c r="M117" s="32" t="str">
        <f t="shared" si="149"/>
        <v/>
      </c>
      <c r="N117" s="32" t="str">
        <f>IF(B117=0,"",IF(H117="M",HLOOKUP(B117,$Y$12:$DT$13,2),IF(A117=0,"",VLOOKUP(A117,[3]CO!$A$3:$F$5327,4,0))))</f>
        <v/>
      </c>
      <c r="O117" s="32" t="str">
        <f t="shared" si="150"/>
        <v/>
      </c>
      <c r="P117" s="33"/>
      <c r="Q117" s="34" t="str">
        <f t="shared" si="151"/>
        <v/>
      </c>
      <c r="R117" s="35"/>
      <c r="S117" s="98"/>
      <c r="T117" s="53" t="str">
        <f>IF(A117=0,"",VLOOKUP(A117,[3]CO!$A$3:$F$5318,5,0))</f>
        <v/>
      </c>
      <c r="U117" s="54">
        <f t="shared" si="152"/>
        <v>0</v>
      </c>
      <c r="V117" s="24"/>
      <c r="W117" s="25"/>
      <c r="X117" s="25"/>
      <c r="Y117" s="64" t="str">
        <f t="shared" si="137"/>
        <v/>
      </c>
      <c r="Z117" s="55" t="str">
        <f t="shared" si="137"/>
        <v/>
      </c>
      <c r="AA117" s="55" t="str">
        <f t="shared" si="137"/>
        <v/>
      </c>
      <c r="AB117" s="55" t="str">
        <f t="shared" si="137"/>
        <v/>
      </c>
      <c r="AC117" s="55" t="str">
        <f t="shared" si="137"/>
        <v/>
      </c>
      <c r="AD117" s="55" t="str">
        <f t="shared" si="137"/>
        <v/>
      </c>
      <c r="AE117" s="55" t="str">
        <f t="shared" si="137"/>
        <v/>
      </c>
      <c r="AF117" s="55" t="str">
        <f t="shared" si="137"/>
        <v/>
      </c>
      <c r="AG117" s="55" t="str">
        <f t="shared" si="137"/>
        <v/>
      </c>
      <c r="AH117" s="55" t="str">
        <f t="shared" si="137"/>
        <v/>
      </c>
      <c r="AI117" s="55" t="str">
        <f t="shared" si="137"/>
        <v/>
      </c>
      <c r="AJ117" s="55" t="str">
        <f t="shared" si="137"/>
        <v/>
      </c>
      <c r="AK117" s="55" t="str">
        <f t="shared" si="137"/>
        <v/>
      </c>
      <c r="AL117" s="55" t="str">
        <f t="shared" si="137"/>
        <v/>
      </c>
      <c r="AM117" s="55" t="str">
        <f t="shared" si="137"/>
        <v/>
      </c>
      <c r="AN117" s="55" t="str">
        <f t="shared" si="137"/>
        <v/>
      </c>
      <c r="AO117" s="55" t="str">
        <f t="shared" si="138"/>
        <v/>
      </c>
      <c r="AP117" s="55" t="str">
        <f t="shared" si="138"/>
        <v/>
      </c>
      <c r="AQ117" s="55" t="str">
        <f t="shared" si="138"/>
        <v/>
      </c>
      <c r="AR117" s="55" t="str">
        <f t="shared" si="138"/>
        <v/>
      </c>
      <c r="AS117" s="55" t="str">
        <f t="shared" si="138"/>
        <v/>
      </c>
      <c r="AT117" s="55" t="str">
        <f t="shared" si="138"/>
        <v/>
      </c>
      <c r="AU117" s="55" t="str">
        <f t="shared" si="138"/>
        <v/>
      </c>
      <c r="AV117" s="55" t="str">
        <f t="shared" si="138"/>
        <v/>
      </c>
      <c r="AW117" s="55" t="str">
        <f t="shared" si="138"/>
        <v/>
      </c>
      <c r="AX117" s="55" t="str">
        <f t="shared" si="138"/>
        <v/>
      </c>
      <c r="AY117" s="55" t="str">
        <f t="shared" si="138"/>
        <v/>
      </c>
      <c r="AZ117" s="55" t="str">
        <f t="shared" si="138"/>
        <v/>
      </c>
      <c r="BA117" s="55" t="str">
        <f t="shared" si="138"/>
        <v/>
      </c>
      <c r="BB117" s="55" t="str">
        <f t="shared" si="138"/>
        <v/>
      </c>
      <c r="BC117" s="55" t="str">
        <f t="shared" si="138"/>
        <v/>
      </c>
      <c r="BD117" s="55" t="str">
        <f t="shared" si="138"/>
        <v/>
      </c>
      <c r="BE117" s="55" t="str">
        <f t="shared" si="139"/>
        <v/>
      </c>
      <c r="BF117" s="55" t="str">
        <f t="shared" si="139"/>
        <v/>
      </c>
      <c r="BG117" s="55" t="str">
        <f t="shared" si="139"/>
        <v/>
      </c>
      <c r="BH117" s="55" t="str">
        <f t="shared" si="139"/>
        <v/>
      </c>
      <c r="BI117" s="55" t="str">
        <f t="shared" si="139"/>
        <v/>
      </c>
      <c r="BJ117" s="55" t="str">
        <f t="shared" si="139"/>
        <v/>
      </c>
      <c r="BK117" s="55" t="str">
        <f t="shared" si="139"/>
        <v/>
      </c>
      <c r="BL117" s="55" t="str">
        <f t="shared" si="139"/>
        <v/>
      </c>
      <c r="BM117" s="55" t="str">
        <f t="shared" si="139"/>
        <v/>
      </c>
      <c r="BN117" s="55" t="str">
        <f t="shared" si="139"/>
        <v/>
      </c>
      <c r="BO117" s="55" t="str">
        <f t="shared" si="139"/>
        <v/>
      </c>
      <c r="BP117" s="55" t="str">
        <f t="shared" si="139"/>
        <v/>
      </c>
      <c r="BQ117" s="55" t="str">
        <f t="shared" si="139"/>
        <v/>
      </c>
      <c r="BR117" s="55" t="str">
        <f t="shared" si="139"/>
        <v/>
      </c>
      <c r="BS117" s="55" t="str">
        <f t="shared" si="139"/>
        <v/>
      </c>
      <c r="BT117" s="55" t="str">
        <f t="shared" si="139"/>
        <v/>
      </c>
      <c r="BU117" s="55" t="str">
        <f t="shared" si="153"/>
        <v/>
      </c>
      <c r="BV117" s="55" t="str">
        <f t="shared" si="153"/>
        <v/>
      </c>
      <c r="BW117" s="55" t="str">
        <f t="shared" si="153"/>
        <v/>
      </c>
      <c r="BX117" s="55" t="str">
        <f t="shared" si="153"/>
        <v/>
      </c>
      <c r="BY117" s="55" t="str">
        <f t="shared" si="153"/>
        <v/>
      </c>
      <c r="BZ117" s="55" t="str">
        <f t="shared" si="153"/>
        <v/>
      </c>
      <c r="CA117" s="55" t="str">
        <f t="shared" si="153"/>
        <v/>
      </c>
      <c r="CB117" s="55" t="str">
        <f t="shared" si="153"/>
        <v/>
      </c>
      <c r="CC117" s="55" t="str">
        <f t="shared" si="153"/>
        <v/>
      </c>
      <c r="CD117" s="55" t="str">
        <f t="shared" si="153"/>
        <v/>
      </c>
      <c r="CE117" s="55" t="str">
        <f t="shared" si="153"/>
        <v/>
      </c>
      <c r="CF117" s="55" t="str">
        <f t="shared" si="153"/>
        <v/>
      </c>
      <c r="CG117" s="55" t="str">
        <f t="shared" si="153"/>
        <v/>
      </c>
      <c r="CH117" s="55" t="str">
        <f t="shared" si="153"/>
        <v/>
      </c>
      <c r="CI117" s="55" t="str">
        <f t="shared" si="153"/>
        <v/>
      </c>
      <c r="CJ117" s="55" t="str">
        <f t="shared" ref="CJ117:DP117" si="155">IF($B117=CJ$12,$U117,"")</f>
        <v/>
      </c>
      <c r="CK117" s="55" t="str">
        <f t="shared" si="155"/>
        <v/>
      </c>
      <c r="CL117" s="55" t="str">
        <f t="shared" si="155"/>
        <v/>
      </c>
      <c r="CM117" s="55" t="str">
        <f t="shared" si="155"/>
        <v/>
      </c>
      <c r="CN117" s="55" t="str">
        <f t="shared" si="155"/>
        <v/>
      </c>
      <c r="CO117" s="55" t="str">
        <f t="shared" si="155"/>
        <v/>
      </c>
      <c r="CP117" s="55" t="str">
        <f t="shared" si="155"/>
        <v/>
      </c>
      <c r="CQ117" s="55" t="str">
        <f t="shared" si="155"/>
        <v/>
      </c>
      <c r="CR117" s="55" t="str">
        <f t="shared" si="155"/>
        <v/>
      </c>
      <c r="CS117" s="55" t="str">
        <f t="shared" si="155"/>
        <v/>
      </c>
      <c r="CT117" s="55" t="str">
        <f t="shared" si="155"/>
        <v/>
      </c>
      <c r="CU117" s="55" t="str">
        <f t="shared" si="155"/>
        <v/>
      </c>
      <c r="CV117" s="55" t="str">
        <f t="shared" si="155"/>
        <v/>
      </c>
      <c r="CW117" s="55" t="str">
        <f t="shared" si="155"/>
        <v/>
      </c>
      <c r="CX117" s="55" t="str">
        <f t="shared" si="155"/>
        <v/>
      </c>
      <c r="CY117" s="55" t="str">
        <f t="shared" si="155"/>
        <v/>
      </c>
      <c r="CZ117" s="55" t="str">
        <f t="shared" si="155"/>
        <v/>
      </c>
      <c r="DA117" s="55" t="str">
        <f t="shared" si="155"/>
        <v/>
      </c>
      <c r="DB117" s="55" t="str">
        <f t="shared" si="155"/>
        <v/>
      </c>
      <c r="DC117" s="55" t="str">
        <f t="shared" si="155"/>
        <v/>
      </c>
      <c r="DD117" s="55" t="str">
        <f t="shared" si="155"/>
        <v/>
      </c>
      <c r="DE117" s="55" t="str">
        <f t="shared" si="155"/>
        <v/>
      </c>
      <c r="DF117" s="55" t="str">
        <f t="shared" si="155"/>
        <v/>
      </c>
      <c r="DG117" s="55" t="str">
        <f t="shared" si="155"/>
        <v/>
      </c>
      <c r="DH117" s="55" t="str">
        <f t="shared" si="155"/>
        <v/>
      </c>
      <c r="DI117" s="55" t="str">
        <f t="shared" si="155"/>
        <v/>
      </c>
      <c r="DJ117" s="55" t="str">
        <f t="shared" si="155"/>
        <v/>
      </c>
      <c r="DK117" s="55" t="str">
        <f t="shared" si="155"/>
        <v/>
      </c>
      <c r="DL117" s="55" t="str">
        <f t="shared" si="155"/>
        <v/>
      </c>
      <c r="DM117" s="55" t="str">
        <f t="shared" si="155"/>
        <v/>
      </c>
      <c r="DN117" s="55" t="str">
        <f t="shared" si="155"/>
        <v/>
      </c>
      <c r="DO117" s="55" t="str">
        <f t="shared" si="155"/>
        <v/>
      </c>
      <c r="DP117" s="55" t="str">
        <f t="shared" si="155"/>
        <v/>
      </c>
      <c r="DQ117" s="55" t="str">
        <f t="shared" si="146"/>
        <v/>
      </c>
      <c r="DR117" s="55" t="str">
        <f t="shared" si="146"/>
        <v/>
      </c>
      <c r="DS117" s="55" t="str">
        <f t="shared" si="146"/>
        <v/>
      </c>
      <c r="DT117" s="110" t="str">
        <f t="shared" si="146"/>
        <v/>
      </c>
      <c r="DU117" s="54"/>
      <c r="DV117" s="25"/>
      <c r="DW117" s="61" t="str">
        <f t="shared" si="141"/>
        <v/>
      </c>
      <c r="DX117" s="50" t="str">
        <f t="shared" si="141"/>
        <v/>
      </c>
      <c r="DY117" s="50" t="str">
        <f t="shared" si="141"/>
        <v/>
      </c>
      <c r="DZ117" s="50" t="str">
        <f t="shared" si="141"/>
        <v/>
      </c>
      <c r="EA117" s="50" t="str">
        <f t="shared" si="141"/>
        <v/>
      </c>
      <c r="EB117" s="50" t="str">
        <f t="shared" si="141"/>
        <v/>
      </c>
      <c r="EC117" s="50" t="str">
        <f t="shared" si="141"/>
        <v/>
      </c>
      <c r="ED117" s="50" t="str">
        <f t="shared" si="141"/>
        <v/>
      </c>
      <c r="EE117" s="50" t="str">
        <f t="shared" si="141"/>
        <v/>
      </c>
      <c r="EF117" s="50" t="str">
        <f t="shared" si="141"/>
        <v/>
      </c>
      <c r="EG117" s="50" t="str">
        <f t="shared" si="141"/>
        <v/>
      </c>
      <c r="EH117" s="50" t="str">
        <f t="shared" si="141"/>
        <v/>
      </c>
      <c r="EI117" s="50" t="str">
        <f t="shared" si="141"/>
        <v/>
      </c>
      <c r="EJ117" s="50" t="str">
        <f t="shared" si="141"/>
        <v/>
      </c>
      <c r="EK117" s="50" t="str">
        <f t="shared" si="141"/>
        <v/>
      </c>
      <c r="EL117" s="50" t="str">
        <f t="shared" si="141"/>
        <v/>
      </c>
      <c r="EM117" s="50" t="str">
        <f t="shared" si="142"/>
        <v/>
      </c>
      <c r="EN117" s="50" t="str">
        <f t="shared" si="142"/>
        <v/>
      </c>
      <c r="EO117" s="50" t="str">
        <f t="shared" si="142"/>
        <v/>
      </c>
      <c r="EP117" s="50" t="str">
        <f t="shared" si="142"/>
        <v/>
      </c>
      <c r="EQ117" s="50" t="str">
        <f t="shared" si="142"/>
        <v/>
      </c>
      <c r="ER117" s="50" t="str">
        <f t="shared" si="142"/>
        <v/>
      </c>
      <c r="ES117" s="50" t="str">
        <f t="shared" si="142"/>
        <v/>
      </c>
      <c r="ET117" s="50" t="str">
        <f t="shared" si="142"/>
        <v/>
      </c>
      <c r="EU117" s="50" t="str">
        <f t="shared" si="142"/>
        <v/>
      </c>
      <c r="EV117" s="50" t="str">
        <f t="shared" si="142"/>
        <v/>
      </c>
      <c r="EW117" s="50" t="str">
        <f t="shared" si="142"/>
        <v/>
      </c>
      <c r="EX117" s="50" t="str">
        <f t="shared" si="142"/>
        <v/>
      </c>
      <c r="EY117" s="50" t="str">
        <f t="shared" si="142"/>
        <v/>
      </c>
      <c r="EZ117" s="50" t="str">
        <f t="shared" si="142"/>
        <v/>
      </c>
      <c r="FA117" s="50" t="str">
        <f t="shared" si="142"/>
        <v/>
      </c>
      <c r="FB117" s="50" t="str">
        <f t="shared" si="142"/>
        <v/>
      </c>
      <c r="FC117" s="50" t="str">
        <f t="shared" si="143"/>
        <v/>
      </c>
      <c r="FD117" s="50" t="str">
        <f t="shared" si="143"/>
        <v/>
      </c>
      <c r="FE117" s="50" t="str">
        <f t="shared" si="143"/>
        <v/>
      </c>
      <c r="FF117" s="50" t="str">
        <f t="shared" si="143"/>
        <v/>
      </c>
      <c r="FG117" s="50" t="str">
        <f t="shared" si="143"/>
        <v/>
      </c>
      <c r="FH117" s="50" t="str">
        <f t="shared" si="143"/>
        <v/>
      </c>
      <c r="FI117" s="50" t="str">
        <f t="shared" si="143"/>
        <v/>
      </c>
      <c r="FJ117" s="50" t="str">
        <f t="shared" si="143"/>
        <v/>
      </c>
      <c r="FK117" s="50" t="str">
        <f t="shared" si="143"/>
        <v/>
      </c>
      <c r="FL117" s="50" t="str">
        <f t="shared" si="143"/>
        <v/>
      </c>
      <c r="FM117" s="50" t="str">
        <f t="shared" si="143"/>
        <v/>
      </c>
      <c r="FN117" s="50" t="str">
        <f t="shared" si="143"/>
        <v/>
      </c>
      <c r="FO117" s="50" t="str">
        <f t="shared" si="143"/>
        <v/>
      </c>
      <c r="FP117" s="50" t="str">
        <f t="shared" si="143"/>
        <v/>
      </c>
      <c r="FQ117" s="50" t="str">
        <f t="shared" si="143"/>
        <v/>
      </c>
      <c r="FR117" s="50" t="str">
        <f t="shared" si="143"/>
        <v/>
      </c>
      <c r="FS117" s="50" t="str">
        <f t="shared" si="154"/>
        <v/>
      </c>
      <c r="FT117" s="50" t="str">
        <f t="shared" si="154"/>
        <v/>
      </c>
      <c r="FU117" s="50" t="str">
        <f t="shared" si="154"/>
        <v/>
      </c>
      <c r="FV117" s="50" t="str">
        <f t="shared" si="154"/>
        <v/>
      </c>
      <c r="FW117" s="50" t="str">
        <f t="shared" si="154"/>
        <v/>
      </c>
      <c r="FX117" s="50" t="str">
        <f t="shared" si="154"/>
        <v/>
      </c>
      <c r="FY117" s="50" t="str">
        <f t="shared" si="154"/>
        <v/>
      </c>
      <c r="FZ117" s="50" t="str">
        <f t="shared" si="154"/>
        <v/>
      </c>
      <c r="GA117" s="50" t="str">
        <f t="shared" si="154"/>
        <v/>
      </c>
      <c r="GB117" s="50" t="str">
        <f t="shared" si="154"/>
        <v/>
      </c>
      <c r="GC117" s="50" t="str">
        <f t="shared" si="154"/>
        <v/>
      </c>
      <c r="GD117" s="50" t="str">
        <f t="shared" si="154"/>
        <v/>
      </c>
      <c r="GE117" s="50" t="str">
        <f t="shared" si="154"/>
        <v/>
      </c>
      <c r="GF117" s="50" t="str">
        <f t="shared" si="154"/>
        <v/>
      </c>
      <c r="GG117" s="50" t="str">
        <f t="shared" si="154"/>
        <v/>
      </c>
      <c r="GH117" s="50" t="str">
        <f t="shared" ref="GH117:HN117" si="156">IF($B117=GH$12,$O117,"")</f>
        <v/>
      </c>
      <c r="GI117" s="50" t="str">
        <f t="shared" si="156"/>
        <v/>
      </c>
      <c r="GJ117" s="50" t="str">
        <f t="shared" si="156"/>
        <v/>
      </c>
      <c r="GK117" s="50" t="str">
        <f t="shared" si="156"/>
        <v/>
      </c>
      <c r="GL117" s="50" t="str">
        <f t="shared" si="156"/>
        <v/>
      </c>
      <c r="GM117" s="50" t="str">
        <f t="shared" si="156"/>
        <v/>
      </c>
      <c r="GN117" s="50" t="str">
        <f t="shared" si="156"/>
        <v/>
      </c>
      <c r="GO117" s="50" t="str">
        <f t="shared" si="156"/>
        <v/>
      </c>
      <c r="GP117" s="50" t="str">
        <f t="shared" si="156"/>
        <v/>
      </c>
      <c r="GQ117" s="50" t="str">
        <f t="shared" si="156"/>
        <v/>
      </c>
      <c r="GR117" s="50" t="str">
        <f t="shared" si="156"/>
        <v/>
      </c>
      <c r="GS117" s="50" t="str">
        <f t="shared" si="156"/>
        <v/>
      </c>
      <c r="GT117" s="50" t="str">
        <f t="shared" si="156"/>
        <v/>
      </c>
      <c r="GU117" s="50" t="str">
        <f t="shared" si="156"/>
        <v/>
      </c>
      <c r="GV117" s="50" t="str">
        <f t="shared" si="156"/>
        <v/>
      </c>
      <c r="GW117" s="50" t="str">
        <f t="shared" si="156"/>
        <v/>
      </c>
      <c r="GX117" s="50" t="str">
        <f t="shared" si="156"/>
        <v/>
      </c>
      <c r="GY117" s="50" t="str">
        <f t="shared" si="156"/>
        <v/>
      </c>
      <c r="GZ117" s="50" t="str">
        <f t="shared" si="156"/>
        <v/>
      </c>
      <c r="HA117" s="50" t="str">
        <f t="shared" si="156"/>
        <v/>
      </c>
      <c r="HB117" s="50" t="str">
        <f t="shared" si="156"/>
        <v/>
      </c>
      <c r="HC117" s="50" t="str">
        <f t="shared" si="156"/>
        <v/>
      </c>
      <c r="HD117" s="50" t="str">
        <f t="shared" si="156"/>
        <v/>
      </c>
      <c r="HE117" s="50" t="str">
        <f t="shared" si="156"/>
        <v/>
      </c>
      <c r="HF117" s="50" t="str">
        <f t="shared" si="156"/>
        <v/>
      </c>
      <c r="HG117" s="50" t="str">
        <f t="shared" si="156"/>
        <v/>
      </c>
      <c r="HH117" s="50" t="str">
        <f t="shared" si="156"/>
        <v/>
      </c>
      <c r="HI117" s="50" t="str">
        <f t="shared" si="156"/>
        <v/>
      </c>
      <c r="HJ117" s="50" t="str">
        <f t="shared" si="156"/>
        <v/>
      </c>
      <c r="HK117" s="50" t="str">
        <f t="shared" si="156"/>
        <v/>
      </c>
      <c r="HL117" s="50" t="str">
        <f t="shared" si="156"/>
        <v/>
      </c>
      <c r="HM117" s="50" t="str">
        <f t="shared" si="156"/>
        <v/>
      </c>
      <c r="HN117" s="50" t="str">
        <f t="shared" si="156"/>
        <v/>
      </c>
      <c r="HO117" s="50" t="str">
        <f t="shared" si="147"/>
        <v/>
      </c>
      <c r="HP117" s="50" t="str">
        <f t="shared" si="147"/>
        <v/>
      </c>
      <c r="HQ117" s="50" t="str">
        <f t="shared" si="147"/>
        <v/>
      </c>
      <c r="HR117" s="116" t="str">
        <f t="shared" si="147"/>
        <v/>
      </c>
    </row>
    <row r="118" spans="1:226" ht="11.15" customHeight="1" x14ac:dyDescent="0.25">
      <c r="A118" s="26"/>
      <c r="B118" s="27"/>
      <c r="C118" s="28" t="str">
        <f>IF(A118=0,"",VLOOKUP(A118,[3]CO!$A$3:$F$5327,2,0))</f>
        <v/>
      </c>
      <c r="D118" s="29"/>
      <c r="E118" s="29"/>
      <c r="F118" s="104" t="str">
        <f t="shared" si="148"/>
        <v/>
      </c>
      <c r="G118" s="30" t="str">
        <f>IF(A118=0,"",VLOOKUP(A118,[3]CO!$A$3:$F$5327,3,0))</f>
        <v/>
      </c>
      <c r="H118" s="95"/>
      <c r="I118" s="31"/>
      <c r="J118" s="31"/>
      <c r="K118" s="31"/>
      <c r="L118" s="31"/>
      <c r="M118" s="32" t="str">
        <f t="shared" si="149"/>
        <v/>
      </c>
      <c r="N118" s="32" t="str">
        <f>IF(B118=0,"",IF(H118="M",HLOOKUP(B118,$Y$12:$DT$13,2),IF(A118=0,"",VLOOKUP(A118,[3]CO!$A$3:$F$5327,4,0))))</f>
        <v/>
      </c>
      <c r="O118" s="32" t="str">
        <f t="shared" si="150"/>
        <v/>
      </c>
      <c r="P118" s="33"/>
      <c r="Q118" s="34" t="str">
        <f t="shared" si="151"/>
        <v/>
      </c>
      <c r="R118" s="35"/>
      <c r="S118" s="98"/>
      <c r="T118" s="53" t="str">
        <f>IF(A118=0,"",VLOOKUP(A118,[3]CO!$A$3:$F$5318,5,0))</f>
        <v/>
      </c>
      <c r="U118" s="54">
        <f t="shared" si="152"/>
        <v>0</v>
      </c>
      <c r="V118" s="24"/>
      <c r="W118" s="25"/>
      <c r="X118" s="25"/>
      <c r="Y118" s="64" t="str">
        <f t="shared" si="137"/>
        <v/>
      </c>
      <c r="Z118" s="55" t="str">
        <f t="shared" si="137"/>
        <v/>
      </c>
      <c r="AA118" s="55" t="str">
        <f t="shared" si="137"/>
        <v/>
      </c>
      <c r="AB118" s="55" t="str">
        <f t="shared" si="137"/>
        <v/>
      </c>
      <c r="AC118" s="55" t="str">
        <f t="shared" si="137"/>
        <v/>
      </c>
      <c r="AD118" s="55" t="str">
        <f t="shared" si="137"/>
        <v/>
      </c>
      <c r="AE118" s="55" t="str">
        <f t="shared" si="137"/>
        <v/>
      </c>
      <c r="AF118" s="55" t="str">
        <f t="shared" si="137"/>
        <v/>
      </c>
      <c r="AG118" s="55" t="str">
        <f t="shared" si="137"/>
        <v/>
      </c>
      <c r="AH118" s="55" t="str">
        <f t="shared" si="137"/>
        <v/>
      </c>
      <c r="AI118" s="55" t="str">
        <f t="shared" si="137"/>
        <v/>
      </c>
      <c r="AJ118" s="55" t="str">
        <f t="shared" si="137"/>
        <v/>
      </c>
      <c r="AK118" s="55" t="str">
        <f t="shared" si="137"/>
        <v/>
      </c>
      <c r="AL118" s="55" t="str">
        <f t="shared" si="137"/>
        <v/>
      </c>
      <c r="AM118" s="55" t="str">
        <f t="shared" si="137"/>
        <v/>
      </c>
      <c r="AN118" s="55" t="str">
        <f t="shared" si="137"/>
        <v/>
      </c>
      <c r="AO118" s="55" t="str">
        <f t="shared" si="138"/>
        <v/>
      </c>
      <c r="AP118" s="55" t="str">
        <f t="shared" si="138"/>
        <v/>
      </c>
      <c r="AQ118" s="55" t="str">
        <f t="shared" si="138"/>
        <v/>
      </c>
      <c r="AR118" s="55" t="str">
        <f t="shared" si="138"/>
        <v/>
      </c>
      <c r="AS118" s="55" t="str">
        <f t="shared" si="138"/>
        <v/>
      </c>
      <c r="AT118" s="55" t="str">
        <f t="shared" si="138"/>
        <v/>
      </c>
      <c r="AU118" s="55" t="str">
        <f t="shared" si="138"/>
        <v/>
      </c>
      <c r="AV118" s="55" t="str">
        <f t="shared" si="138"/>
        <v/>
      </c>
      <c r="AW118" s="55" t="str">
        <f t="shared" si="138"/>
        <v/>
      </c>
      <c r="AX118" s="55" t="str">
        <f t="shared" si="138"/>
        <v/>
      </c>
      <c r="AY118" s="55" t="str">
        <f t="shared" si="138"/>
        <v/>
      </c>
      <c r="AZ118" s="55" t="str">
        <f t="shared" si="138"/>
        <v/>
      </c>
      <c r="BA118" s="55" t="str">
        <f t="shared" si="138"/>
        <v/>
      </c>
      <c r="BB118" s="55" t="str">
        <f t="shared" si="138"/>
        <v/>
      </c>
      <c r="BC118" s="55" t="str">
        <f t="shared" si="138"/>
        <v/>
      </c>
      <c r="BD118" s="55" t="str">
        <f t="shared" si="138"/>
        <v/>
      </c>
      <c r="BE118" s="55" t="str">
        <f t="shared" si="139"/>
        <v/>
      </c>
      <c r="BF118" s="55" t="str">
        <f t="shared" si="139"/>
        <v/>
      </c>
      <c r="BG118" s="55" t="str">
        <f t="shared" si="139"/>
        <v/>
      </c>
      <c r="BH118" s="55" t="str">
        <f t="shared" si="139"/>
        <v/>
      </c>
      <c r="BI118" s="55" t="str">
        <f t="shared" si="139"/>
        <v/>
      </c>
      <c r="BJ118" s="55" t="str">
        <f t="shared" si="139"/>
        <v/>
      </c>
      <c r="BK118" s="55" t="str">
        <f t="shared" si="139"/>
        <v/>
      </c>
      <c r="BL118" s="55" t="str">
        <f t="shared" si="139"/>
        <v/>
      </c>
      <c r="BM118" s="55" t="str">
        <f t="shared" si="139"/>
        <v/>
      </c>
      <c r="BN118" s="55" t="str">
        <f t="shared" si="139"/>
        <v/>
      </c>
      <c r="BO118" s="55" t="str">
        <f t="shared" si="139"/>
        <v/>
      </c>
      <c r="BP118" s="55" t="str">
        <f t="shared" si="139"/>
        <v/>
      </c>
      <c r="BQ118" s="55" t="str">
        <f t="shared" si="139"/>
        <v/>
      </c>
      <c r="BR118" s="55" t="str">
        <f t="shared" si="139"/>
        <v/>
      </c>
      <c r="BS118" s="55" t="str">
        <f t="shared" si="139"/>
        <v/>
      </c>
      <c r="BT118" s="55" t="str">
        <f t="shared" si="139"/>
        <v/>
      </c>
      <c r="BU118" s="55" t="str">
        <f t="shared" ref="BU118:DP119" si="157">IF($B118=BU$12,$U118,"")</f>
        <v/>
      </c>
      <c r="BV118" s="55" t="str">
        <f t="shared" si="157"/>
        <v/>
      </c>
      <c r="BW118" s="55" t="str">
        <f t="shared" si="157"/>
        <v/>
      </c>
      <c r="BX118" s="55" t="str">
        <f t="shared" si="157"/>
        <v/>
      </c>
      <c r="BY118" s="55" t="str">
        <f t="shared" si="157"/>
        <v/>
      </c>
      <c r="BZ118" s="55" t="str">
        <f t="shared" si="157"/>
        <v/>
      </c>
      <c r="CA118" s="55" t="str">
        <f t="shared" si="157"/>
        <v/>
      </c>
      <c r="CB118" s="55" t="str">
        <f t="shared" si="157"/>
        <v/>
      </c>
      <c r="CC118" s="55" t="str">
        <f t="shared" si="157"/>
        <v/>
      </c>
      <c r="CD118" s="55" t="str">
        <f t="shared" si="157"/>
        <v/>
      </c>
      <c r="CE118" s="55" t="str">
        <f t="shared" si="157"/>
        <v/>
      </c>
      <c r="CF118" s="55" t="str">
        <f t="shared" si="157"/>
        <v/>
      </c>
      <c r="CG118" s="55" t="str">
        <f t="shared" si="157"/>
        <v/>
      </c>
      <c r="CH118" s="55" t="str">
        <f t="shared" si="157"/>
        <v/>
      </c>
      <c r="CI118" s="55" t="str">
        <f t="shared" si="157"/>
        <v/>
      </c>
      <c r="CJ118" s="55" t="str">
        <f t="shared" si="157"/>
        <v/>
      </c>
      <c r="CK118" s="55" t="str">
        <f t="shared" si="157"/>
        <v/>
      </c>
      <c r="CL118" s="55" t="str">
        <f t="shared" si="157"/>
        <v/>
      </c>
      <c r="CM118" s="55" t="str">
        <f t="shared" si="157"/>
        <v/>
      </c>
      <c r="CN118" s="55" t="str">
        <f t="shared" si="157"/>
        <v/>
      </c>
      <c r="CO118" s="55" t="str">
        <f t="shared" si="157"/>
        <v/>
      </c>
      <c r="CP118" s="55" t="str">
        <f t="shared" si="157"/>
        <v/>
      </c>
      <c r="CQ118" s="55" t="str">
        <f t="shared" si="157"/>
        <v/>
      </c>
      <c r="CR118" s="55" t="str">
        <f t="shared" si="157"/>
        <v/>
      </c>
      <c r="CS118" s="55" t="str">
        <f t="shared" si="157"/>
        <v/>
      </c>
      <c r="CT118" s="55" t="str">
        <f t="shared" si="157"/>
        <v/>
      </c>
      <c r="CU118" s="55" t="str">
        <f t="shared" si="157"/>
        <v/>
      </c>
      <c r="CV118" s="55" t="str">
        <f t="shared" si="157"/>
        <v/>
      </c>
      <c r="CW118" s="55" t="str">
        <f t="shared" si="157"/>
        <v/>
      </c>
      <c r="CX118" s="55" t="str">
        <f t="shared" si="157"/>
        <v/>
      </c>
      <c r="CY118" s="55" t="str">
        <f t="shared" si="157"/>
        <v/>
      </c>
      <c r="CZ118" s="55" t="str">
        <f t="shared" si="157"/>
        <v/>
      </c>
      <c r="DA118" s="55" t="str">
        <f t="shared" si="157"/>
        <v/>
      </c>
      <c r="DB118" s="55" t="str">
        <f t="shared" si="157"/>
        <v/>
      </c>
      <c r="DC118" s="55" t="str">
        <f t="shared" si="157"/>
        <v/>
      </c>
      <c r="DD118" s="55" t="str">
        <f t="shared" si="157"/>
        <v/>
      </c>
      <c r="DE118" s="55" t="str">
        <f t="shared" si="157"/>
        <v/>
      </c>
      <c r="DF118" s="55" t="str">
        <f t="shared" si="157"/>
        <v/>
      </c>
      <c r="DG118" s="55" t="str">
        <f t="shared" si="157"/>
        <v/>
      </c>
      <c r="DH118" s="55" t="str">
        <f t="shared" si="157"/>
        <v/>
      </c>
      <c r="DI118" s="55" t="str">
        <f t="shared" si="157"/>
        <v/>
      </c>
      <c r="DJ118" s="55" t="str">
        <f t="shared" si="157"/>
        <v/>
      </c>
      <c r="DK118" s="55" t="str">
        <f t="shared" si="157"/>
        <v/>
      </c>
      <c r="DL118" s="55" t="str">
        <f t="shared" si="157"/>
        <v/>
      </c>
      <c r="DM118" s="55" t="str">
        <f t="shared" si="157"/>
        <v/>
      </c>
      <c r="DN118" s="55" t="str">
        <f t="shared" si="157"/>
        <v/>
      </c>
      <c r="DO118" s="55" t="str">
        <f t="shared" si="157"/>
        <v/>
      </c>
      <c r="DP118" s="55" t="str">
        <f t="shared" si="157"/>
        <v/>
      </c>
      <c r="DQ118" s="55" t="str">
        <f t="shared" si="146"/>
        <v/>
      </c>
      <c r="DR118" s="55" t="str">
        <f t="shared" si="146"/>
        <v/>
      </c>
      <c r="DS118" s="55" t="str">
        <f t="shared" si="146"/>
        <v/>
      </c>
      <c r="DT118" s="110" t="str">
        <f t="shared" si="146"/>
        <v/>
      </c>
      <c r="DU118" s="54"/>
      <c r="DV118" s="25"/>
      <c r="DW118" s="61" t="str">
        <f t="shared" si="141"/>
        <v/>
      </c>
      <c r="DX118" s="50" t="str">
        <f t="shared" si="141"/>
        <v/>
      </c>
      <c r="DY118" s="50" t="str">
        <f t="shared" si="141"/>
        <v/>
      </c>
      <c r="DZ118" s="50" t="str">
        <f t="shared" si="141"/>
        <v/>
      </c>
      <c r="EA118" s="50" t="str">
        <f t="shared" si="141"/>
        <v/>
      </c>
      <c r="EB118" s="50" t="str">
        <f t="shared" si="141"/>
        <v/>
      </c>
      <c r="EC118" s="50" t="str">
        <f t="shared" si="141"/>
        <v/>
      </c>
      <c r="ED118" s="50" t="str">
        <f t="shared" si="141"/>
        <v/>
      </c>
      <c r="EE118" s="50" t="str">
        <f t="shared" si="141"/>
        <v/>
      </c>
      <c r="EF118" s="50" t="str">
        <f t="shared" si="141"/>
        <v/>
      </c>
      <c r="EG118" s="50" t="str">
        <f t="shared" si="141"/>
        <v/>
      </c>
      <c r="EH118" s="50" t="str">
        <f t="shared" si="141"/>
        <v/>
      </c>
      <c r="EI118" s="50" t="str">
        <f t="shared" si="141"/>
        <v/>
      </c>
      <c r="EJ118" s="50" t="str">
        <f t="shared" si="141"/>
        <v/>
      </c>
      <c r="EK118" s="50" t="str">
        <f t="shared" si="141"/>
        <v/>
      </c>
      <c r="EL118" s="50" t="str">
        <f t="shared" si="141"/>
        <v/>
      </c>
      <c r="EM118" s="50" t="str">
        <f t="shared" si="142"/>
        <v/>
      </c>
      <c r="EN118" s="50" t="str">
        <f t="shared" si="142"/>
        <v/>
      </c>
      <c r="EO118" s="50" t="str">
        <f t="shared" si="142"/>
        <v/>
      </c>
      <c r="EP118" s="50" t="str">
        <f t="shared" si="142"/>
        <v/>
      </c>
      <c r="EQ118" s="50" t="str">
        <f t="shared" si="142"/>
        <v/>
      </c>
      <c r="ER118" s="50" t="str">
        <f t="shared" si="142"/>
        <v/>
      </c>
      <c r="ES118" s="50" t="str">
        <f t="shared" si="142"/>
        <v/>
      </c>
      <c r="ET118" s="50" t="str">
        <f t="shared" si="142"/>
        <v/>
      </c>
      <c r="EU118" s="50" t="str">
        <f t="shared" si="142"/>
        <v/>
      </c>
      <c r="EV118" s="50" t="str">
        <f t="shared" si="142"/>
        <v/>
      </c>
      <c r="EW118" s="50" t="str">
        <f t="shared" si="142"/>
        <v/>
      </c>
      <c r="EX118" s="50" t="str">
        <f t="shared" si="142"/>
        <v/>
      </c>
      <c r="EY118" s="50" t="str">
        <f t="shared" si="142"/>
        <v/>
      </c>
      <c r="EZ118" s="50" t="str">
        <f t="shared" si="142"/>
        <v/>
      </c>
      <c r="FA118" s="50" t="str">
        <f t="shared" si="142"/>
        <v/>
      </c>
      <c r="FB118" s="50" t="str">
        <f t="shared" si="142"/>
        <v/>
      </c>
      <c r="FC118" s="50" t="str">
        <f t="shared" si="143"/>
        <v/>
      </c>
      <c r="FD118" s="50" t="str">
        <f t="shared" si="143"/>
        <v/>
      </c>
      <c r="FE118" s="50" t="str">
        <f t="shared" si="143"/>
        <v/>
      </c>
      <c r="FF118" s="50" t="str">
        <f t="shared" si="143"/>
        <v/>
      </c>
      <c r="FG118" s="50" t="str">
        <f t="shared" si="143"/>
        <v/>
      </c>
      <c r="FH118" s="50" t="str">
        <f t="shared" si="143"/>
        <v/>
      </c>
      <c r="FI118" s="50" t="str">
        <f t="shared" si="143"/>
        <v/>
      </c>
      <c r="FJ118" s="50" t="str">
        <f t="shared" si="143"/>
        <v/>
      </c>
      <c r="FK118" s="50" t="str">
        <f t="shared" si="143"/>
        <v/>
      </c>
      <c r="FL118" s="50" t="str">
        <f t="shared" si="143"/>
        <v/>
      </c>
      <c r="FM118" s="50" t="str">
        <f t="shared" si="143"/>
        <v/>
      </c>
      <c r="FN118" s="50" t="str">
        <f t="shared" si="143"/>
        <v/>
      </c>
      <c r="FO118" s="50" t="str">
        <f t="shared" si="143"/>
        <v/>
      </c>
      <c r="FP118" s="50" t="str">
        <f t="shared" si="143"/>
        <v/>
      </c>
      <c r="FQ118" s="50" t="str">
        <f t="shared" si="143"/>
        <v/>
      </c>
      <c r="FR118" s="50" t="str">
        <f t="shared" si="143"/>
        <v/>
      </c>
      <c r="FS118" s="50" t="str">
        <f t="shared" ref="FS118:HN119" si="158">IF($B118=FS$12,$O118,"")</f>
        <v/>
      </c>
      <c r="FT118" s="50" t="str">
        <f t="shared" si="158"/>
        <v/>
      </c>
      <c r="FU118" s="50" t="str">
        <f t="shared" si="158"/>
        <v/>
      </c>
      <c r="FV118" s="50" t="str">
        <f t="shared" si="158"/>
        <v/>
      </c>
      <c r="FW118" s="50" t="str">
        <f t="shared" si="158"/>
        <v/>
      </c>
      <c r="FX118" s="50" t="str">
        <f t="shared" si="158"/>
        <v/>
      </c>
      <c r="FY118" s="50" t="str">
        <f t="shared" si="158"/>
        <v/>
      </c>
      <c r="FZ118" s="50" t="str">
        <f t="shared" si="158"/>
        <v/>
      </c>
      <c r="GA118" s="50" t="str">
        <f t="shared" si="158"/>
        <v/>
      </c>
      <c r="GB118" s="50" t="str">
        <f t="shared" si="158"/>
        <v/>
      </c>
      <c r="GC118" s="50" t="str">
        <f t="shared" si="158"/>
        <v/>
      </c>
      <c r="GD118" s="50" t="str">
        <f t="shared" si="158"/>
        <v/>
      </c>
      <c r="GE118" s="50" t="str">
        <f t="shared" si="158"/>
        <v/>
      </c>
      <c r="GF118" s="50" t="str">
        <f t="shared" si="158"/>
        <v/>
      </c>
      <c r="GG118" s="50" t="str">
        <f t="shared" si="158"/>
        <v/>
      </c>
      <c r="GH118" s="50" t="str">
        <f t="shared" si="158"/>
        <v/>
      </c>
      <c r="GI118" s="50" t="str">
        <f t="shared" si="158"/>
        <v/>
      </c>
      <c r="GJ118" s="50" t="str">
        <f t="shared" si="158"/>
        <v/>
      </c>
      <c r="GK118" s="50" t="str">
        <f t="shared" si="158"/>
        <v/>
      </c>
      <c r="GL118" s="50" t="str">
        <f t="shared" si="158"/>
        <v/>
      </c>
      <c r="GM118" s="50" t="str">
        <f t="shared" si="158"/>
        <v/>
      </c>
      <c r="GN118" s="50" t="str">
        <f t="shared" si="158"/>
        <v/>
      </c>
      <c r="GO118" s="50" t="str">
        <f t="shared" si="158"/>
        <v/>
      </c>
      <c r="GP118" s="50" t="str">
        <f t="shared" si="158"/>
        <v/>
      </c>
      <c r="GQ118" s="50" t="str">
        <f t="shared" si="158"/>
        <v/>
      </c>
      <c r="GR118" s="50" t="str">
        <f t="shared" si="158"/>
        <v/>
      </c>
      <c r="GS118" s="50" t="str">
        <f t="shared" si="158"/>
        <v/>
      </c>
      <c r="GT118" s="50" t="str">
        <f t="shared" si="158"/>
        <v/>
      </c>
      <c r="GU118" s="50" t="str">
        <f t="shared" si="158"/>
        <v/>
      </c>
      <c r="GV118" s="50" t="str">
        <f t="shared" si="158"/>
        <v/>
      </c>
      <c r="GW118" s="50" t="str">
        <f t="shared" si="158"/>
        <v/>
      </c>
      <c r="GX118" s="50" t="str">
        <f t="shared" si="158"/>
        <v/>
      </c>
      <c r="GY118" s="50" t="str">
        <f t="shared" si="158"/>
        <v/>
      </c>
      <c r="GZ118" s="50" t="str">
        <f t="shared" si="158"/>
        <v/>
      </c>
      <c r="HA118" s="50" t="str">
        <f t="shared" si="158"/>
        <v/>
      </c>
      <c r="HB118" s="50" t="str">
        <f t="shared" si="158"/>
        <v/>
      </c>
      <c r="HC118" s="50" t="str">
        <f t="shared" si="158"/>
        <v/>
      </c>
      <c r="HD118" s="50" t="str">
        <f t="shared" si="158"/>
        <v/>
      </c>
      <c r="HE118" s="50" t="str">
        <f t="shared" si="158"/>
        <v/>
      </c>
      <c r="HF118" s="50" t="str">
        <f t="shared" si="158"/>
        <v/>
      </c>
      <c r="HG118" s="50" t="str">
        <f t="shared" si="158"/>
        <v/>
      </c>
      <c r="HH118" s="50" t="str">
        <f t="shared" si="158"/>
        <v/>
      </c>
      <c r="HI118" s="50" t="str">
        <f t="shared" si="158"/>
        <v/>
      </c>
      <c r="HJ118" s="50" t="str">
        <f t="shared" si="158"/>
        <v/>
      </c>
      <c r="HK118" s="50" t="str">
        <f t="shared" si="158"/>
        <v/>
      </c>
      <c r="HL118" s="50" t="str">
        <f t="shared" si="158"/>
        <v/>
      </c>
      <c r="HM118" s="50" t="str">
        <f t="shared" si="158"/>
        <v/>
      </c>
      <c r="HN118" s="50" t="str">
        <f t="shared" si="158"/>
        <v/>
      </c>
      <c r="HO118" s="50" t="str">
        <f t="shared" si="147"/>
        <v/>
      </c>
      <c r="HP118" s="50" t="str">
        <f t="shared" si="147"/>
        <v/>
      </c>
      <c r="HQ118" s="50" t="str">
        <f t="shared" si="147"/>
        <v/>
      </c>
      <c r="HR118" s="116" t="str">
        <f t="shared" si="147"/>
        <v/>
      </c>
    </row>
    <row r="119" spans="1:226" ht="11.15" customHeight="1" x14ac:dyDescent="0.25">
      <c r="A119" s="26"/>
      <c r="B119" s="27"/>
      <c r="C119" s="28" t="str">
        <f>IF(A119=0,"",VLOOKUP(A119,[3]CO!$A$3:$F$5327,2,0))</f>
        <v/>
      </c>
      <c r="D119" s="29"/>
      <c r="E119" s="29"/>
      <c r="F119" s="104" t="str">
        <f t="shared" si="148"/>
        <v/>
      </c>
      <c r="G119" s="30" t="str">
        <f>IF(A119=0,"",VLOOKUP(A119,[3]CO!$A$3:$F$5327,3,0))</f>
        <v/>
      </c>
      <c r="H119" s="95"/>
      <c r="I119" s="31"/>
      <c r="J119" s="31"/>
      <c r="K119" s="31"/>
      <c r="L119" s="31"/>
      <c r="M119" s="32" t="str">
        <f t="shared" si="149"/>
        <v/>
      </c>
      <c r="N119" s="32" t="str">
        <f>IF(B119=0,"",IF(H119="M",HLOOKUP(B119,$Y$12:$DT$13,2),IF(A119=0,"",VLOOKUP(A119,[3]CO!$A$3:$F$5327,4,0))))</f>
        <v/>
      </c>
      <c r="O119" s="32" t="str">
        <f t="shared" si="150"/>
        <v/>
      </c>
      <c r="P119" s="33"/>
      <c r="Q119" s="34" t="str">
        <f t="shared" si="151"/>
        <v/>
      </c>
      <c r="R119" s="35"/>
      <c r="S119" s="98"/>
      <c r="T119" s="53" t="str">
        <f>IF(A119=0,"",VLOOKUP(A119,[3]CO!$A$3:$F$5318,5,0))</f>
        <v/>
      </c>
      <c r="U119" s="54">
        <f t="shared" si="152"/>
        <v>0</v>
      </c>
      <c r="V119" s="24"/>
      <c r="W119" s="25"/>
      <c r="X119" s="25"/>
      <c r="Y119" s="64" t="str">
        <f t="shared" si="137"/>
        <v/>
      </c>
      <c r="Z119" s="55" t="str">
        <f t="shared" si="137"/>
        <v/>
      </c>
      <c r="AA119" s="55" t="str">
        <f t="shared" si="137"/>
        <v/>
      </c>
      <c r="AB119" s="55" t="str">
        <f t="shared" si="137"/>
        <v/>
      </c>
      <c r="AC119" s="55" t="str">
        <f t="shared" si="137"/>
        <v/>
      </c>
      <c r="AD119" s="55" t="str">
        <f t="shared" si="137"/>
        <v/>
      </c>
      <c r="AE119" s="55" t="str">
        <f t="shared" si="137"/>
        <v/>
      </c>
      <c r="AF119" s="55" t="str">
        <f t="shared" si="137"/>
        <v/>
      </c>
      <c r="AG119" s="55" t="str">
        <f t="shared" si="137"/>
        <v/>
      </c>
      <c r="AH119" s="55" t="str">
        <f t="shared" si="137"/>
        <v/>
      </c>
      <c r="AI119" s="55" t="str">
        <f t="shared" si="137"/>
        <v/>
      </c>
      <c r="AJ119" s="55" t="str">
        <f t="shared" si="137"/>
        <v/>
      </c>
      <c r="AK119" s="55" t="str">
        <f t="shared" si="137"/>
        <v/>
      </c>
      <c r="AL119" s="55" t="str">
        <f t="shared" si="137"/>
        <v/>
      </c>
      <c r="AM119" s="55" t="str">
        <f t="shared" si="137"/>
        <v/>
      </c>
      <c r="AN119" s="55" t="str">
        <f t="shared" si="137"/>
        <v/>
      </c>
      <c r="AO119" s="55" t="str">
        <f t="shared" si="138"/>
        <v/>
      </c>
      <c r="AP119" s="55" t="str">
        <f t="shared" si="138"/>
        <v/>
      </c>
      <c r="AQ119" s="55" t="str">
        <f t="shared" si="138"/>
        <v/>
      </c>
      <c r="AR119" s="55" t="str">
        <f t="shared" si="138"/>
        <v/>
      </c>
      <c r="AS119" s="55" t="str">
        <f t="shared" si="138"/>
        <v/>
      </c>
      <c r="AT119" s="55" t="str">
        <f t="shared" si="138"/>
        <v/>
      </c>
      <c r="AU119" s="55" t="str">
        <f t="shared" si="138"/>
        <v/>
      </c>
      <c r="AV119" s="55" t="str">
        <f t="shared" si="138"/>
        <v/>
      </c>
      <c r="AW119" s="55" t="str">
        <f t="shared" si="138"/>
        <v/>
      </c>
      <c r="AX119" s="55" t="str">
        <f t="shared" si="138"/>
        <v/>
      </c>
      <c r="AY119" s="55" t="str">
        <f t="shared" si="138"/>
        <v/>
      </c>
      <c r="AZ119" s="55" t="str">
        <f t="shared" si="138"/>
        <v/>
      </c>
      <c r="BA119" s="55" t="str">
        <f t="shared" si="138"/>
        <v/>
      </c>
      <c r="BB119" s="55" t="str">
        <f t="shared" si="138"/>
        <v/>
      </c>
      <c r="BC119" s="55" t="str">
        <f t="shared" si="138"/>
        <v/>
      </c>
      <c r="BD119" s="55" t="str">
        <f t="shared" si="138"/>
        <v/>
      </c>
      <c r="BE119" s="55" t="str">
        <f t="shared" si="139"/>
        <v/>
      </c>
      <c r="BF119" s="55" t="str">
        <f t="shared" si="139"/>
        <v/>
      </c>
      <c r="BG119" s="55" t="str">
        <f t="shared" si="139"/>
        <v/>
      </c>
      <c r="BH119" s="55" t="str">
        <f t="shared" si="139"/>
        <v/>
      </c>
      <c r="BI119" s="55" t="str">
        <f t="shared" si="139"/>
        <v/>
      </c>
      <c r="BJ119" s="55" t="str">
        <f t="shared" si="139"/>
        <v/>
      </c>
      <c r="BK119" s="55" t="str">
        <f t="shared" si="139"/>
        <v/>
      </c>
      <c r="BL119" s="55" t="str">
        <f t="shared" si="139"/>
        <v/>
      </c>
      <c r="BM119" s="55" t="str">
        <f t="shared" si="139"/>
        <v/>
      </c>
      <c r="BN119" s="55" t="str">
        <f t="shared" si="139"/>
        <v/>
      </c>
      <c r="BO119" s="55" t="str">
        <f t="shared" si="139"/>
        <v/>
      </c>
      <c r="BP119" s="55" t="str">
        <f t="shared" si="139"/>
        <v/>
      </c>
      <c r="BQ119" s="55" t="str">
        <f t="shared" si="139"/>
        <v/>
      </c>
      <c r="BR119" s="55" t="str">
        <f t="shared" si="139"/>
        <v/>
      </c>
      <c r="BS119" s="55" t="str">
        <f t="shared" si="139"/>
        <v/>
      </c>
      <c r="BT119" s="55" t="str">
        <f t="shared" si="139"/>
        <v/>
      </c>
      <c r="BU119" s="55" t="str">
        <f t="shared" si="157"/>
        <v/>
      </c>
      <c r="BV119" s="55" t="str">
        <f t="shared" si="157"/>
        <v/>
      </c>
      <c r="BW119" s="55" t="str">
        <f t="shared" si="157"/>
        <v/>
      </c>
      <c r="BX119" s="55" t="str">
        <f t="shared" si="157"/>
        <v/>
      </c>
      <c r="BY119" s="55" t="str">
        <f t="shared" si="157"/>
        <v/>
      </c>
      <c r="BZ119" s="55" t="str">
        <f t="shared" si="157"/>
        <v/>
      </c>
      <c r="CA119" s="55" t="str">
        <f t="shared" si="157"/>
        <v/>
      </c>
      <c r="CB119" s="55" t="str">
        <f t="shared" si="157"/>
        <v/>
      </c>
      <c r="CC119" s="55" t="str">
        <f t="shared" si="157"/>
        <v/>
      </c>
      <c r="CD119" s="55" t="str">
        <f t="shared" si="157"/>
        <v/>
      </c>
      <c r="CE119" s="55" t="str">
        <f t="shared" si="157"/>
        <v/>
      </c>
      <c r="CF119" s="55" t="str">
        <f t="shared" si="157"/>
        <v/>
      </c>
      <c r="CG119" s="55" t="str">
        <f t="shared" si="157"/>
        <v/>
      </c>
      <c r="CH119" s="55" t="str">
        <f t="shared" si="157"/>
        <v/>
      </c>
      <c r="CI119" s="55" t="str">
        <f t="shared" si="157"/>
        <v/>
      </c>
      <c r="CJ119" s="55" t="str">
        <f t="shared" si="157"/>
        <v/>
      </c>
      <c r="CK119" s="55" t="str">
        <f t="shared" si="157"/>
        <v/>
      </c>
      <c r="CL119" s="55" t="str">
        <f t="shared" si="157"/>
        <v/>
      </c>
      <c r="CM119" s="55" t="str">
        <f t="shared" si="157"/>
        <v/>
      </c>
      <c r="CN119" s="55" t="str">
        <f t="shared" si="157"/>
        <v/>
      </c>
      <c r="CO119" s="55" t="str">
        <f t="shared" si="157"/>
        <v/>
      </c>
      <c r="CP119" s="55" t="str">
        <f t="shared" si="157"/>
        <v/>
      </c>
      <c r="CQ119" s="55" t="str">
        <f t="shared" si="157"/>
        <v/>
      </c>
      <c r="CR119" s="55" t="str">
        <f t="shared" si="157"/>
        <v/>
      </c>
      <c r="CS119" s="55" t="str">
        <f t="shared" si="157"/>
        <v/>
      </c>
      <c r="CT119" s="55" t="str">
        <f t="shared" si="157"/>
        <v/>
      </c>
      <c r="CU119" s="55" t="str">
        <f t="shared" si="157"/>
        <v/>
      </c>
      <c r="CV119" s="55" t="str">
        <f t="shared" si="157"/>
        <v/>
      </c>
      <c r="CW119" s="55" t="str">
        <f t="shared" si="157"/>
        <v/>
      </c>
      <c r="CX119" s="55" t="str">
        <f t="shared" si="157"/>
        <v/>
      </c>
      <c r="CY119" s="55" t="str">
        <f t="shared" si="157"/>
        <v/>
      </c>
      <c r="CZ119" s="55" t="str">
        <f t="shared" si="157"/>
        <v/>
      </c>
      <c r="DA119" s="55" t="str">
        <f t="shared" si="157"/>
        <v/>
      </c>
      <c r="DB119" s="55" t="str">
        <f t="shared" si="157"/>
        <v/>
      </c>
      <c r="DC119" s="55" t="str">
        <f t="shared" si="157"/>
        <v/>
      </c>
      <c r="DD119" s="55" t="str">
        <f t="shared" si="157"/>
        <v/>
      </c>
      <c r="DE119" s="55" t="str">
        <f t="shared" si="157"/>
        <v/>
      </c>
      <c r="DF119" s="55" t="str">
        <f t="shared" si="157"/>
        <v/>
      </c>
      <c r="DG119" s="55" t="str">
        <f t="shared" si="157"/>
        <v/>
      </c>
      <c r="DH119" s="55" t="str">
        <f t="shared" si="157"/>
        <v/>
      </c>
      <c r="DI119" s="55" t="str">
        <f t="shared" si="157"/>
        <v/>
      </c>
      <c r="DJ119" s="55" t="str">
        <f t="shared" si="157"/>
        <v/>
      </c>
      <c r="DK119" s="55" t="str">
        <f t="shared" si="157"/>
        <v/>
      </c>
      <c r="DL119" s="55" t="str">
        <f t="shared" si="157"/>
        <v/>
      </c>
      <c r="DM119" s="55" t="str">
        <f t="shared" si="157"/>
        <v/>
      </c>
      <c r="DN119" s="55" t="str">
        <f t="shared" si="157"/>
        <v/>
      </c>
      <c r="DO119" s="55" t="str">
        <f t="shared" si="157"/>
        <v/>
      </c>
      <c r="DP119" s="55" t="str">
        <f t="shared" si="157"/>
        <v/>
      </c>
      <c r="DQ119" s="55" t="str">
        <f t="shared" si="146"/>
        <v/>
      </c>
      <c r="DR119" s="55" t="str">
        <f t="shared" si="146"/>
        <v/>
      </c>
      <c r="DS119" s="55" t="str">
        <f t="shared" si="146"/>
        <v/>
      </c>
      <c r="DT119" s="110" t="str">
        <f t="shared" si="146"/>
        <v/>
      </c>
      <c r="DU119" s="54"/>
      <c r="DV119" s="25"/>
      <c r="DW119" s="61" t="str">
        <f t="shared" si="141"/>
        <v/>
      </c>
      <c r="DX119" s="50" t="str">
        <f t="shared" si="141"/>
        <v/>
      </c>
      <c r="DY119" s="50" t="str">
        <f t="shared" si="141"/>
        <v/>
      </c>
      <c r="DZ119" s="50" t="str">
        <f t="shared" si="141"/>
        <v/>
      </c>
      <c r="EA119" s="50" t="str">
        <f t="shared" si="141"/>
        <v/>
      </c>
      <c r="EB119" s="50" t="str">
        <f t="shared" si="141"/>
        <v/>
      </c>
      <c r="EC119" s="50" t="str">
        <f t="shared" si="141"/>
        <v/>
      </c>
      <c r="ED119" s="50" t="str">
        <f t="shared" si="141"/>
        <v/>
      </c>
      <c r="EE119" s="50" t="str">
        <f t="shared" si="141"/>
        <v/>
      </c>
      <c r="EF119" s="50" t="str">
        <f t="shared" si="141"/>
        <v/>
      </c>
      <c r="EG119" s="50" t="str">
        <f t="shared" si="141"/>
        <v/>
      </c>
      <c r="EH119" s="50" t="str">
        <f t="shared" si="141"/>
        <v/>
      </c>
      <c r="EI119" s="50" t="str">
        <f t="shared" si="141"/>
        <v/>
      </c>
      <c r="EJ119" s="50" t="str">
        <f t="shared" si="141"/>
        <v/>
      </c>
      <c r="EK119" s="50" t="str">
        <f t="shared" si="141"/>
        <v/>
      </c>
      <c r="EL119" s="50" t="str">
        <f t="shared" si="141"/>
        <v/>
      </c>
      <c r="EM119" s="50" t="str">
        <f t="shared" si="142"/>
        <v/>
      </c>
      <c r="EN119" s="50" t="str">
        <f t="shared" si="142"/>
        <v/>
      </c>
      <c r="EO119" s="50" t="str">
        <f t="shared" si="142"/>
        <v/>
      </c>
      <c r="EP119" s="50" t="str">
        <f t="shared" si="142"/>
        <v/>
      </c>
      <c r="EQ119" s="50" t="str">
        <f t="shared" si="142"/>
        <v/>
      </c>
      <c r="ER119" s="50" t="str">
        <f t="shared" si="142"/>
        <v/>
      </c>
      <c r="ES119" s="50" t="str">
        <f t="shared" si="142"/>
        <v/>
      </c>
      <c r="ET119" s="50" t="str">
        <f t="shared" si="142"/>
        <v/>
      </c>
      <c r="EU119" s="50" t="str">
        <f t="shared" si="142"/>
        <v/>
      </c>
      <c r="EV119" s="50" t="str">
        <f t="shared" si="142"/>
        <v/>
      </c>
      <c r="EW119" s="50" t="str">
        <f t="shared" si="142"/>
        <v/>
      </c>
      <c r="EX119" s="50" t="str">
        <f t="shared" si="142"/>
        <v/>
      </c>
      <c r="EY119" s="50" t="str">
        <f t="shared" si="142"/>
        <v/>
      </c>
      <c r="EZ119" s="50" t="str">
        <f t="shared" si="142"/>
        <v/>
      </c>
      <c r="FA119" s="50" t="str">
        <f t="shared" si="142"/>
        <v/>
      </c>
      <c r="FB119" s="50" t="str">
        <f t="shared" si="142"/>
        <v/>
      </c>
      <c r="FC119" s="50" t="str">
        <f t="shared" si="143"/>
        <v/>
      </c>
      <c r="FD119" s="50" t="str">
        <f t="shared" si="143"/>
        <v/>
      </c>
      <c r="FE119" s="50" t="str">
        <f t="shared" si="143"/>
        <v/>
      </c>
      <c r="FF119" s="50" t="str">
        <f t="shared" si="143"/>
        <v/>
      </c>
      <c r="FG119" s="50" t="str">
        <f t="shared" si="143"/>
        <v/>
      </c>
      <c r="FH119" s="50" t="str">
        <f t="shared" si="143"/>
        <v/>
      </c>
      <c r="FI119" s="50" t="str">
        <f t="shared" si="143"/>
        <v/>
      </c>
      <c r="FJ119" s="50" t="str">
        <f t="shared" si="143"/>
        <v/>
      </c>
      <c r="FK119" s="50" t="str">
        <f t="shared" si="143"/>
        <v/>
      </c>
      <c r="FL119" s="50" t="str">
        <f t="shared" si="143"/>
        <v/>
      </c>
      <c r="FM119" s="50" t="str">
        <f t="shared" si="143"/>
        <v/>
      </c>
      <c r="FN119" s="50" t="str">
        <f t="shared" si="143"/>
        <v/>
      </c>
      <c r="FO119" s="50" t="str">
        <f t="shared" si="143"/>
        <v/>
      </c>
      <c r="FP119" s="50" t="str">
        <f t="shared" si="143"/>
        <v/>
      </c>
      <c r="FQ119" s="50" t="str">
        <f t="shared" si="143"/>
        <v/>
      </c>
      <c r="FR119" s="50" t="str">
        <f t="shared" si="143"/>
        <v/>
      </c>
      <c r="FS119" s="50" t="str">
        <f t="shared" si="158"/>
        <v/>
      </c>
      <c r="FT119" s="50" t="str">
        <f t="shared" si="158"/>
        <v/>
      </c>
      <c r="FU119" s="50" t="str">
        <f t="shared" si="158"/>
        <v/>
      </c>
      <c r="FV119" s="50" t="str">
        <f t="shared" si="158"/>
        <v/>
      </c>
      <c r="FW119" s="50" t="str">
        <f t="shared" si="158"/>
        <v/>
      </c>
      <c r="FX119" s="50" t="str">
        <f t="shared" si="158"/>
        <v/>
      </c>
      <c r="FY119" s="50" t="str">
        <f t="shared" si="158"/>
        <v/>
      </c>
      <c r="FZ119" s="50" t="str">
        <f t="shared" si="158"/>
        <v/>
      </c>
      <c r="GA119" s="50" t="str">
        <f t="shared" si="158"/>
        <v/>
      </c>
      <c r="GB119" s="50" t="str">
        <f t="shared" si="158"/>
        <v/>
      </c>
      <c r="GC119" s="50" t="str">
        <f t="shared" si="158"/>
        <v/>
      </c>
      <c r="GD119" s="50" t="str">
        <f t="shared" si="158"/>
        <v/>
      </c>
      <c r="GE119" s="50" t="str">
        <f t="shared" si="158"/>
        <v/>
      </c>
      <c r="GF119" s="50" t="str">
        <f t="shared" si="158"/>
        <v/>
      </c>
      <c r="GG119" s="50" t="str">
        <f t="shared" si="158"/>
        <v/>
      </c>
      <c r="GH119" s="50" t="str">
        <f t="shared" si="158"/>
        <v/>
      </c>
      <c r="GI119" s="50" t="str">
        <f t="shared" si="158"/>
        <v/>
      </c>
      <c r="GJ119" s="50" t="str">
        <f t="shared" si="158"/>
        <v/>
      </c>
      <c r="GK119" s="50" t="str">
        <f t="shared" si="158"/>
        <v/>
      </c>
      <c r="GL119" s="50" t="str">
        <f t="shared" si="158"/>
        <v/>
      </c>
      <c r="GM119" s="50" t="str">
        <f t="shared" si="158"/>
        <v/>
      </c>
      <c r="GN119" s="50" t="str">
        <f t="shared" si="158"/>
        <v/>
      </c>
      <c r="GO119" s="50" t="str">
        <f t="shared" si="158"/>
        <v/>
      </c>
      <c r="GP119" s="50" t="str">
        <f t="shared" si="158"/>
        <v/>
      </c>
      <c r="GQ119" s="50" t="str">
        <f t="shared" si="158"/>
        <v/>
      </c>
      <c r="GR119" s="50" t="str">
        <f t="shared" si="158"/>
        <v/>
      </c>
      <c r="GS119" s="50" t="str">
        <f t="shared" si="158"/>
        <v/>
      </c>
      <c r="GT119" s="50" t="str">
        <f t="shared" si="158"/>
        <v/>
      </c>
      <c r="GU119" s="50" t="str">
        <f t="shared" si="158"/>
        <v/>
      </c>
      <c r="GV119" s="50" t="str">
        <f t="shared" si="158"/>
        <v/>
      </c>
      <c r="GW119" s="50" t="str">
        <f t="shared" si="158"/>
        <v/>
      </c>
      <c r="GX119" s="50" t="str">
        <f t="shared" si="158"/>
        <v/>
      </c>
      <c r="GY119" s="50" t="str">
        <f t="shared" si="158"/>
        <v/>
      </c>
      <c r="GZ119" s="50" t="str">
        <f t="shared" si="158"/>
        <v/>
      </c>
      <c r="HA119" s="50" t="str">
        <f t="shared" si="158"/>
        <v/>
      </c>
      <c r="HB119" s="50" t="str">
        <f t="shared" si="158"/>
        <v/>
      </c>
      <c r="HC119" s="50" t="str">
        <f t="shared" si="158"/>
        <v/>
      </c>
      <c r="HD119" s="50" t="str">
        <f t="shared" si="158"/>
        <v/>
      </c>
      <c r="HE119" s="50" t="str">
        <f t="shared" si="158"/>
        <v/>
      </c>
      <c r="HF119" s="50" t="str">
        <f t="shared" si="158"/>
        <v/>
      </c>
      <c r="HG119" s="50" t="str">
        <f t="shared" si="158"/>
        <v/>
      </c>
      <c r="HH119" s="50" t="str">
        <f t="shared" si="158"/>
        <v/>
      </c>
      <c r="HI119" s="50" t="str">
        <f t="shared" si="158"/>
        <v/>
      </c>
      <c r="HJ119" s="50" t="str">
        <f t="shared" si="158"/>
        <v/>
      </c>
      <c r="HK119" s="50" t="str">
        <f t="shared" si="158"/>
        <v/>
      </c>
      <c r="HL119" s="50" t="str">
        <f t="shared" si="158"/>
        <v/>
      </c>
      <c r="HM119" s="50" t="str">
        <f t="shared" si="158"/>
        <v/>
      </c>
      <c r="HN119" s="50" t="str">
        <f t="shared" si="158"/>
        <v/>
      </c>
      <c r="HO119" s="50" t="str">
        <f t="shared" si="147"/>
        <v/>
      </c>
      <c r="HP119" s="50" t="str">
        <f t="shared" si="147"/>
        <v/>
      </c>
      <c r="HQ119" s="50" t="str">
        <f t="shared" si="147"/>
        <v/>
      </c>
      <c r="HR119" s="116" t="str">
        <f t="shared" si="147"/>
        <v/>
      </c>
    </row>
    <row r="120" spans="1:226" ht="11.15" customHeight="1" x14ac:dyDescent="0.25">
      <c r="A120" s="26"/>
      <c r="B120" s="27"/>
      <c r="C120" s="28" t="str">
        <f>IF(A120=0,"",VLOOKUP(A120,[3]CO!$A$3:$F$5327,2,0))</f>
        <v/>
      </c>
      <c r="D120" s="29"/>
      <c r="E120" s="29"/>
      <c r="F120" s="104" t="str">
        <f t="shared" si="145"/>
        <v/>
      </c>
      <c r="G120" s="30" t="str">
        <f>IF(A120=0,"",VLOOKUP(A120,[3]CO!$A$3:$F$5327,3,0))</f>
        <v/>
      </c>
      <c r="H120" s="95"/>
      <c r="I120" s="31"/>
      <c r="J120" s="31"/>
      <c r="K120" s="31"/>
      <c r="L120" s="31"/>
      <c r="M120" s="32" t="str">
        <f t="shared" si="135"/>
        <v/>
      </c>
      <c r="N120" s="32" t="str">
        <f>IF(B120=0,"",IF(H120="M",HLOOKUP(B120,$Y$12:$DT$13,2),IF(A120=0,"",VLOOKUP(A120,[3]CO!$A$3:$F$5327,4,0))))</f>
        <v/>
      </c>
      <c r="O120" s="32" t="str">
        <f t="shared" si="11"/>
        <v/>
      </c>
      <c r="P120" s="33"/>
      <c r="Q120" s="34" t="str">
        <f t="shared" si="136"/>
        <v/>
      </c>
      <c r="R120" s="35"/>
      <c r="S120" s="98"/>
      <c r="T120" s="53" t="str">
        <f>IF(A120=0,"",VLOOKUP(A120,[3]CO!$A$3:$F$5318,5,0))</f>
        <v/>
      </c>
      <c r="U120" s="54">
        <f t="shared" si="93"/>
        <v>0</v>
      </c>
      <c r="V120" s="24"/>
      <c r="W120" s="25"/>
      <c r="X120" s="25"/>
      <c r="Y120" s="64" t="str">
        <f t="shared" si="137"/>
        <v/>
      </c>
      <c r="Z120" s="55" t="str">
        <f t="shared" si="137"/>
        <v/>
      </c>
      <c r="AA120" s="55" t="str">
        <f t="shared" si="137"/>
        <v/>
      </c>
      <c r="AB120" s="55" t="str">
        <f t="shared" si="137"/>
        <v/>
      </c>
      <c r="AC120" s="55" t="str">
        <f t="shared" si="137"/>
        <v/>
      </c>
      <c r="AD120" s="55" t="str">
        <f t="shared" si="137"/>
        <v/>
      </c>
      <c r="AE120" s="55" t="str">
        <f t="shared" si="137"/>
        <v/>
      </c>
      <c r="AF120" s="55" t="str">
        <f t="shared" si="137"/>
        <v/>
      </c>
      <c r="AG120" s="55" t="str">
        <f t="shared" si="137"/>
        <v/>
      </c>
      <c r="AH120" s="55" t="str">
        <f t="shared" si="137"/>
        <v/>
      </c>
      <c r="AI120" s="55" t="str">
        <f t="shared" si="137"/>
        <v/>
      </c>
      <c r="AJ120" s="55" t="str">
        <f t="shared" si="137"/>
        <v/>
      </c>
      <c r="AK120" s="55" t="str">
        <f t="shared" si="137"/>
        <v/>
      </c>
      <c r="AL120" s="55" t="str">
        <f t="shared" si="137"/>
        <v/>
      </c>
      <c r="AM120" s="55" t="str">
        <f t="shared" si="137"/>
        <v/>
      </c>
      <c r="AN120" s="55" t="str">
        <f t="shared" si="137"/>
        <v/>
      </c>
      <c r="AO120" s="55" t="str">
        <f t="shared" si="138"/>
        <v/>
      </c>
      <c r="AP120" s="55" t="str">
        <f t="shared" si="138"/>
        <v/>
      </c>
      <c r="AQ120" s="55" t="str">
        <f t="shared" si="138"/>
        <v/>
      </c>
      <c r="AR120" s="55" t="str">
        <f t="shared" si="138"/>
        <v/>
      </c>
      <c r="AS120" s="55" t="str">
        <f t="shared" si="138"/>
        <v/>
      </c>
      <c r="AT120" s="55" t="str">
        <f t="shared" si="138"/>
        <v/>
      </c>
      <c r="AU120" s="55" t="str">
        <f t="shared" si="138"/>
        <v/>
      </c>
      <c r="AV120" s="55" t="str">
        <f t="shared" si="138"/>
        <v/>
      </c>
      <c r="AW120" s="55" t="str">
        <f t="shared" si="138"/>
        <v/>
      </c>
      <c r="AX120" s="55" t="str">
        <f t="shared" si="138"/>
        <v/>
      </c>
      <c r="AY120" s="55" t="str">
        <f t="shared" si="138"/>
        <v/>
      </c>
      <c r="AZ120" s="55" t="str">
        <f t="shared" si="138"/>
        <v/>
      </c>
      <c r="BA120" s="55" t="str">
        <f t="shared" si="138"/>
        <v/>
      </c>
      <c r="BB120" s="55" t="str">
        <f t="shared" si="138"/>
        <v/>
      </c>
      <c r="BC120" s="55" t="str">
        <f t="shared" si="138"/>
        <v/>
      </c>
      <c r="BD120" s="55" t="str">
        <f t="shared" si="138"/>
        <v/>
      </c>
      <c r="BE120" s="55" t="str">
        <f t="shared" si="139"/>
        <v/>
      </c>
      <c r="BF120" s="55" t="str">
        <f t="shared" si="139"/>
        <v/>
      </c>
      <c r="BG120" s="55" t="str">
        <f t="shared" si="139"/>
        <v/>
      </c>
      <c r="BH120" s="55" t="str">
        <f t="shared" si="139"/>
        <v/>
      </c>
      <c r="BI120" s="55" t="str">
        <f t="shared" si="139"/>
        <v/>
      </c>
      <c r="BJ120" s="55" t="str">
        <f t="shared" si="139"/>
        <v/>
      </c>
      <c r="BK120" s="55" t="str">
        <f t="shared" si="139"/>
        <v/>
      </c>
      <c r="BL120" s="55" t="str">
        <f t="shared" si="139"/>
        <v/>
      </c>
      <c r="BM120" s="55" t="str">
        <f t="shared" si="139"/>
        <v/>
      </c>
      <c r="BN120" s="55" t="str">
        <f t="shared" si="139"/>
        <v/>
      </c>
      <c r="BO120" s="55" t="str">
        <f t="shared" si="139"/>
        <v/>
      </c>
      <c r="BP120" s="55" t="str">
        <f t="shared" si="139"/>
        <v/>
      </c>
      <c r="BQ120" s="55" t="str">
        <f t="shared" si="139"/>
        <v/>
      </c>
      <c r="BR120" s="55" t="str">
        <f t="shared" si="139"/>
        <v/>
      </c>
      <c r="BS120" s="55" t="str">
        <f t="shared" si="139"/>
        <v/>
      </c>
      <c r="BT120" s="55" t="str">
        <f t="shared" si="139"/>
        <v/>
      </c>
      <c r="BU120" s="55" t="str">
        <f t="shared" si="153"/>
        <v/>
      </c>
      <c r="BV120" s="55" t="str">
        <f t="shared" si="153"/>
        <v/>
      </c>
      <c r="BW120" s="55" t="str">
        <f t="shared" si="153"/>
        <v/>
      </c>
      <c r="BX120" s="55" t="str">
        <f t="shared" si="153"/>
        <v/>
      </c>
      <c r="BY120" s="55" t="str">
        <f t="shared" si="153"/>
        <v/>
      </c>
      <c r="BZ120" s="55" t="str">
        <f t="shared" si="153"/>
        <v/>
      </c>
      <c r="CA120" s="55" t="str">
        <f t="shared" si="153"/>
        <v/>
      </c>
      <c r="CB120" s="55" t="str">
        <f t="shared" si="153"/>
        <v/>
      </c>
      <c r="CC120" s="55" t="str">
        <f t="shared" si="153"/>
        <v/>
      </c>
      <c r="CD120" s="55" t="str">
        <f t="shared" si="153"/>
        <v/>
      </c>
      <c r="CE120" s="55" t="str">
        <f t="shared" si="153"/>
        <v/>
      </c>
      <c r="CF120" s="55" t="str">
        <f t="shared" si="153"/>
        <v/>
      </c>
      <c r="CG120" s="55" t="str">
        <f t="shared" si="153"/>
        <v/>
      </c>
      <c r="CH120" s="55" t="str">
        <f t="shared" si="153"/>
        <v/>
      </c>
      <c r="CI120" s="55" t="str">
        <f t="shared" si="153"/>
        <v/>
      </c>
      <c r="CJ120" s="55" t="str">
        <f t="shared" si="153"/>
        <v/>
      </c>
      <c r="CK120" s="55" t="str">
        <f t="shared" si="153"/>
        <v/>
      </c>
      <c r="CL120" s="55" t="str">
        <f t="shared" si="153"/>
        <v/>
      </c>
      <c r="CM120" s="55" t="str">
        <f t="shared" si="153"/>
        <v/>
      </c>
      <c r="CN120" s="55" t="str">
        <f t="shared" si="153"/>
        <v/>
      </c>
      <c r="CO120" s="55" t="str">
        <f t="shared" si="153"/>
        <v/>
      </c>
      <c r="CP120" s="55" t="str">
        <f t="shared" si="153"/>
        <v/>
      </c>
      <c r="CQ120" s="55" t="str">
        <f t="shared" si="153"/>
        <v/>
      </c>
      <c r="CR120" s="55" t="str">
        <f t="shared" si="153"/>
        <v/>
      </c>
      <c r="CS120" s="55" t="str">
        <f t="shared" si="153"/>
        <v/>
      </c>
      <c r="CT120" s="55" t="str">
        <f t="shared" si="153"/>
        <v/>
      </c>
      <c r="CU120" s="55" t="str">
        <f t="shared" si="153"/>
        <v/>
      </c>
      <c r="CV120" s="55" t="str">
        <f t="shared" si="153"/>
        <v/>
      </c>
      <c r="CW120" s="55" t="str">
        <f t="shared" si="153"/>
        <v/>
      </c>
      <c r="CX120" s="55" t="str">
        <f t="shared" si="153"/>
        <v/>
      </c>
      <c r="CY120" s="55" t="str">
        <f t="shared" si="153"/>
        <v/>
      </c>
      <c r="CZ120" s="55" t="str">
        <f t="shared" si="153"/>
        <v/>
      </c>
      <c r="DA120" s="55" t="str">
        <f t="shared" si="153"/>
        <v/>
      </c>
      <c r="DB120" s="55" t="str">
        <f t="shared" si="153"/>
        <v/>
      </c>
      <c r="DC120" s="55" t="str">
        <f t="shared" si="153"/>
        <v/>
      </c>
      <c r="DD120" s="55" t="str">
        <f t="shared" si="153"/>
        <v/>
      </c>
      <c r="DE120" s="55" t="str">
        <f t="shared" si="153"/>
        <v/>
      </c>
      <c r="DF120" s="55" t="str">
        <f t="shared" si="153"/>
        <v/>
      </c>
      <c r="DG120" s="55" t="str">
        <f t="shared" si="153"/>
        <v/>
      </c>
      <c r="DH120" s="55" t="str">
        <f t="shared" si="153"/>
        <v/>
      </c>
      <c r="DI120" s="55" t="str">
        <f t="shared" si="153"/>
        <v/>
      </c>
      <c r="DJ120" s="55" t="str">
        <f t="shared" si="153"/>
        <v/>
      </c>
      <c r="DK120" s="55" t="str">
        <f t="shared" si="153"/>
        <v/>
      </c>
      <c r="DL120" s="55" t="str">
        <f t="shared" si="153"/>
        <v/>
      </c>
      <c r="DM120" s="55" t="str">
        <f t="shared" si="153"/>
        <v/>
      </c>
      <c r="DN120" s="55" t="str">
        <f t="shared" si="153"/>
        <v/>
      </c>
      <c r="DO120" s="55" t="str">
        <f t="shared" si="153"/>
        <v/>
      </c>
      <c r="DP120" s="55" t="str">
        <f t="shared" si="153"/>
        <v/>
      </c>
      <c r="DQ120" s="55" t="str">
        <f t="shared" si="146"/>
        <v/>
      </c>
      <c r="DR120" s="55" t="str">
        <f t="shared" si="146"/>
        <v/>
      </c>
      <c r="DS120" s="55" t="str">
        <f t="shared" si="146"/>
        <v/>
      </c>
      <c r="DT120" s="110" t="str">
        <f t="shared" si="146"/>
        <v/>
      </c>
      <c r="DU120" s="54"/>
      <c r="DV120" s="25"/>
      <c r="DW120" s="61" t="str">
        <f t="shared" si="141"/>
        <v/>
      </c>
      <c r="DX120" s="50" t="str">
        <f t="shared" si="141"/>
        <v/>
      </c>
      <c r="DY120" s="50" t="str">
        <f t="shared" si="141"/>
        <v/>
      </c>
      <c r="DZ120" s="50" t="str">
        <f t="shared" si="141"/>
        <v/>
      </c>
      <c r="EA120" s="50" t="str">
        <f t="shared" si="141"/>
        <v/>
      </c>
      <c r="EB120" s="50" t="str">
        <f t="shared" si="141"/>
        <v/>
      </c>
      <c r="EC120" s="50" t="str">
        <f t="shared" si="141"/>
        <v/>
      </c>
      <c r="ED120" s="50" t="str">
        <f t="shared" si="141"/>
        <v/>
      </c>
      <c r="EE120" s="50" t="str">
        <f t="shared" si="141"/>
        <v/>
      </c>
      <c r="EF120" s="50" t="str">
        <f t="shared" si="141"/>
        <v/>
      </c>
      <c r="EG120" s="50" t="str">
        <f t="shared" si="141"/>
        <v/>
      </c>
      <c r="EH120" s="50" t="str">
        <f t="shared" si="141"/>
        <v/>
      </c>
      <c r="EI120" s="50" t="str">
        <f t="shared" si="141"/>
        <v/>
      </c>
      <c r="EJ120" s="50" t="str">
        <f t="shared" si="141"/>
        <v/>
      </c>
      <c r="EK120" s="50" t="str">
        <f t="shared" si="141"/>
        <v/>
      </c>
      <c r="EL120" s="50" t="str">
        <f t="shared" si="141"/>
        <v/>
      </c>
      <c r="EM120" s="50" t="str">
        <f t="shared" si="142"/>
        <v/>
      </c>
      <c r="EN120" s="50" t="str">
        <f t="shared" si="142"/>
        <v/>
      </c>
      <c r="EO120" s="50" t="str">
        <f t="shared" si="142"/>
        <v/>
      </c>
      <c r="EP120" s="50" t="str">
        <f t="shared" si="142"/>
        <v/>
      </c>
      <c r="EQ120" s="50" t="str">
        <f t="shared" si="142"/>
        <v/>
      </c>
      <c r="ER120" s="50" t="str">
        <f t="shared" si="142"/>
        <v/>
      </c>
      <c r="ES120" s="50" t="str">
        <f t="shared" si="142"/>
        <v/>
      </c>
      <c r="ET120" s="50" t="str">
        <f t="shared" si="142"/>
        <v/>
      </c>
      <c r="EU120" s="50" t="str">
        <f t="shared" si="142"/>
        <v/>
      </c>
      <c r="EV120" s="50" t="str">
        <f t="shared" si="142"/>
        <v/>
      </c>
      <c r="EW120" s="50" t="str">
        <f t="shared" si="142"/>
        <v/>
      </c>
      <c r="EX120" s="50" t="str">
        <f t="shared" si="142"/>
        <v/>
      </c>
      <c r="EY120" s="50" t="str">
        <f t="shared" si="142"/>
        <v/>
      </c>
      <c r="EZ120" s="50" t="str">
        <f t="shared" si="142"/>
        <v/>
      </c>
      <c r="FA120" s="50" t="str">
        <f t="shared" si="142"/>
        <v/>
      </c>
      <c r="FB120" s="50" t="str">
        <f t="shared" si="142"/>
        <v/>
      </c>
      <c r="FC120" s="50" t="str">
        <f t="shared" si="143"/>
        <v/>
      </c>
      <c r="FD120" s="50" t="str">
        <f t="shared" si="143"/>
        <v/>
      </c>
      <c r="FE120" s="50" t="str">
        <f t="shared" si="143"/>
        <v/>
      </c>
      <c r="FF120" s="50" t="str">
        <f t="shared" si="143"/>
        <v/>
      </c>
      <c r="FG120" s="50" t="str">
        <f t="shared" si="143"/>
        <v/>
      </c>
      <c r="FH120" s="50" t="str">
        <f t="shared" si="143"/>
        <v/>
      </c>
      <c r="FI120" s="50" t="str">
        <f t="shared" si="143"/>
        <v/>
      </c>
      <c r="FJ120" s="50" t="str">
        <f t="shared" si="143"/>
        <v/>
      </c>
      <c r="FK120" s="50" t="str">
        <f t="shared" si="143"/>
        <v/>
      </c>
      <c r="FL120" s="50" t="str">
        <f t="shared" si="143"/>
        <v/>
      </c>
      <c r="FM120" s="50" t="str">
        <f t="shared" si="143"/>
        <v/>
      </c>
      <c r="FN120" s="50" t="str">
        <f t="shared" si="143"/>
        <v/>
      </c>
      <c r="FO120" s="50" t="str">
        <f t="shared" si="143"/>
        <v/>
      </c>
      <c r="FP120" s="50" t="str">
        <f t="shared" si="143"/>
        <v/>
      </c>
      <c r="FQ120" s="50" t="str">
        <f t="shared" si="143"/>
        <v/>
      </c>
      <c r="FR120" s="50" t="str">
        <f t="shared" si="143"/>
        <v/>
      </c>
      <c r="FS120" s="50" t="str">
        <f t="shared" si="154"/>
        <v/>
      </c>
      <c r="FT120" s="50" t="str">
        <f t="shared" si="154"/>
        <v/>
      </c>
      <c r="FU120" s="50" t="str">
        <f t="shared" si="154"/>
        <v/>
      </c>
      <c r="FV120" s="50" t="str">
        <f t="shared" si="154"/>
        <v/>
      </c>
      <c r="FW120" s="50" t="str">
        <f t="shared" si="154"/>
        <v/>
      </c>
      <c r="FX120" s="50" t="str">
        <f t="shared" si="154"/>
        <v/>
      </c>
      <c r="FY120" s="50" t="str">
        <f t="shared" si="154"/>
        <v/>
      </c>
      <c r="FZ120" s="50" t="str">
        <f t="shared" si="154"/>
        <v/>
      </c>
      <c r="GA120" s="50" t="str">
        <f t="shared" si="154"/>
        <v/>
      </c>
      <c r="GB120" s="50" t="str">
        <f t="shared" si="154"/>
        <v/>
      </c>
      <c r="GC120" s="50" t="str">
        <f t="shared" si="154"/>
        <v/>
      </c>
      <c r="GD120" s="50" t="str">
        <f t="shared" si="154"/>
        <v/>
      </c>
      <c r="GE120" s="50" t="str">
        <f t="shared" si="154"/>
        <v/>
      </c>
      <c r="GF120" s="50" t="str">
        <f t="shared" si="154"/>
        <v/>
      </c>
      <c r="GG120" s="50" t="str">
        <f t="shared" si="154"/>
        <v/>
      </c>
      <c r="GH120" s="50" t="str">
        <f t="shared" si="154"/>
        <v/>
      </c>
      <c r="GI120" s="50" t="str">
        <f t="shared" si="154"/>
        <v/>
      </c>
      <c r="GJ120" s="50" t="str">
        <f t="shared" si="154"/>
        <v/>
      </c>
      <c r="GK120" s="50" t="str">
        <f t="shared" si="154"/>
        <v/>
      </c>
      <c r="GL120" s="50" t="str">
        <f t="shared" si="154"/>
        <v/>
      </c>
      <c r="GM120" s="50" t="str">
        <f t="shared" si="154"/>
        <v/>
      </c>
      <c r="GN120" s="50" t="str">
        <f t="shared" si="154"/>
        <v/>
      </c>
      <c r="GO120" s="50" t="str">
        <f t="shared" si="154"/>
        <v/>
      </c>
      <c r="GP120" s="50" t="str">
        <f t="shared" si="154"/>
        <v/>
      </c>
      <c r="GQ120" s="50" t="str">
        <f t="shared" si="154"/>
        <v/>
      </c>
      <c r="GR120" s="50" t="str">
        <f t="shared" si="154"/>
        <v/>
      </c>
      <c r="GS120" s="50" t="str">
        <f t="shared" si="154"/>
        <v/>
      </c>
      <c r="GT120" s="50" t="str">
        <f t="shared" si="154"/>
        <v/>
      </c>
      <c r="GU120" s="50" t="str">
        <f t="shared" si="154"/>
        <v/>
      </c>
      <c r="GV120" s="50" t="str">
        <f t="shared" si="154"/>
        <v/>
      </c>
      <c r="GW120" s="50" t="str">
        <f t="shared" si="154"/>
        <v/>
      </c>
      <c r="GX120" s="50" t="str">
        <f t="shared" si="154"/>
        <v/>
      </c>
      <c r="GY120" s="50" t="str">
        <f t="shared" si="154"/>
        <v/>
      </c>
      <c r="GZ120" s="50" t="str">
        <f t="shared" si="154"/>
        <v/>
      </c>
      <c r="HA120" s="50" t="str">
        <f t="shared" si="154"/>
        <v/>
      </c>
      <c r="HB120" s="50" t="str">
        <f t="shared" si="154"/>
        <v/>
      </c>
      <c r="HC120" s="50" t="str">
        <f t="shared" si="154"/>
        <v/>
      </c>
      <c r="HD120" s="50" t="str">
        <f t="shared" si="154"/>
        <v/>
      </c>
      <c r="HE120" s="50" t="str">
        <f t="shared" si="154"/>
        <v/>
      </c>
      <c r="HF120" s="50" t="str">
        <f t="shared" si="154"/>
        <v/>
      </c>
      <c r="HG120" s="50" t="str">
        <f t="shared" si="154"/>
        <v/>
      </c>
      <c r="HH120" s="50" t="str">
        <f t="shared" si="154"/>
        <v/>
      </c>
      <c r="HI120" s="50" t="str">
        <f t="shared" si="154"/>
        <v/>
      </c>
      <c r="HJ120" s="50" t="str">
        <f t="shared" si="154"/>
        <v/>
      </c>
      <c r="HK120" s="50" t="str">
        <f t="shared" si="154"/>
        <v/>
      </c>
      <c r="HL120" s="50" t="str">
        <f t="shared" si="154"/>
        <v/>
      </c>
      <c r="HM120" s="50" t="str">
        <f t="shared" si="154"/>
        <v/>
      </c>
      <c r="HN120" s="50" t="str">
        <f t="shared" si="154"/>
        <v/>
      </c>
      <c r="HO120" s="50" t="str">
        <f t="shared" si="147"/>
        <v/>
      </c>
      <c r="HP120" s="50" t="str">
        <f t="shared" si="147"/>
        <v/>
      </c>
      <c r="HQ120" s="50" t="str">
        <f t="shared" si="147"/>
        <v/>
      </c>
      <c r="HR120" s="116" t="str">
        <f t="shared" si="147"/>
        <v/>
      </c>
    </row>
    <row r="121" spans="1:226" ht="11.15" customHeight="1" thickBot="1" x14ac:dyDescent="0.3">
      <c r="A121" s="36"/>
      <c r="B121" s="37"/>
      <c r="C121" s="38" t="str">
        <f>IF(A121=0,"",VLOOKUP(A121,[3]CO!$A$3:$F$5327,2,0))</f>
        <v/>
      </c>
      <c r="D121" s="39"/>
      <c r="E121" s="39"/>
      <c r="F121" s="106" t="str">
        <f t="shared" si="145"/>
        <v/>
      </c>
      <c r="G121" s="40" t="str">
        <f>IF(A121=0,"",VLOOKUP(A121,[3]CO!$A$3:$F$5327,3,0))</f>
        <v/>
      </c>
      <c r="H121" s="97"/>
      <c r="I121" s="41"/>
      <c r="J121" s="41"/>
      <c r="K121" s="41"/>
      <c r="L121" s="41"/>
      <c r="M121" s="42" t="str">
        <f>IF(L121=0,"",PRODUCT(I121:L121))</f>
        <v/>
      </c>
      <c r="N121" s="42" t="str">
        <f>IF(B121=0,"",IF(H121="M",HLOOKUP(B121,$Y$12:$DT$13,2),IF(A121=0,"",VLOOKUP(A121,[3]CO!$A$3:$F$5327,4,0))))</f>
        <v/>
      </c>
      <c r="O121" s="42" t="str">
        <f t="shared" si="11"/>
        <v/>
      </c>
      <c r="P121" s="37"/>
      <c r="Q121" s="43" t="str">
        <f t="shared" si="136"/>
        <v/>
      </c>
      <c r="R121" s="44"/>
      <c r="S121" s="98"/>
      <c r="T121" s="53" t="str">
        <f>IF(A121=0,"",VLOOKUP(A121,[3]CO!$A$3:$F$5318,5,0))</f>
        <v/>
      </c>
      <c r="U121" s="54">
        <f t="shared" si="93"/>
        <v>0</v>
      </c>
      <c r="V121" s="24"/>
      <c r="W121" s="24"/>
      <c r="X121" s="24"/>
      <c r="Y121" s="76" t="str">
        <f t="shared" si="137"/>
        <v/>
      </c>
      <c r="Z121" s="77" t="str">
        <f t="shared" si="137"/>
        <v/>
      </c>
      <c r="AA121" s="77" t="str">
        <f t="shared" si="137"/>
        <v/>
      </c>
      <c r="AB121" s="77" t="str">
        <f t="shared" si="137"/>
        <v/>
      </c>
      <c r="AC121" s="77" t="str">
        <f t="shared" si="137"/>
        <v/>
      </c>
      <c r="AD121" s="77" t="str">
        <f t="shared" si="137"/>
        <v/>
      </c>
      <c r="AE121" s="77" t="str">
        <f t="shared" si="137"/>
        <v/>
      </c>
      <c r="AF121" s="77" t="str">
        <f t="shared" si="137"/>
        <v/>
      </c>
      <c r="AG121" s="77" t="str">
        <f t="shared" si="137"/>
        <v/>
      </c>
      <c r="AH121" s="77" t="str">
        <f t="shared" si="137"/>
        <v/>
      </c>
      <c r="AI121" s="77" t="str">
        <f t="shared" si="137"/>
        <v/>
      </c>
      <c r="AJ121" s="77" t="str">
        <f t="shared" si="137"/>
        <v/>
      </c>
      <c r="AK121" s="77" t="str">
        <f t="shared" si="137"/>
        <v/>
      </c>
      <c r="AL121" s="77" t="str">
        <f t="shared" si="137"/>
        <v/>
      </c>
      <c r="AM121" s="77" t="str">
        <f t="shared" si="137"/>
        <v/>
      </c>
      <c r="AN121" s="77" t="str">
        <f t="shared" si="137"/>
        <v/>
      </c>
      <c r="AO121" s="77" t="str">
        <f t="shared" si="138"/>
        <v/>
      </c>
      <c r="AP121" s="77" t="str">
        <f t="shared" si="138"/>
        <v/>
      </c>
      <c r="AQ121" s="77" t="str">
        <f t="shared" si="138"/>
        <v/>
      </c>
      <c r="AR121" s="77" t="str">
        <f t="shared" si="138"/>
        <v/>
      </c>
      <c r="AS121" s="77" t="str">
        <f t="shared" si="138"/>
        <v/>
      </c>
      <c r="AT121" s="77" t="str">
        <f t="shared" si="138"/>
        <v/>
      </c>
      <c r="AU121" s="77" t="str">
        <f t="shared" si="138"/>
        <v/>
      </c>
      <c r="AV121" s="77" t="str">
        <f t="shared" si="138"/>
        <v/>
      </c>
      <c r="AW121" s="77" t="str">
        <f t="shared" si="138"/>
        <v/>
      </c>
      <c r="AX121" s="77" t="str">
        <f t="shared" si="138"/>
        <v/>
      </c>
      <c r="AY121" s="77" t="str">
        <f t="shared" si="138"/>
        <v/>
      </c>
      <c r="AZ121" s="77" t="str">
        <f t="shared" si="138"/>
        <v/>
      </c>
      <c r="BA121" s="77" t="str">
        <f t="shared" si="138"/>
        <v/>
      </c>
      <c r="BB121" s="77" t="str">
        <f t="shared" si="138"/>
        <v/>
      </c>
      <c r="BC121" s="77" t="str">
        <f t="shared" si="138"/>
        <v/>
      </c>
      <c r="BD121" s="77" t="str">
        <f t="shared" si="138"/>
        <v/>
      </c>
      <c r="BE121" s="77" t="str">
        <f t="shared" si="139"/>
        <v/>
      </c>
      <c r="BF121" s="77" t="str">
        <f t="shared" si="139"/>
        <v/>
      </c>
      <c r="BG121" s="77" t="str">
        <f t="shared" si="139"/>
        <v/>
      </c>
      <c r="BH121" s="77" t="str">
        <f t="shared" si="139"/>
        <v/>
      </c>
      <c r="BI121" s="77" t="str">
        <f t="shared" si="139"/>
        <v/>
      </c>
      <c r="BJ121" s="77" t="str">
        <f t="shared" si="139"/>
        <v/>
      </c>
      <c r="BK121" s="77" t="str">
        <f t="shared" si="139"/>
        <v/>
      </c>
      <c r="BL121" s="77" t="str">
        <f t="shared" si="139"/>
        <v/>
      </c>
      <c r="BM121" s="77" t="str">
        <f t="shared" si="139"/>
        <v/>
      </c>
      <c r="BN121" s="77" t="str">
        <f t="shared" si="139"/>
        <v/>
      </c>
      <c r="BO121" s="77" t="str">
        <f t="shared" si="139"/>
        <v/>
      </c>
      <c r="BP121" s="77" t="str">
        <f t="shared" si="139"/>
        <v/>
      </c>
      <c r="BQ121" s="77" t="str">
        <f t="shared" si="139"/>
        <v/>
      </c>
      <c r="BR121" s="77" t="str">
        <f t="shared" si="139"/>
        <v/>
      </c>
      <c r="BS121" s="77" t="str">
        <f t="shared" si="139"/>
        <v/>
      </c>
      <c r="BT121" s="77" t="str">
        <f t="shared" si="139"/>
        <v/>
      </c>
      <c r="BU121" s="77" t="str">
        <f t="shared" si="153"/>
        <v/>
      </c>
      <c r="BV121" s="77" t="str">
        <f t="shared" si="153"/>
        <v/>
      </c>
      <c r="BW121" s="77" t="str">
        <f t="shared" si="153"/>
        <v/>
      </c>
      <c r="BX121" s="77" t="str">
        <f t="shared" si="153"/>
        <v/>
      </c>
      <c r="BY121" s="77" t="str">
        <f t="shared" si="153"/>
        <v/>
      </c>
      <c r="BZ121" s="77" t="str">
        <f t="shared" si="153"/>
        <v/>
      </c>
      <c r="CA121" s="77" t="str">
        <f t="shared" si="153"/>
        <v/>
      </c>
      <c r="CB121" s="77" t="str">
        <f t="shared" si="153"/>
        <v/>
      </c>
      <c r="CC121" s="77" t="str">
        <f t="shared" si="153"/>
        <v/>
      </c>
      <c r="CD121" s="77" t="str">
        <f t="shared" si="153"/>
        <v/>
      </c>
      <c r="CE121" s="77" t="str">
        <f t="shared" si="153"/>
        <v/>
      </c>
      <c r="CF121" s="77" t="str">
        <f t="shared" si="153"/>
        <v/>
      </c>
      <c r="CG121" s="77" t="str">
        <f t="shared" si="153"/>
        <v/>
      </c>
      <c r="CH121" s="77" t="str">
        <f t="shared" si="153"/>
        <v/>
      </c>
      <c r="CI121" s="77" t="str">
        <f t="shared" si="153"/>
        <v/>
      </c>
      <c r="CJ121" s="77" t="str">
        <f t="shared" si="153"/>
        <v/>
      </c>
      <c r="CK121" s="77" t="str">
        <f t="shared" si="153"/>
        <v/>
      </c>
      <c r="CL121" s="77" t="str">
        <f t="shared" si="153"/>
        <v/>
      </c>
      <c r="CM121" s="77" t="str">
        <f t="shared" si="153"/>
        <v/>
      </c>
      <c r="CN121" s="77" t="str">
        <f t="shared" si="153"/>
        <v/>
      </c>
      <c r="CO121" s="77" t="str">
        <f t="shared" si="153"/>
        <v/>
      </c>
      <c r="CP121" s="77" t="str">
        <f t="shared" si="153"/>
        <v/>
      </c>
      <c r="CQ121" s="77" t="str">
        <f t="shared" si="153"/>
        <v/>
      </c>
      <c r="CR121" s="77" t="str">
        <f t="shared" si="153"/>
        <v/>
      </c>
      <c r="CS121" s="77" t="str">
        <f t="shared" si="153"/>
        <v/>
      </c>
      <c r="CT121" s="77" t="str">
        <f t="shared" si="153"/>
        <v/>
      </c>
      <c r="CU121" s="77" t="str">
        <f t="shared" si="153"/>
        <v/>
      </c>
      <c r="CV121" s="77" t="str">
        <f t="shared" si="153"/>
        <v/>
      </c>
      <c r="CW121" s="77" t="str">
        <f t="shared" si="153"/>
        <v/>
      </c>
      <c r="CX121" s="77" t="str">
        <f t="shared" si="153"/>
        <v/>
      </c>
      <c r="CY121" s="77" t="str">
        <f t="shared" si="153"/>
        <v/>
      </c>
      <c r="CZ121" s="77" t="str">
        <f t="shared" si="153"/>
        <v/>
      </c>
      <c r="DA121" s="77" t="str">
        <f t="shared" si="153"/>
        <v/>
      </c>
      <c r="DB121" s="77" t="str">
        <f t="shared" si="153"/>
        <v/>
      </c>
      <c r="DC121" s="77" t="str">
        <f t="shared" si="153"/>
        <v/>
      </c>
      <c r="DD121" s="77" t="str">
        <f t="shared" si="153"/>
        <v/>
      </c>
      <c r="DE121" s="77" t="str">
        <f t="shared" si="153"/>
        <v/>
      </c>
      <c r="DF121" s="77" t="str">
        <f t="shared" si="153"/>
        <v/>
      </c>
      <c r="DG121" s="77" t="str">
        <f t="shared" si="153"/>
        <v/>
      </c>
      <c r="DH121" s="77" t="str">
        <f t="shared" si="153"/>
        <v/>
      </c>
      <c r="DI121" s="77" t="str">
        <f t="shared" si="153"/>
        <v/>
      </c>
      <c r="DJ121" s="77" t="str">
        <f t="shared" si="153"/>
        <v/>
      </c>
      <c r="DK121" s="77" t="str">
        <f t="shared" si="153"/>
        <v/>
      </c>
      <c r="DL121" s="77" t="str">
        <f t="shared" si="153"/>
        <v/>
      </c>
      <c r="DM121" s="77" t="str">
        <f t="shared" si="153"/>
        <v/>
      </c>
      <c r="DN121" s="77" t="str">
        <f t="shared" si="153"/>
        <v/>
      </c>
      <c r="DO121" s="77" t="str">
        <f t="shared" si="153"/>
        <v/>
      </c>
      <c r="DP121" s="77" t="str">
        <f t="shared" si="153"/>
        <v/>
      </c>
      <c r="DQ121" s="77" t="str">
        <f t="shared" si="146"/>
        <v/>
      </c>
      <c r="DR121" s="77" t="str">
        <f t="shared" si="146"/>
        <v/>
      </c>
      <c r="DS121" s="77" t="str">
        <f t="shared" si="146"/>
        <v/>
      </c>
      <c r="DT121" s="111" t="str">
        <f t="shared" si="146"/>
        <v/>
      </c>
      <c r="DU121" s="54"/>
      <c r="DV121" s="21"/>
      <c r="DW121" s="78" t="str">
        <f t="shared" si="141"/>
        <v/>
      </c>
      <c r="DX121" s="79" t="str">
        <f t="shared" si="141"/>
        <v/>
      </c>
      <c r="DY121" s="79" t="str">
        <f t="shared" si="141"/>
        <v/>
      </c>
      <c r="DZ121" s="79" t="str">
        <f t="shared" si="141"/>
        <v/>
      </c>
      <c r="EA121" s="79" t="str">
        <f t="shared" si="141"/>
        <v/>
      </c>
      <c r="EB121" s="79" t="str">
        <f t="shared" si="141"/>
        <v/>
      </c>
      <c r="EC121" s="79" t="str">
        <f t="shared" si="141"/>
        <v/>
      </c>
      <c r="ED121" s="79" t="str">
        <f t="shared" si="141"/>
        <v/>
      </c>
      <c r="EE121" s="79" t="str">
        <f t="shared" si="141"/>
        <v/>
      </c>
      <c r="EF121" s="79" t="str">
        <f t="shared" si="141"/>
        <v/>
      </c>
      <c r="EG121" s="79" t="str">
        <f t="shared" si="141"/>
        <v/>
      </c>
      <c r="EH121" s="79" t="str">
        <f t="shared" si="141"/>
        <v/>
      </c>
      <c r="EI121" s="79" t="str">
        <f t="shared" si="141"/>
        <v/>
      </c>
      <c r="EJ121" s="79" t="str">
        <f t="shared" si="141"/>
        <v/>
      </c>
      <c r="EK121" s="79" t="str">
        <f t="shared" si="141"/>
        <v/>
      </c>
      <c r="EL121" s="79" t="str">
        <f t="shared" si="141"/>
        <v/>
      </c>
      <c r="EM121" s="79" t="str">
        <f t="shared" si="142"/>
        <v/>
      </c>
      <c r="EN121" s="79" t="str">
        <f t="shared" si="142"/>
        <v/>
      </c>
      <c r="EO121" s="79" t="str">
        <f t="shared" si="142"/>
        <v/>
      </c>
      <c r="EP121" s="79" t="str">
        <f t="shared" si="142"/>
        <v/>
      </c>
      <c r="EQ121" s="79" t="str">
        <f t="shared" si="142"/>
        <v/>
      </c>
      <c r="ER121" s="79" t="str">
        <f t="shared" si="142"/>
        <v/>
      </c>
      <c r="ES121" s="79" t="str">
        <f t="shared" si="142"/>
        <v/>
      </c>
      <c r="ET121" s="79" t="str">
        <f t="shared" si="142"/>
        <v/>
      </c>
      <c r="EU121" s="79" t="str">
        <f t="shared" si="142"/>
        <v/>
      </c>
      <c r="EV121" s="79" t="str">
        <f t="shared" si="142"/>
        <v/>
      </c>
      <c r="EW121" s="79" t="str">
        <f t="shared" si="142"/>
        <v/>
      </c>
      <c r="EX121" s="79" t="str">
        <f t="shared" si="142"/>
        <v/>
      </c>
      <c r="EY121" s="79" t="str">
        <f t="shared" si="142"/>
        <v/>
      </c>
      <c r="EZ121" s="79" t="str">
        <f t="shared" si="142"/>
        <v/>
      </c>
      <c r="FA121" s="79" t="str">
        <f t="shared" si="142"/>
        <v/>
      </c>
      <c r="FB121" s="79" t="str">
        <f t="shared" si="142"/>
        <v/>
      </c>
      <c r="FC121" s="79" t="str">
        <f t="shared" si="143"/>
        <v/>
      </c>
      <c r="FD121" s="79" t="str">
        <f t="shared" si="143"/>
        <v/>
      </c>
      <c r="FE121" s="79" t="str">
        <f t="shared" si="143"/>
        <v/>
      </c>
      <c r="FF121" s="79" t="str">
        <f t="shared" si="143"/>
        <v/>
      </c>
      <c r="FG121" s="79" t="str">
        <f t="shared" si="143"/>
        <v/>
      </c>
      <c r="FH121" s="79" t="str">
        <f t="shared" si="143"/>
        <v/>
      </c>
      <c r="FI121" s="79" t="str">
        <f t="shared" si="143"/>
        <v/>
      </c>
      <c r="FJ121" s="79" t="str">
        <f t="shared" si="143"/>
        <v/>
      </c>
      <c r="FK121" s="79" t="str">
        <f t="shared" si="143"/>
        <v/>
      </c>
      <c r="FL121" s="79" t="str">
        <f t="shared" si="143"/>
        <v/>
      </c>
      <c r="FM121" s="79" t="str">
        <f t="shared" si="143"/>
        <v/>
      </c>
      <c r="FN121" s="79" t="str">
        <f t="shared" si="143"/>
        <v/>
      </c>
      <c r="FO121" s="79" t="str">
        <f t="shared" si="143"/>
        <v/>
      </c>
      <c r="FP121" s="79" t="str">
        <f t="shared" si="143"/>
        <v/>
      </c>
      <c r="FQ121" s="79" t="str">
        <f t="shared" si="143"/>
        <v/>
      </c>
      <c r="FR121" s="79" t="str">
        <f t="shared" si="143"/>
        <v/>
      </c>
      <c r="FS121" s="79" t="str">
        <f t="shared" si="154"/>
        <v/>
      </c>
      <c r="FT121" s="79" t="str">
        <f t="shared" si="154"/>
        <v/>
      </c>
      <c r="FU121" s="79" t="str">
        <f t="shared" si="154"/>
        <v/>
      </c>
      <c r="FV121" s="79" t="str">
        <f t="shared" si="154"/>
        <v/>
      </c>
      <c r="FW121" s="79" t="str">
        <f t="shared" si="154"/>
        <v/>
      </c>
      <c r="FX121" s="79" t="str">
        <f t="shared" si="154"/>
        <v/>
      </c>
      <c r="FY121" s="79" t="str">
        <f t="shared" si="154"/>
        <v/>
      </c>
      <c r="FZ121" s="79" t="str">
        <f t="shared" si="154"/>
        <v/>
      </c>
      <c r="GA121" s="79" t="str">
        <f t="shared" si="154"/>
        <v/>
      </c>
      <c r="GB121" s="79" t="str">
        <f t="shared" si="154"/>
        <v/>
      </c>
      <c r="GC121" s="79" t="str">
        <f t="shared" si="154"/>
        <v/>
      </c>
      <c r="GD121" s="79" t="str">
        <f t="shared" si="154"/>
        <v/>
      </c>
      <c r="GE121" s="79" t="str">
        <f t="shared" si="154"/>
        <v/>
      </c>
      <c r="GF121" s="79" t="str">
        <f t="shared" si="154"/>
        <v/>
      </c>
      <c r="GG121" s="79" t="str">
        <f t="shared" si="154"/>
        <v/>
      </c>
      <c r="GH121" s="79" t="str">
        <f t="shared" si="154"/>
        <v/>
      </c>
      <c r="GI121" s="79" t="str">
        <f t="shared" si="154"/>
        <v/>
      </c>
      <c r="GJ121" s="79" t="str">
        <f t="shared" si="154"/>
        <v/>
      </c>
      <c r="GK121" s="79" t="str">
        <f t="shared" si="154"/>
        <v/>
      </c>
      <c r="GL121" s="79" t="str">
        <f t="shared" si="154"/>
        <v/>
      </c>
      <c r="GM121" s="79" t="str">
        <f t="shared" si="154"/>
        <v/>
      </c>
      <c r="GN121" s="79" t="str">
        <f t="shared" si="154"/>
        <v/>
      </c>
      <c r="GO121" s="79" t="str">
        <f t="shared" si="154"/>
        <v/>
      </c>
      <c r="GP121" s="79" t="str">
        <f t="shared" si="154"/>
        <v/>
      </c>
      <c r="GQ121" s="79" t="str">
        <f t="shared" si="154"/>
        <v/>
      </c>
      <c r="GR121" s="79" t="str">
        <f t="shared" si="154"/>
        <v/>
      </c>
      <c r="GS121" s="79" t="str">
        <f t="shared" si="154"/>
        <v/>
      </c>
      <c r="GT121" s="79" t="str">
        <f t="shared" si="154"/>
        <v/>
      </c>
      <c r="GU121" s="79" t="str">
        <f t="shared" si="154"/>
        <v/>
      </c>
      <c r="GV121" s="79" t="str">
        <f t="shared" si="154"/>
        <v/>
      </c>
      <c r="GW121" s="79" t="str">
        <f t="shared" si="154"/>
        <v/>
      </c>
      <c r="GX121" s="79" t="str">
        <f t="shared" si="154"/>
        <v/>
      </c>
      <c r="GY121" s="79" t="str">
        <f t="shared" si="154"/>
        <v/>
      </c>
      <c r="GZ121" s="79" t="str">
        <f t="shared" si="154"/>
        <v/>
      </c>
      <c r="HA121" s="79" t="str">
        <f t="shared" si="154"/>
        <v/>
      </c>
      <c r="HB121" s="79" t="str">
        <f t="shared" si="154"/>
        <v/>
      </c>
      <c r="HC121" s="79" t="str">
        <f t="shared" si="154"/>
        <v/>
      </c>
      <c r="HD121" s="79" t="str">
        <f t="shared" si="154"/>
        <v/>
      </c>
      <c r="HE121" s="79" t="str">
        <f t="shared" si="154"/>
        <v/>
      </c>
      <c r="HF121" s="79" t="str">
        <f t="shared" si="154"/>
        <v/>
      </c>
      <c r="HG121" s="79" t="str">
        <f t="shared" si="154"/>
        <v/>
      </c>
      <c r="HH121" s="79" t="str">
        <f t="shared" si="154"/>
        <v/>
      </c>
      <c r="HI121" s="79" t="str">
        <f t="shared" si="154"/>
        <v/>
      </c>
      <c r="HJ121" s="79" t="str">
        <f t="shared" si="154"/>
        <v/>
      </c>
      <c r="HK121" s="79" t="str">
        <f t="shared" si="154"/>
        <v/>
      </c>
      <c r="HL121" s="79" t="str">
        <f t="shared" si="154"/>
        <v/>
      </c>
      <c r="HM121" s="79" t="str">
        <f t="shared" si="154"/>
        <v/>
      </c>
      <c r="HN121" s="79" t="str">
        <f t="shared" si="154"/>
        <v/>
      </c>
      <c r="HO121" s="79" t="str">
        <f t="shared" si="147"/>
        <v/>
      </c>
      <c r="HP121" s="79" t="str">
        <f t="shared" si="147"/>
        <v/>
      </c>
      <c r="HQ121" s="79" t="str">
        <f t="shared" si="147"/>
        <v/>
      </c>
      <c r="HR121" s="117" t="str">
        <f t="shared" si="147"/>
        <v/>
      </c>
    </row>
    <row r="122" spans="1:226" ht="10" customHeight="1" x14ac:dyDescent="0.25">
      <c r="A122" s="45"/>
      <c r="B122" s="23"/>
      <c r="C122" s="23" t="str">
        <f>IF(A122=0,"",VLOOKUP(A122,#REF!,2,0))</f>
        <v/>
      </c>
      <c r="D122" s="23"/>
      <c r="E122" s="23"/>
      <c r="F122" s="23"/>
      <c r="G122" s="23"/>
      <c r="H122" s="23"/>
      <c r="I122" s="46"/>
      <c r="J122" s="46"/>
      <c r="K122" s="46"/>
      <c r="L122" s="46"/>
      <c r="M122" s="47"/>
      <c r="N122" s="47"/>
      <c r="O122" s="47"/>
      <c r="P122" s="23"/>
      <c r="Q122" s="23"/>
      <c r="R122" s="23"/>
      <c r="S122" s="98"/>
      <c r="T122" s="21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1"/>
      <c r="ES122" s="21"/>
      <c r="ET122" s="22"/>
      <c r="EU122" s="22"/>
      <c r="EV122" s="22"/>
    </row>
    <row r="123" spans="1:226" ht="13" x14ac:dyDescent="0.3">
      <c r="A123" s="45"/>
      <c r="B123" s="23"/>
      <c r="C123" s="23"/>
      <c r="D123" s="23"/>
      <c r="E123" s="23"/>
      <c r="F123" s="23"/>
      <c r="G123" s="23"/>
      <c r="H123" s="23"/>
      <c r="I123" s="46"/>
      <c r="J123" s="46"/>
      <c r="K123" s="46"/>
      <c r="L123" s="46"/>
      <c r="M123" s="47"/>
      <c r="N123" s="47"/>
      <c r="O123" s="48" t="s">
        <v>17</v>
      </c>
      <c r="P123" s="49"/>
      <c r="Q123" s="107">
        <f>SUM(Q109:Q121)</f>
        <v>0</v>
      </c>
      <c r="R123" s="107">
        <f>SUM(R109:R121)</f>
        <v>0</v>
      </c>
      <c r="S123" s="108"/>
      <c r="T123" s="21"/>
      <c r="U123" s="24"/>
      <c r="V123" s="24"/>
      <c r="W123" s="24"/>
      <c r="X123" s="24"/>
      <c r="EV123" s="22"/>
    </row>
    <row r="124" spans="1:226" x14ac:dyDescent="0.25">
      <c r="A124" s="45"/>
      <c r="B124" s="23"/>
      <c r="C124" s="23"/>
      <c r="D124" s="23"/>
      <c r="E124" s="23"/>
      <c r="F124" s="23"/>
      <c r="G124" s="23"/>
      <c r="H124" s="23"/>
      <c r="I124" s="46"/>
      <c r="J124" s="46"/>
      <c r="K124" s="46"/>
      <c r="L124" s="46"/>
      <c r="M124" s="47"/>
      <c r="N124" s="47"/>
      <c r="O124" s="47"/>
      <c r="P124" s="23"/>
      <c r="Q124" s="23"/>
      <c r="R124" s="23"/>
      <c r="S124" s="98"/>
      <c r="T124" s="21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2"/>
      <c r="EU124" s="22"/>
      <c r="EV124" s="22"/>
    </row>
    <row r="125" spans="1:226" x14ac:dyDescent="0.25">
      <c r="A125" s="45"/>
      <c r="B125" s="23"/>
      <c r="C125" s="23"/>
      <c r="D125" s="23"/>
      <c r="E125" s="23"/>
      <c r="F125" s="23"/>
      <c r="G125" s="23"/>
      <c r="H125" s="23"/>
      <c r="I125" s="46"/>
      <c r="J125" s="46"/>
      <c r="K125" s="46"/>
      <c r="L125" s="46"/>
      <c r="M125" s="47"/>
      <c r="N125" s="47"/>
      <c r="O125" s="48" t="s">
        <v>18</v>
      </c>
      <c r="P125" s="23"/>
      <c r="Q125" s="107">
        <f>Q76+Q105+Q123</f>
        <v>32246.38782365344</v>
      </c>
      <c r="R125" s="107"/>
      <c r="S125" s="98"/>
      <c r="T125" s="21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2"/>
      <c r="EU125" s="22"/>
      <c r="EV125" s="22"/>
    </row>
    <row r="126" spans="1:226" ht="10" customHeight="1" x14ac:dyDescent="0.25"/>
  </sheetData>
  <dataConsolidate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count="1">
    <dataValidation type="whole" allowBlank="1" showInputMessage="1" showErrorMessage="1" promptTitle="Valor Numerico" prompt="Unicamente introducir numeros enteros entre 1 y 50" sqref="J10" xr:uid="{1A6F08BA-2B38-47AA-98AD-6C922D0F653C}">
      <formula1>1</formula1>
      <formula2>50</formula2>
    </dataValidation>
  </dataValidations>
  <printOptions horizontalCentered="1"/>
  <pageMargins left="0.11811023622047245" right="0.11811023622047245" top="0.74803149606299213" bottom="1.1417322834645669" header="0.31496062992125984" footer="0.86614173228346458"/>
  <pageSetup scale="71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529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908050</xdr:colOff>
                    <xdr:row>5</xdr:row>
                    <xdr:rowOff>38100</xdr:rowOff>
                  </from>
                  <to>
                    <xdr:col>17</xdr:col>
                    <xdr:colOff>222250</xdr:colOff>
                    <xdr:row>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30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19050</xdr:rowOff>
                  </from>
                  <to>
                    <xdr:col>8</xdr:col>
                    <xdr:colOff>355600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31" r:id="rId6" name="Button 3">
              <controlPr defaultSize="0" print="0" autoFill="0" autoPict="0" macro="[0]!Act_Progr">
                <anchor moveWithCells="1">
                  <from>
                    <xdr:col>16</xdr:col>
                    <xdr:colOff>908050</xdr:colOff>
                    <xdr:row>9</xdr:row>
                    <xdr:rowOff>19050</xdr:rowOff>
                  </from>
                  <to>
                    <xdr:col>17</xdr:col>
                    <xdr:colOff>717550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32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908050</xdr:colOff>
                    <xdr:row>5</xdr:row>
                    <xdr:rowOff>228600</xdr:rowOff>
                  </from>
                  <to>
                    <xdr:col>17</xdr:col>
                    <xdr:colOff>698500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33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19050</xdr:rowOff>
                  </from>
                  <to>
                    <xdr:col>16</xdr:col>
                    <xdr:colOff>876300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34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450850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35" r:id="rId10" name="Button 7">
              <controlPr defaultSize="0" print="0" autoFill="0" autoPict="0" macro="[0]!In_Mo_Panel">
                <anchor moveWithCells="1">
                  <from>
                    <xdr:col>12</xdr:col>
                    <xdr:colOff>469900</xdr:colOff>
                    <xdr:row>9</xdr:row>
                    <xdr:rowOff>31750</xdr:rowOff>
                  </from>
                  <to>
                    <xdr:col>14</xdr:col>
                    <xdr:colOff>952500</xdr:colOff>
                    <xdr:row>9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003</vt:lpstr>
      <vt:lpstr>'003'!Print_Area</vt:lpstr>
      <vt:lpstr>'003'!Print_Titles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Gallo VI</dc:creator>
  <cp:lastModifiedBy>Carlos Vidal</cp:lastModifiedBy>
  <cp:lastPrinted>2023-04-04T18:16:13Z</cp:lastPrinted>
  <dcterms:created xsi:type="dcterms:W3CDTF">2015-06-05T14:18:37Z</dcterms:created>
  <dcterms:modified xsi:type="dcterms:W3CDTF">2023-04-13T21:53:21Z</dcterms:modified>
</cp:coreProperties>
</file>