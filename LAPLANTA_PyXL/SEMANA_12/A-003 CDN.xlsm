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JUEVES_PyXl\SEMANA_12\"/>
    </mc:Choice>
  </mc:AlternateContent>
  <xr:revisionPtr revIDLastSave="0" documentId="13_ncr:1_{8D769636-CEB3-4256-BA97-659EADF2101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015" sheetId="406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'015'!$A$1:$R$58</definedName>
    <definedName name="Print_Titles" localSheetId="0">'015'!$1:$13</definedName>
  </definedNames>
  <calcPr calcId="191029"/>
</workbook>
</file>

<file path=xl/calcChain.xml><?xml version="1.0" encoding="utf-8"?>
<calcChain xmlns="http://schemas.openxmlformats.org/spreadsheetml/2006/main">
  <c r="C55" i="406" l="1"/>
  <c r="HR54" i="406"/>
  <c r="HQ54" i="406"/>
  <c r="HP54" i="406"/>
  <c r="HO54" i="406"/>
  <c r="HN54" i="406"/>
  <c r="HM54" i="406"/>
  <c r="HL54" i="406"/>
  <c r="HK54" i="406"/>
  <c r="HJ54" i="406"/>
  <c r="HI54" i="406"/>
  <c r="HH54" i="406"/>
  <c r="HG54" i="406"/>
  <c r="HF54" i="406"/>
  <c r="HE54" i="406"/>
  <c r="HD54" i="406"/>
  <c r="HC54" i="406"/>
  <c r="HB54" i="406"/>
  <c r="HA54" i="406"/>
  <c r="GZ54" i="406"/>
  <c r="GY54" i="406"/>
  <c r="GX54" i="406"/>
  <c r="GW54" i="406"/>
  <c r="GV54" i="406"/>
  <c r="GU54" i="406"/>
  <c r="GT54" i="406"/>
  <c r="GS54" i="406"/>
  <c r="GR54" i="406"/>
  <c r="GQ54" i="406"/>
  <c r="GP54" i="406"/>
  <c r="GO54" i="406"/>
  <c r="GN54" i="406"/>
  <c r="GM54" i="406"/>
  <c r="GL54" i="406"/>
  <c r="GK54" i="406"/>
  <c r="GJ54" i="406"/>
  <c r="GI54" i="406"/>
  <c r="GH54" i="406"/>
  <c r="GG54" i="406"/>
  <c r="GF54" i="406"/>
  <c r="GE54" i="406"/>
  <c r="GD54" i="406"/>
  <c r="GC54" i="406"/>
  <c r="GB54" i="406"/>
  <c r="GA54" i="406"/>
  <c r="FZ54" i="406"/>
  <c r="FY54" i="406"/>
  <c r="FX54" i="406"/>
  <c r="FW54" i="406"/>
  <c r="FV54" i="406"/>
  <c r="FU54" i="406"/>
  <c r="FT54" i="406"/>
  <c r="FS54" i="406"/>
  <c r="FR54" i="406"/>
  <c r="FQ54" i="406"/>
  <c r="FP54" i="406"/>
  <c r="FO54" i="406"/>
  <c r="FN54" i="406"/>
  <c r="FM54" i="406"/>
  <c r="FL54" i="406"/>
  <c r="FK54" i="406"/>
  <c r="FJ54" i="406"/>
  <c r="FI54" i="406"/>
  <c r="FH54" i="406"/>
  <c r="FG54" i="406"/>
  <c r="FF54" i="406"/>
  <c r="FE54" i="406"/>
  <c r="FD54" i="406"/>
  <c r="FC54" i="406"/>
  <c r="FB54" i="406"/>
  <c r="FA54" i="406"/>
  <c r="EZ54" i="406"/>
  <c r="EY54" i="406"/>
  <c r="EX54" i="406"/>
  <c r="EW54" i="406"/>
  <c r="EV54" i="406"/>
  <c r="EU54" i="406"/>
  <c r="ET54" i="406"/>
  <c r="ES54" i="406"/>
  <c r="ER54" i="406"/>
  <c r="EQ54" i="406"/>
  <c r="EP54" i="406"/>
  <c r="EO54" i="406"/>
  <c r="EN54" i="406"/>
  <c r="EM54" i="406"/>
  <c r="EL54" i="406"/>
  <c r="EK54" i="406"/>
  <c r="EJ54" i="406"/>
  <c r="EI54" i="406"/>
  <c r="EH54" i="406"/>
  <c r="EG54" i="406"/>
  <c r="EF54" i="406"/>
  <c r="EE54" i="406"/>
  <c r="ED54" i="406"/>
  <c r="EC54" i="406"/>
  <c r="EB54" i="406"/>
  <c r="EA54" i="406"/>
  <c r="DZ54" i="406"/>
  <c r="DY54" i="406"/>
  <c r="DX54" i="406"/>
  <c r="DW54" i="406"/>
  <c r="DT54" i="406"/>
  <c r="DS54" i="406"/>
  <c r="DR54" i="406"/>
  <c r="DQ54" i="406"/>
  <c r="DP54" i="406"/>
  <c r="DO54" i="406"/>
  <c r="DN54" i="406"/>
  <c r="DM54" i="406"/>
  <c r="DL54" i="406"/>
  <c r="DK54" i="406"/>
  <c r="DJ54" i="406"/>
  <c r="DI54" i="406"/>
  <c r="DH54" i="406"/>
  <c r="DG54" i="406"/>
  <c r="DF54" i="406"/>
  <c r="DE54" i="406"/>
  <c r="DD54" i="406"/>
  <c r="DC54" i="406"/>
  <c r="DB54" i="406"/>
  <c r="DA54" i="406"/>
  <c r="CZ54" i="406"/>
  <c r="CY54" i="406"/>
  <c r="CX54" i="406"/>
  <c r="CW54" i="406"/>
  <c r="CV54" i="406"/>
  <c r="CU54" i="406"/>
  <c r="CT54" i="406"/>
  <c r="CS54" i="406"/>
  <c r="CR54" i="406"/>
  <c r="CQ54" i="406"/>
  <c r="CP54" i="406"/>
  <c r="CO54" i="406"/>
  <c r="CN54" i="406"/>
  <c r="CM54" i="406"/>
  <c r="CL54" i="406"/>
  <c r="CK54" i="406"/>
  <c r="CJ54" i="406"/>
  <c r="CI54" i="406"/>
  <c r="CH54" i="406"/>
  <c r="CG54" i="406"/>
  <c r="CF54" i="406"/>
  <c r="CE54" i="406"/>
  <c r="CD54" i="406"/>
  <c r="CC54" i="406"/>
  <c r="CB54" i="406"/>
  <c r="CA54" i="406"/>
  <c r="BZ54" i="406"/>
  <c r="BY54" i="406"/>
  <c r="BX54" i="406"/>
  <c r="BW54" i="406"/>
  <c r="BV54" i="406"/>
  <c r="BU54" i="406"/>
  <c r="BT54" i="406"/>
  <c r="BS54" i="406"/>
  <c r="BR54" i="406"/>
  <c r="BQ54" i="406"/>
  <c r="BP54" i="406"/>
  <c r="BO54" i="406"/>
  <c r="BN54" i="406"/>
  <c r="BM54" i="406"/>
  <c r="BL54" i="406"/>
  <c r="BK54" i="406"/>
  <c r="BJ54" i="406"/>
  <c r="BI54" i="406"/>
  <c r="BH54" i="406"/>
  <c r="BG54" i="406"/>
  <c r="BF54" i="406"/>
  <c r="BE54" i="406"/>
  <c r="BD54" i="406"/>
  <c r="BC54" i="406"/>
  <c r="BB54" i="406"/>
  <c r="BA54" i="406"/>
  <c r="AZ54" i="406"/>
  <c r="AY54" i="406"/>
  <c r="AX54" i="406"/>
  <c r="AW54" i="406"/>
  <c r="AV54" i="406"/>
  <c r="AU54" i="406"/>
  <c r="AT54" i="406"/>
  <c r="AS54" i="406"/>
  <c r="AR54" i="406"/>
  <c r="AQ54" i="406"/>
  <c r="AP54" i="406"/>
  <c r="AO54" i="406"/>
  <c r="AN54" i="406"/>
  <c r="AM54" i="406"/>
  <c r="AL54" i="406"/>
  <c r="AK54" i="406"/>
  <c r="AJ54" i="406"/>
  <c r="AI54" i="406"/>
  <c r="AH54" i="406"/>
  <c r="AG54" i="406"/>
  <c r="AF54" i="406"/>
  <c r="AE54" i="406"/>
  <c r="AD54" i="406"/>
  <c r="AC54" i="406"/>
  <c r="AB54" i="406"/>
  <c r="AA54" i="406"/>
  <c r="Z54" i="406"/>
  <c r="Y54" i="406"/>
  <c r="T54" i="406"/>
  <c r="U54" i="406" s="1"/>
  <c r="R54" i="406"/>
  <c r="Q54" i="406"/>
  <c r="O54" i="406"/>
  <c r="N54" i="406"/>
  <c r="M54" i="406"/>
  <c r="G54" i="406"/>
  <c r="C54" i="406"/>
  <c r="HR53" i="406"/>
  <c r="HQ53" i="406"/>
  <c r="HP53" i="406"/>
  <c r="HO53" i="406"/>
  <c r="HN53" i="406"/>
  <c r="HM53" i="406"/>
  <c r="HL53" i="406"/>
  <c r="HK53" i="406"/>
  <c r="HJ53" i="406"/>
  <c r="HI53" i="406"/>
  <c r="HH53" i="406"/>
  <c r="HG53" i="406"/>
  <c r="HF53" i="406"/>
  <c r="HE53" i="406"/>
  <c r="HD53" i="406"/>
  <c r="HC53" i="406"/>
  <c r="HB53" i="406"/>
  <c r="HA53" i="406"/>
  <c r="GZ53" i="406"/>
  <c r="GY53" i="406"/>
  <c r="GX53" i="406"/>
  <c r="GW53" i="406"/>
  <c r="GV53" i="406"/>
  <c r="GU53" i="406"/>
  <c r="GT53" i="406"/>
  <c r="GS53" i="406"/>
  <c r="GR53" i="406"/>
  <c r="GQ53" i="406"/>
  <c r="GP53" i="406"/>
  <c r="GO53" i="406"/>
  <c r="GN53" i="406"/>
  <c r="GM53" i="406"/>
  <c r="GL53" i="406"/>
  <c r="GK53" i="406"/>
  <c r="GJ53" i="406"/>
  <c r="GI53" i="406"/>
  <c r="GH53" i="406"/>
  <c r="GG53" i="406"/>
  <c r="GF53" i="406"/>
  <c r="GE53" i="406"/>
  <c r="GD53" i="406"/>
  <c r="GC53" i="406"/>
  <c r="GB53" i="406"/>
  <c r="GA53" i="406"/>
  <c r="FZ53" i="406"/>
  <c r="FY53" i="406"/>
  <c r="FX53" i="406"/>
  <c r="FW53" i="406"/>
  <c r="FV53" i="406"/>
  <c r="FU53" i="406"/>
  <c r="FT53" i="406"/>
  <c r="FS53" i="406"/>
  <c r="FR53" i="406"/>
  <c r="FQ53" i="406"/>
  <c r="FP53" i="406"/>
  <c r="FO53" i="406"/>
  <c r="FN53" i="406"/>
  <c r="FM53" i="406"/>
  <c r="FL53" i="406"/>
  <c r="FK53" i="406"/>
  <c r="FJ53" i="406"/>
  <c r="FI53" i="406"/>
  <c r="FH53" i="406"/>
  <c r="FG53" i="406"/>
  <c r="FF53" i="406"/>
  <c r="FE53" i="406"/>
  <c r="FD53" i="406"/>
  <c r="FC53" i="406"/>
  <c r="FB53" i="406"/>
  <c r="FA53" i="406"/>
  <c r="EZ53" i="406"/>
  <c r="EY53" i="406"/>
  <c r="EX53" i="406"/>
  <c r="EW53" i="406"/>
  <c r="EV53" i="406"/>
  <c r="EU53" i="406"/>
  <c r="ET53" i="406"/>
  <c r="ES53" i="406"/>
  <c r="ER53" i="406"/>
  <c r="EQ53" i="406"/>
  <c r="EP53" i="406"/>
  <c r="EO53" i="406"/>
  <c r="EN53" i="406"/>
  <c r="EM53" i="406"/>
  <c r="EL53" i="406"/>
  <c r="EK53" i="406"/>
  <c r="EJ53" i="406"/>
  <c r="EI53" i="406"/>
  <c r="EH53" i="406"/>
  <c r="EG53" i="406"/>
  <c r="EF53" i="406"/>
  <c r="EE53" i="406"/>
  <c r="ED53" i="406"/>
  <c r="EC53" i="406"/>
  <c r="EB53" i="406"/>
  <c r="EA53" i="406"/>
  <c r="DZ53" i="406"/>
  <c r="DY53" i="406"/>
  <c r="DX53" i="406"/>
  <c r="DW53" i="406"/>
  <c r="DT53" i="406"/>
  <c r="DS53" i="406"/>
  <c r="DR53" i="406"/>
  <c r="DQ53" i="406"/>
  <c r="DP53" i="406"/>
  <c r="DO53" i="406"/>
  <c r="DN53" i="406"/>
  <c r="DM53" i="406"/>
  <c r="DL53" i="406"/>
  <c r="DK53" i="406"/>
  <c r="DJ53" i="406"/>
  <c r="DI53" i="406"/>
  <c r="DH53" i="406"/>
  <c r="DG53" i="406"/>
  <c r="DF53" i="406"/>
  <c r="DE53" i="406"/>
  <c r="DD53" i="406"/>
  <c r="DC53" i="406"/>
  <c r="DB53" i="406"/>
  <c r="DA53" i="406"/>
  <c r="CZ53" i="406"/>
  <c r="CY53" i="406"/>
  <c r="CX53" i="406"/>
  <c r="CW53" i="406"/>
  <c r="CV53" i="406"/>
  <c r="CU53" i="406"/>
  <c r="CT53" i="406"/>
  <c r="CS53" i="406"/>
  <c r="CR53" i="406"/>
  <c r="CQ53" i="406"/>
  <c r="CP53" i="406"/>
  <c r="CO53" i="406"/>
  <c r="CN53" i="406"/>
  <c r="CM53" i="406"/>
  <c r="CL53" i="406"/>
  <c r="CK53" i="406"/>
  <c r="CJ53" i="406"/>
  <c r="CI53" i="406"/>
  <c r="CH53" i="406"/>
  <c r="CG53" i="406"/>
  <c r="CF53" i="406"/>
  <c r="CE53" i="406"/>
  <c r="CD53" i="406"/>
  <c r="CC53" i="406"/>
  <c r="CB53" i="406"/>
  <c r="CA53" i="406"/>
  <c r="BZ53" i="406"/>
  <c r="BY53" i="406"/>
  <c r="BX53" i="406"/>
  <c r="BW53" i="406"/>
  <c r="BV53" i="406"/>
  <c r="BU53" i="406"/>
  <c r="BT53" i="406"/>
  <c r="BS53" i="406"/>
  <c r="BR53" i="406"/>
  <c r="BQ53" i="406"/>
  <c r="BP53" i="406"/>
  <c r="BO53" i="406"/>
  <c r="BN53" i="406"/>
  <c r="BM53" i="406"/>
  <c r="BL53" i="406"/>
  <c r="BK53" i="406"/>
  <c r="BJ53" i="406"/>
  <c r="BI53" i="406"/>
  <c r="BH53" i="406"/>
  <c r="BG53" i="406"/>
  <c r="BF53" i="406"/>
  <c r="BE53" i="406"/>
  <c r="BD53" i="406"/>
  <c r="BC53" i="406"/>
  <c r="BB53" i="406"/>
  <c r="BA53" i="406"/>
  <c r="AZ53" i="406"/>
  <c r="AY53" i="406"/>
  <c r="AX53" i="406"/>
  <c r="AW53" i="406"/>
  <c r="AV53" i="406"/>
  <c r="AU53" i="406"/>
  <c r="AT53" i="406"/>
  <c r="AS53" i="406"/>
  <c r="AR53" i="406"/>
  <c r="AQ53" i="406"/>
  <c r="AP53" i="406"/>
  <c r="AO53" i="406"/>
  <c r="AN53" i="406"/>
  <c r="AM53" i="406"/>
  <c r="AL53" i="406"/>
  <c r="AK53" i="406"/>
  <c r="AJ53" i="406"/>
  <c r="AI53" i="406"/>
  <c r="AH53" i="406"/>
  <c r="AG53" i="406"/>
  <c r="AF53" i="406"/>
  <c r="AE53" i="406"/>
  <c r="AD53" i="406"/>
  <c r="AC53" i="406"/>
  <c r="AB53" i="406"/>
  <c r="AA53" i="406"/>
  <c r="Z53" i="406"/>
  <c r="Y53" i="406"/>
  <c r="T53" i="406"/>
  <c r="U53" i="406" s="1"/>
  <c r="R53" i="406"/>
  <c r="Q53" i="406"/>
  <c r="O53" i="406"/>
  <c r="N53" i="406"/>
  <c r="M53" i="406"/>
  <c r="G53" i="406"/>
  <c r="C53" i="406"/>
  <c r="HR52" i="406"/>
  <c r="HQ52" i="406"/>
  <c r="HP52" i="406"/>
  <c r="HO52" i="406"/>
  <c r="HN52" i="406"/>
  <c r="HM52" i="406"/>
  <c r="HL52" i="406"/>
  <c r="HK52" i="406"/>
  <c r="HJ52" i="406"/>
  <c r="HI52" i="406"/>
  <c r="HH52" i="406"/>
  <c r="HG52" i="406"/>
  <c r="HF52" i="406"/>
  <c r="HE52" i="406"/>
  <c r="HD52" i="406"/>
  <c r="HC52" i="406"/>
  <c r="HB52" i="406"/>
  <c r="HA52" i="406"/>
  <c r="GZ52" i="406"/>
  <c r="GY52" i="406"/>
  <c r="GX52" i="406"/>
  <c r="GW52" i="406"/>
  <c r="GV52" i="406"/>
  <c r="GU52" i="406"/>
  <c r="GT52" i="406"/>
  <c r="GS52" i="406"/>
  <c r="GR52" i="406"/>
  <c r="GQ52" i="406"/>
  <c r="GP52" i="406"/>
  <c r="GO52" i="406"/>
  <c r="GN52" i="406"/>
  <c r="GM52" i="406"/>
  <c r="GL52" i="406"/>
  <c r="GK52" i="406"/>
  <c r="GJ52" i="406"/>
  <c r="GI52" i="406"/>
  <c r="GH52" i="406"/>
  <c r="GG52" i="406"/>
  <c r="GF52" i="406"/>
  <c r="GE52" i="406"/>
  <c r="GD52" i="406"/>
  <c r="GC52" i="406"/>
  <c r="GB52" i="406"/>
  <c r="GA52" i="406"/>
  <c r="FZ52" i="406"/>
  <c r="FY52" i="406"/>
  <c r="FX52" i="406"/>
  <c r="FW52" i="406"/>
  <c r="FV52" i="406"/>
  <c r="FU52" i="406"/>
  <c r="FT52" i="406"/>
  <c r="FS52" i="406"/>
  <c r="FR52" i="406"/>
  <c r="FQ52" i="406"/>
  <c r="FP52" i="406"/>
  <c r="FO52" i="406"/>
  <c r="FN52" i="406"/>
  <c r="FM52" i="406"/>
  <c r="FL52" i="406"/>
  <c r="FK52" i="406"/>
  <c r="FJ52" i="406"/>
  <c r="FI52" i="406"/>
  <c r="FH52" i="406"/>
  <c r="FG52" i="406"/>
  <c r="FF52" i="406"/>
  <c r="FE52" i="406"/>
  <c r="FD52" i="406"/>
  <c r="FC52" i="406"/>
  <c r="FB52" i="406"/>
  <c r="FA52" i="406"/>
  <c r="EZ52" i="406"/>
  <c r="EY52" i="406"/>
  <c r="EX52" i="406"/>
  <c r="EW52" i="406"/>
  <c r="EV52" i="406"/>
  <c r="EU52" i="406"/>
  <c r="ET52" i="406"/>
  <c r="ES52" i="406"/>
  <c r="ER52" i="406"/>
  <c r="EQ52" i="406"/>
  <c r="EP52" i="406"/>
  <c r="EO52" i="406"/>
  <c r="EN52" i="406"/>
  <c r="EM52" i="406"/>
  <c r="EL52" i="406"/>
  <c r="EK52" i="406"/>
  <c r="EJ52" i="406"/>
  <c r="EI52" i="406"/>
  <c r="EH52" i="406"/>
  <c r="EG52" i="406"/>
  <c r="EF52" i="406"/>
  <c r="EE52" i="406"/>
  <c r="ED52" i="406"/>
  <c r="EC52" i="406"/>
  <c r="EB52" i="406"/>
  <c r="EA52" i="406"/>
  <c r="DZ52" i="406"/>
  <c r="DY52" i="406"/>
  <c r="DX52" i="406"/>
  <c r="DW52" i="406"/>
  <c r="DT52" i="406"/>
  <c r="DS52" i="406"/>
  <c r="DR52" i="406"/>
  <c r="DQ52" i="406"/>
  <c r="DP52" i="406"/>
  <c r="DO52" i="406"/>
  <c r="DN52" i="406"/>
  <c r="DM52" i="406"/>
  <c r="DL52" i="406"/>
  <c r="DK52" i="406"/>
  <c r="DJ52" i="406"/>
  <c r="DI52" i="406"/>
  <c r="DH52" i="406"/>
  <c r="DG52" i="406"/>
  <c r="DF52" i="406"/>
  <c r="DE52" i="406"/>
  <c r="DD52" i="406"/>
  <c r="DC52" i="406"/>
  <c r="DB52" i="406"/>
  <c r="DA52" i="406"/>
  <c r="CZ52" i="406"/>
  <c r="CY52" i="406"/>
  <c r="CX52" i="406"/>
  <c r="CW52" i="406"/>
  <c r="CV52" i="406"/>
  <c r="CU52" i="406"/>
  <c r="CT52" i="406"/>
  <c r="CS52" i="406"/>
  <c r="CR52" i="406"/>
  <c r="CQ52" i="406"/>
  <c r="CP52" i="406"/>
  <c r="CO52" i="406"/>
  <c r="CN52" i="406"/>
  <c r="CM52" i="406"/>
  <c r="CL52" i="406"/>
  <c r="CK52" i="406"/>
  <c r="CJ52" i="406"/>
  <c r="CI52" i="406"/>
  <c r="CH52" i="406"/>
  <c r="CG52" i="406"/>
  <c r="CF52" i="406"/>
  <c r="CE52" i="406"/>
  <c r="CD52" i="406"/>
  <c r="CC52" i="406"/>
  <c r="CB52" i="406"/>
  <c r="CA52" i="406"/>
  <c r="BZ52" i="406"/>
  <c r="BY52" i="406"/>
  <c r="BX52" i="406"/>
  <c r="BW52" i="406"/>
  <c r="BV52" i="406"/>
  <c r="BU52" i="406"/>
  <c r="BT52" i="406"/>
  <c r="BS52" i="406"/>
  <c r="BR52" i="406"/>
  <c r="BQ52" i="406"/>
  <c r="BP52" i="406"/>
  <c r="BO52" i="406"/>
  <c r="BN52" i="406"/>
  <c r="BM52" i="406"/>
  <c r="BL52" i="406"/>
  <c r="BK52" i="406"/>
  <c r="BJ52" i="406"/>
  <c r="BI52" i="406"/>
  <c r="BH52" i="406"/>
  <c r="BG52" i="406"/>
  <c r="BF52" i="406"/>
  <c r="BE52" i="406"/>
  <c r="BD52" i="406"/>
  <c r="BC52" i="406"/>
  <c r="BB52" i="406"/>
  <c r="BA52" i="406"/>
  <c r="AZ52" i="406"/>
  <c r="AY52" i="406"/>
  <c r="AX52" i="406"/>
  <c r="AW52" i="406"/>
  <c r="AV52" i="406"/>
  <c r="AU52" i="406"/>
  <c r="AT52" i="406"/>
  <c r="AS52" i="406"/>
  <c r="AR52" i="406"/>
  <c r="AQ52" i="406"/>
  <c r="AP52" i="406"/>
  <c r="AO52" i="406"/>
  <c r="AN52" i="406"/>
  <c r="AM52" i="406"/>
  <c r="AL52" i="406"/>
  <c r="AK52" i="406"/>
  <c r="AJ52" i="406"/>
  <c r="AI52" i="406"/>
  <c r="AH52" i="406"/>
  <c r="AG52" i="406"/>
  <c r="AF52" i="406"/>
  <c r="AE52" i="406"/>
  <c r="AD52" i="406"/>
  <c r="AC52" i="406"/>
  <c r="AB52" i="406"/>
  <c r="AA52" i="406"/>
  <c r="Z52" i="406"/>
  <c r="Y52" i="406"/>
  <c r="T52" i="406"/>
  <c r="U52" i="406" s="1"/>
  <c r="R52" i="406"/>
  <c r="Q52" i="406"/>
  <c r="O52" i="406"/>
  <c r="N52" i="406"/>
  <c r="M52" i="406"/>
  <c r="G52" i="406"/>
  <c r="C52" i="406"/>
  <c r="HR51" i="406"/>
  <c r="HQ51" i="406"/>
  <c r="HP51" i="406"/>
  <c r="HO51" i="406"/>
  <c r="HN51" i="406"/>
  <c r="HM51" i="406"/>
  <c r="HL51" i="406"/>
  <c r="HK51" i="406"/>
  <c r="HJ51" i="406"/>
  <c r="HI51" i="406"/>
  <c r="HH51" i="406"/>
  <c r="HG51" i="406"/>
  <c r="HF51" i="406"/>
  <c r="HE51" i="406"/>
  <c r="HD51" i="406"/>
  <c r="HC51" i="406"/>
  <c r="HB51" i="406"/>
  <c r="HA51" i="406"/>
  <c r="GZ51" i="406"/>
  <c r="GY51" i="406"/>
  <c r="GX51" i="406"/>
  <c r="GW51" i="406"/>
  <c r="GV51" i="406"/>
  <c r="GU51" i="406"/>
  <c r="GT51" i="406"/>
  <c r="GS51" i="406"/>
  <c r="GR51" i="406"/>
  <c r="GQ51" i="406"/>
  <c r="GP51" i="406"/>
  <c r="GO51" i="406"/>
  <c r="GN51" i="406"/>
  <c r="GM51" i="406"/>
  <c r="GL51" i="406"/>
  <c r="GK51" i="406"/>
  <c r="GJ51" i="406"/>
  <c r="GI51" i="406"/>
  <c r="GH51" i="406"/>
  <c r="GG51" i="406"/>
  <c r="GF51" i="406"/>
  <c r="GE51" i="406"/>
  <c r="GD51" i="406"/>
  <c r="GC51" i="406"/>
  <c r="GB51" i="406"/>
  <c r="GA51" i="406"/>
  <c r="FZ51" i="406"/>
  <c r="FY51" i="406"/>
  <c r="FX51" i="406"/>
  <c r="FW51" i="406"/>
  <c r="FV51" i="406"/>
  <c r="FU51" i="406"/>
  <c r="FT51" i="406"/>
  <c r="FS51" i="406"/>
  <c r="FR51" i="406"/>
  <c r="FQ51" i="406"/>
  <c r="FP51" i="406"/>
  <c r="FO51" i="406"/>
  <c r="FN51" i="406"/>
  <c r="FM51" i="406"/>
  <c r="FL51" i="406"/>
  <c r="FK51" i="406"/>
  <c r="FJ51" i="406"/>
  <c r="FI51" i="406"/>
  <c r="FH51" i="406"/>
  <c r="FG51" i="406"/>
  <c r="FF51" i="406"/>
  <c r="FE51" i="406"/>
  <c r="FD51" i="406"/>
  <c r="FC51" i="406"/>
  <c r="FB51" i="406"/>
  <c r="FA51" i="406"/>
  <c r="EZ51" i="406"/>
  <c r="EY51" i="406"/>
  <c r="EX51" i="406"/>
  <c r="EW51" i="406"/>
  <c r="EV51" i="406"/>
  <c r="EU51" i="406"/>
  <c r="ET51" i="406"/>
  <c r="ES51" i="406"/>
  <c r="ER51" i="406"/>
  <c r="EQ51" i="406"/>
  <c r="EP51" i="406"/>
  <c r="EO51" i="406"/>
  <c r="EN51" i="406"/>
  <c r="EM51" i="406"/>
  <c r="EL51" i="406"/>
  <c r="EK51" i="406"/>
  <c r="EJ51" i="406"/>
  <c r="EI51" i="406"/>
  <c r="EH51" i="406"/>
  <c r="EG51" i="406"/>
  <c r="EF51" i="406"/>
  <c r="EE51" i="406"/>
  <c r="ED51" i="406"/>
  <c r="EC51" i="406"/>
  <c r="EB51" i="406"/>
  <c r="EA51" i="406"/>
  <c r="DZ51" i="406"/>
  <c r="DY51" i="406"/>
  <c r="DX51" i="406"/>
  <c r="DW51" i="406"/>
  <c r="DT51" i="406"/>
  <c r="DS51" i="406"/>
  <c r="DR51" i="406"/>
  <c r="DQ51" i="406"/>
  <c r="DP51" i="406"/>
  <c r="DO51" i="406"/>
  <c r="DN51" i="406"/>
  <c r="DM51" i="406"/>
  <c r="DL51" i="406"/>
  <c r="DK51" i="406"/>
  <c r="DJ51" i="406"/>
  <c r="DI51" i="406"/>
  <c r="DH51" i="406"/>
  <c r="DG51" i="406"/>
  <c r="DF51" i="406"/>
  <c r="DE51" i="406"/>
  <c r="DD51" i="406"/>
  <c r="DC51" i="406"/>
  <c r="DB51" i="406"/>
  <c r="DA51" i="406"/>
  <c r="CZ51" i="406"/>
  <c r="CY51" i="406"/>
  <c r="CX51" i="406"/>
  <c r="CW51" i="406"/>
  <c r="CV51" i="406"/>
  <c r="CU51" i="406"/>
  <c r="CT51" i="406"/>
  <c r="CS51" i="406"/>
  <c r="CR51" i="406"/>
  <c r="CQ51" i="406"/>
  <c r="CP51" i="406"/>
  <c r="CO51" i="406"/>
  <c r="CN51" i="406"/>
  <c r="CM51" i="406"/>
  <c r="CL51" i="406"/>
  <c r="CK51" i="406"/>
  <c r="CJ51" i="406"/>
  <c r="CI51" i="406"/>
  <c r="CH51" i="406"/>
  <c r="CG51" i="406"/>
  <c r="CF51" i="406"/>
  <c r="CE51" i="406"/>
  <c r="CD51" i="406"/>
  <c r="CC51" i="406"/>
  <c r="CB51" i="406"/>
  <c r="CA51" i="406"/>
  <c r="BZ51" i="406"/>
  <c r="BY51" i="406"/>
  <c r="BX51" i="406"/>
  <c r="BW51" i="406"/>
  <c r="BV51" i="406"/>
  <c r="BU51" i="406"/>
  <c r="BT51" i="406"/>
  <c r="BS51" i="406"/>
  <c r="BR51" i="406"/>
  <c r="BQ51" i="406"/>
  <c r="BP51" i="406"/>
  <c r="BO51" i="406"/>
  <c r="BN51" i="406"/>
  <c r="BM51" i="406"/>
  <c r="BL51" i="406"/>
  <c r="BK51" i="406"/>
  <c r="BJ51" i="406"/>
  <c r="BI51" i="406"/>
  <c r="BH51" i="406"/>
  <c r="BG51" i="406"/>
  <c r="BF51" i="406"/>
  <c r="BE51" i="406"/>
  <c r="BD51" i="406"/>
  <c r="BC51" i="406"/>
  <c r="BB51" i="406"/>
  <c r="BA51" i="406"/>
  <c r="AZ51" i="406"/>
  <c r="AY51" i="406"/>
  <c r="AX51" i="406"/>
  <c r="AW51" i="406"/>
  <c r="AV51" i="406"/>
  <c r="AU51" i="406"/>
  <c r="AT51" i="406"/>
  <c r="AS51" i="406"/>
  <c r="AR51" i="406"/>
  <c r="AQ51" i="406"/>
  <c r="AP51" i="406"/>
  <c r="AO51" i="406"/>
  <c r="AN51" i="406"/>
  <c r="AM51" i="406"/>
  <c r="AL51" i="406"/>
  <c r="AK51" i="406"/>
  <c r="AJ51" i="406"/>
  <c r="AI51" i="406"/>
  <c r="AH51" i="406"/>
  <c r="AG51" i="406"/>
  <c r="AF51" i="406"/>
  <c r="AE51" i="406"/>
  <c r="AD51" i="406"/>
  <c r="AC51" i="406"/>
  <c r="AB51" i="406"/>
  <c r="AA51" i="406"/>
  <c r="Z51" i="406"/>
  <c r="Y51" i="406"/>
  <c r="T51" i="406"/>
  <c r="U51" i="406" s="1"/>
  <c r="R51" i="406"/>
  <c r="Q51" i="406"/>
  <c r="O51" i="406"/>
  <c r="N51" i="406"/>
  <c r="M51" i="406"/>
  <c r="G51" i="406"/>
  <c r="C51" i="406"/>
  <c r="HR50" i="406"/>
  <c r="HQ50" i="406"/>
  <c r="HP50" i="406"/>
  <c r="HO50" i="406"/>
  <c r="HN50" i="406"/>
  <c r="HM50" i="406"/>
  <c r="HL50" i="406"/>
  <c r="HK50" i="406"/>
  <c r="HJ50" i="406"/>
  <c r="HI50" i="406"/>
  <c r="HH50" i="406"/>
  <c r="HG50" i="406"/>
  <c r="HF50" i="406"/>
  <c r="HE50" i="406"/>
  <c r="HD50" i="406"/>
  <c r="HC50" i="406"/>
  <c r="HB50" i="406"/>
  <c r="HA50" i="406"/>
  <c r="GZ50" i="406"/>
  <c r="GY50" i="406"/>
  <c r="GX50" i="406"/>
  <c r="GW50" i="406"/>
  <c r="GV50" i="406"/>
  <c r="GU50" i="406"/>
  <c r="GT50" i="406"/>
  <c r="GS50" i="406"/>
  <c r="GR50" i="406"/>
  <c r="GQ50" i="406"/>
  <c r="GP50" i="406"/>
  <c r="GO50" i="406"/>
  <c r="GN50" i="406"/>
  <c r="GM50" i="406"/>
  <c r="GL50" i="406"/>
  <c r="GK50" i="406"/>
  <c r="GJ50" i="406"/>
  <c r="GI50" i="406"/>
  <c r="GH50" i="406"/>
  <c r="GG50" i="406"/>
  <c r="GF50" i="406"/>
  <c r="GE50" i="406"/>
  <c r="GD50" i="406"/>
  <c r="GC50" i="406"/>
  <c r="GB50" i="406"/>
  <c r="GA50" i="406"/>
  <c r="FZ50" i="406"/>
  <c r="FY50" i="406"/>
  <c r="FX50" i="406"/>
  <c r="FW50" i="406"/>
  <c r="FV50" i="406"/>
  <c r="FU50" i="406"/>
  <c r="FT50" i="406"/>
  <c r="FS50" i="406"/>
  <c r="FR50" i="406"/>
  <c r="FQ50" i="406"/>
  <c r="FP50" i="406"/>
  <c r="FO50" i="406"/>
  <c r="FN50" i="406"/>
  <c r="FM50" i="406"/>
  <c r="FL50" i="406"/>
  <c r="FK50" i="406"/>
  <c r="FJ50" i="406"/>
  <c r="FI50" i="406"/>
  <c r="FH50" i="406"/>
  <c r="FG50" i="406"/>
  <c r="FF50" i="406"/>
  <c r="FE50" i="406"/>
  <c r="FD50" i="406"/>
  <c r="FC50" i="406"/>
  <c r="FB50" i="406"/>
  <c r="FA50" i="406"/>
  <c r="EZ50" i="406"/>
  <c r="EY50" i="406"/>
  <c r="EX50" i="406"/>
  <c r="EW50" i="406"/>
  <c r="EV50" i="406"/>
  <c r="EU50" i="406"/>
  <c r="ET50" i="406"/>
  <c r="ES50" i="406"/>
  <c r="ER50" i="406"/>
  <c r="EQ50" i="406"/>
  <c r="EP50" i="406"/>
  <c r="EO50" i="406"/>
  <c r="EN50" i="406"/>
  <c r="EM50" i="406"/>
  <c r="EL50" i="406"/>
  <c r="EK50" i="406"/>
  <c r="EJ50" i="406"/>
  <c r="EI50" i="406"/>
  <c r="EH50" i="406"/>
  <c r="EG50" i="406"/>
  <c r="EF50" i="406"/>
  <c r="EE50" i="406"/>
  <c r="ED50" i="406"/>
  <c r="EC50" i="406"/>
  <c r="EB50" i="406"/>
  <c r="EA50" i="406"/>
  <c r="DZ50" i="406"/>
  <c r="DY50" i="406"/>
  <c r="DX50" i="406"/>
  <c r="DW50" i="406"/>
  <c r="DT50" i="406"/>
  <c r="DS50" i="406"/>
  <c r="DR50" i="406"/>
  <c r="DQ50" i="406"/>
  <c r="DP50" i="406"/>
  <c r="DO50" i="406"/>
  <c r="DN50" i="406"/>
  <c r="DM50" i="406"/>
  <c r="DL50" i="406"/>
  <c r="DK50" i="406"/>
  <c r="DJ50" i="406"/>
  <c r="DI50" i="406"/>
  <c r="DH50" i="406"/>
  <c r="DG50" i="406"/>
  <c r="DF50" i="406"/>
  <c r="DE50" i="406"/>
  <c r="DD50" i="406"/>
  <c r="DC50" i="406"/>
  <c r="DB50" i="406"/>
  <c r="DA50" i="406"/>
  <c r="CZ50" i="406"/>
  <c r="CY50" i="406"/>
  <c r="CX50" i="406"/>
  <c r="CW50" i="406"/>
  <c r="CV50" i="406"/>
  <c r="CU50" i="406"/>
  <c r="CT50" i="406"/>
  <c r="CS50" i="406"/>
  <c r="CR50" i="406"/>
  <c r="CQ50" i="406"/>
  <c r="CP50" i="406"/>
  <c r="CO50" i="406"/>
  <c r="CN50" i="406"/>
  <c r="CM50" i="406"/>
  <c r="CL50" i="406"/>
  <c r="CK50" i="406"/>
  <c r="CJ50" i="406"/>
  <c r="CI50" i="406"/>
  <c r="CH50" i="406"/>
  <c r="CG50" i="406"/>
  <c r="CF50" i="406"/>
  <c r="CE50" i="406"/>
  <c r="CD50" i="406"/>
  <c r="CC50" i="406"/>
  <c r="CB50" i="406"/>
  <c r="CA50" i="406"/>
  <c r="BZ50" i="406"/>
  <c r="BY50" i="406"/>
  <c r="BX50" i="406"/>
  <c r="BW50" i="406"/>
  <c r="BV50" i="406"/>
  <c r="BU50" i="406"/>
  <c r="BT50" i="406"/>
  <c r="BS50" i="406"/>
  <c r="BR50" i="406"/>
  <c r="BQ50" i="406"/>
  <c r="BP50" i="406"/>
  <c r="BO50" i="406"/>
  <c r="BN50" i="406"/>
  <c r="BM50" i="406"/>
  <c r="BL50" i="406"/>
  <c r="BK50" i="406"/>
  <c r="BJ50" i="406"/>
  <c r="BI50" i="406"/>
  <c r="BH50" i="406"/>
  <c r="BG50" i="406"/>
  <c r="BF50" i="406"/>
  <c r="BE50" i="406"/>
  <c r="BD50" i="406"/>
  <c r="BC50" i="406"/>
  <c r="BB50" i="406"/>
  <c r="BA50" i="406"/>
  <c r="AZ50" i="406"/>
  <c r="AY50" i="406"/>
  <c r="AX50" i="406"/>
  <c r="AW50" i="406"/>
  <c r="AV50" i="406"/>
  <c r="AU50" i="406"/>
  <c r="AT50" i="406"/>
  <c r="AS50" i="406"/>
  <c r="AR50" i="406"/>
  <c r="AQ50" i="406"/>
  <c r="AP50" i="406"/>
  <c r="AO50" i="406"/>
  <c r="AN50" i="406"/>
  <c r="AM50" i="406"/>
  <c r="AL50" i="406"/>
  <c r="AK50" i="406"/>
  <c r="AJ50" i="406"/>
  <c r="AI50" i="406"/>
  <c r="AH50" i="406"/>
  <c r="AG50" i="406"/>
  <c r="AF50" i="406"/>
  <c r="AE50" i="406"/>
  <c r="AD50" i="406"/>
  <c r="AC50" i="406"/>
  <c r="AB50" i="406"/>
  <c r="AA50" i="406"/>
  <c r="Z50" i="406"/>
  <c r="Y50" i="406"/>
  <c r="T50" i="406"/>
  <c r="U50" i="406" s="1"/>
  <c r="R50" i="406"/>
  <c r="Q50" i="406"/>
  <c r="O50" i="406"/>
  <c r="N50" i="406"/>
  <c r="M50" i="406"/>
  <c r="G50" i="406"/>
  <c r="C50" i="406"/>
  <c r="HR49" i="406"/>
  <c r="HQ49" i="406"/>
  <c r="HP49" i="406"/>
  <c r="HO49" i="406"/>
  <c r="HN49" i="406"/>
  <c r="HM49" i="406"/>
  <c r="HL49" i="406"/>
  <c r="HK49" i="406"/>
  <c r="HJ49" i="406"/>
  <c r="HI49" i="406"/>
  <c r="HH49" i="406"/>
  <c r="HG49" i="406"/>
  <c r="HF49" i="406"/>
  <c r="HE49" i="406"/>
  <c r="HD49" i="406"/>
  <c r="HC49" i="406"/>
  <c r="HB49" i="406"/>
  <c r="HA49" i="406"/>
  <c r="GZ49" i="406"/>
  <c r="GY49" i="406"/>
  <c r="GW49" i="406"/>
  <c r="GV49" i="406"/>
  <c r="GU49" i="406"/>
  <c r="GT49" i="406"/>
  <c r="GS49" i="406"/>
  <c r="GR49" i="406"/>
  <c r="GQ49" i="406"/>
  <c r="GP49" i="406"/>
  <c r="GO49" i="406"/>
  <c r="GN49" i="406"/>
  <c r="GM49" i="406"/>
  <c r="GL49" i="406"/>
  <c r="GK49" i="406"/>
  <c r="GJ49" i="406"/>
  <c r="GI49" i="406"/>
  <c r="GH49" i="406"/>
  <c r="GG49" i="406"/>
  <c r="GF49" i="406"/>
  <c r="GE49" i="406"/>
  <c r="GD49" i="406"/>
  <c r="GC49" i="406"/>
  <c r="GB49" i="406"/>
  <c r="GA49" i="406"/>
  <c r="FZ49" i="406"/>
  <c r="FY49" i="406"/>
  <c r="FX49" i="406"/>
  <c r="FW49" i="406"/>
  <c r="FV49" i="406"/>
  <c r="FU49" i="406"/>
  <c r="FT49" i="406"/>
  <c r="FS49" i="406"/>
  <c r="FR49" i="406"/>
  <c r="FQ49" i="406"/>
  <c r="FP49" i="406"/>
  <c r="FO49" i="406"/>
  <c r="FN49" i="406"/>
  <c r="FM49" i="406"/>
  <c r="FL49" i="406"/>
  <c r="FK49" i="406"/>
  <c r="FJ49" i="406"/>
  <c r="FI49" i="406"/>
  <c r="FH49" i="406"/>
  <c r="FG49" i="406"/>
  <c r="FF49" i="406"/>
  <c r="FE49" i="406"/>
  <c r="FD49" i="406"/>
  <c r="FC49" i="406"/>
  <c r="FB49" i="406"/>
  <c r="FA49" i="406"/>
  <c r="EZ49" i="406"/>
  <c r="EY49" i="406"/>
  <c r="EX49" i="406"/>
  <c r="EW49" i="406"/>
  <c r="EV49" i="406"/>
  <c r="EU49" i="406"/>
  <c r="ET49" i="406"/>
  <c r="ES49" i="406"/>
  <c r="ER49" i="406"/>
  <c r="EQ49" i="406"/>
  <c r="EP49" i="406"/>
  <c r="EO49" i="406"/>
  <c r="EN49" i="406"/>
  <c r="EM49" i="406"/>
  <c r="EL49" i="406"/>
  <c r="EK49" i="406"/>
  <c r="EJ49" i="406"/>
  <c r="EI49" i="406"/>
  <c r="EH49" i="406"/>
  <c r="EG49" i="406"/>
  <c r="EF49" i="406"/>
  <c r="EE49" i="406"/>
  <c r="ED49" i="406"/>
  <c r="EC49" i="406"/>
  <c r="EB49" i="406"/>
  <c r="EA49" i="406"/>
  <c r="DZ49" i="406"/>
  <c r="DY49" i="406"/>
  <c r="DX49" i="406"/>
  <c r="DW49" i="406"/>
  <c r="DT49" i="406"/>
  <c r="DS49" i="406"/>
  <c r="DR49" i="406"/>
  <c r="DQ49" i="406"/>
  <c r="DP49" i="406"/>
  <c r="DO49" i="406"/>
  <c r="DN49" i="406"/>
  <c r="DM49" i="406"/>
  <c r="DL49" i="406"/>
  <c r="DK49" i="406"/>
  <c r="DJ49" i="406"/>
  <c r="DI49" i="406"/>
  <c r="DH49" i="406"/>
  <c r="DG49" i="406"/>
  <c r="DF49" i="406"/>
  <c r="DE49" i="406"/>
  <c r="DD49" i="406"/>
  <c r="DC49" i="406"/>
  <c r="DB49" i="406"/>
  <c r="DA49" i="406"/>
  <c r="CY49" i="406"/>
  <c r="CX49" i="406"/>
  <c r="CW49" i="406"/>
  <c r="CV49" i="406"/>
  <c r="CU49" i="406"/>
  <c r="CT49" i="406"/>
  <c r="CS49" i="406"/>
  <c r="CR49" i="406"/>
  <c r="CQ49" i="406"/>
  <c r="CP49" i="406"/>
  <c r="CO49" i="406"/>
  <c r="CN49" i="406"/>
  <c r="CM49" i="406"/>
  <c r="CL49" i="406"/>
  <c r="CK49" i="406"/>
  <c r="CJ49" i="406"/>
  <c r="CI49" i="406"/>
  <c r="CH49" i="406"/>
  <c r="CG49" i="406"/>
  <c r="CF49" i="406"/>
  <c r="CE49" i="406"/>
  <c r="CD49" i="406"/>
  <c r="CC49" i="406"/>
  <c r="CB49" i="406"/>
  <c r="CA49" i="406"/>
  <c r="BZ49" i="406"/>
  <c r="BY49" i="406"/>
  <c r="BX49" i="406"/>
  <c r="BW49" i="406"/>
  <c r="BV49" i="406"/>
  <c r="BU49" i="406"/>
  <c r="BT49" i="406"/>
  <c r="BS49" i="406"/>
  <c r="BR49" i="406"/>
  <c r="BQ49" i="406"/>
  <c r="BP49" i="406"/>
  <c r="BO49" i="406"/>
  <c r="BN49" i="406"/>
  <c r="BM49" i="406"/>
  <c r="BL49" i="406"/>
  <c r="BK49" i="406"/>
  <c r="BJ49" i="406"/>
  <c r="BI49" i="406"/>
  <c r="BH49" i="406"/>
  <c r="BG49" i="406"/>
  <c r="BF49" i="406"/>
  <c r="BE49" i="406"/>
  <c r="BD49" i="406"/>
  <c r="BC49" i="406"/>
  <c r="BB49" i="406"/>
  <c r="BA49" i="406"/>
  <c r="AZ49" i="406"/>
  <c r="AY49" i="406"/>
  <c r="AX49" i="406"/>
  <c r="AW49" i="406"/>
  <c r="AV49" i="406"/>
  <c r="AU49" i="406"/>
  <c r="AT49" i="406"/>
  <c r="AS49" i="406"/>
  <c r="AR49" i="406"/>
  <c r="AQ49" i="406"/>
  <c r="AP49" i="406"/>
  <c r="AO49" i="406"/>
  <c r="AN49" i="406"/>
  <c r="AM49" i="406"/>
  <c r="AL49" i="406"/>
  <c r="AK49" i="406"/>
  <c r="AJ49" i="406"/>
  <c r="AI49" i="406"/>
  <c r="AH49" i="406"/>
  <c r="AG49" i="406"/>
  <c r="AF49" i="406"/>
  <c r="AE49" i="406"/>
  <c r="AD49" i="406"/>
  <c r="AC49" i="406"/>
  <c r="AB49" i="406"/>
  <c r="AA49" i="406"/>
  <c r="Z49" i="406"/>
  <c r="Y49" i="406"/>
  <c r="T49" i="406"/>
  <c r="U49" i="406" s="1"/>
  <c r="CZ49" i="406" s="1"/>
  <c r="R49" i="406"/>
  <c r="N49" i="406"/>
  <c r="G49" i="406"/>
  <c r="C49" i="406"/>
  <c r="HR48" i="406"/>
  <c r="HQ48" i="406"/>
  <c r="HP48" i="406"/>
  <c r="HO48" i="406"/>
  <c r="HN48" i="406"/>
  <c r="HM48" i="406"/>
  <c r="HL48" i="406"/>
  <c r="HK48" i="406"/>
  <c r="HJ48" i="406"/>
  <c r="HI48" i="406"/>
  <c r="HH48" i="406"/>
  <c r="HG48" i="406"/>
  <c r="HF48" i="406"/>
  <c r="HE48" i="406"/>
  <c r="HD48" i="406"/>
  <c r="HC48" i="406"/>
  <c r="HB48" i="406"/>
  <c r="HA48" i="406"/>
  <c r="GZ48" i="406"/>
  <c r="GY48" i="406"/>
  <c r="GX48" i="406"/>
  <c r="GW48" i="406"/>
  <c r="GV48" i="406"/>
  <c r="GU48" i="406"/>
  <c r="GT48" i="406"/>
  <c r="GS48" i="406"/>
  <c r="GR48" i="406"/>
  <c r="GQ48" i="406"/>
  <c r="GP48" i="406"/>
  <c r="GO48" i="406"/>
  <c r="GN48" i="406"/>
  <c r="GM48" i="406"/>
  <c r="GL48" i="406"/>
  <c r="GK48" i="406"/>
  <c r="GJ48" i="406"/>
  <c r="GI48" i="406"/>
  <c r="GH48" i="406"/>
  <c r="GG48" i="406"/>
  <c r="GF48" i="406"/>
  <c r="GE48" i="406"/>
  <c r="GD48" i="406"/>
  <c r="GC48" i="406"/>
  <c r="GB48" i="406"/>
  <c r="GA48" i="406"/>
  <c r="FZ48" i="406"/>
  <c r="FY48" i="406"/>
  <c r="FX48" i="406"/>
  <c r="FW48" i="406"/>
  <c r="FV48" i="406"/>
  <c r="FU48" i="406"/>
  <c r="FT48" i="406"/>
  <c r="FS48" i="406"/>
  <c r="FR48" i="406"/>
  <c r="FQ48" i="406"/>
  <c r="FP48" i="406"/>
  <c r="FO48" i="406"/>
  <c r="FN48" i="406"/>
  <c r="FM48" i="406"/>
  <c r="FL48" i="406"/>
  <c r="FK48" i="406"/>
  <c r="FJ48" i="406"/>
  <c r="FI48" i="406"/>
  <c r="FH48" i="406"/>
  <c r="FG48" i="406"/>
  <c r="FF48" i="406"/>
  <c r="FE48" i="406"/>
  <c r="FD48" i="406"/>
  <c r="FC48" i="406"/>
  <c r="FB48" i="406"/>
  <c r="FA48" i="406"/>
  <c r="EZ48" i="406"/>
  <c r="EY48" i="406"/>
  <c r="EX48" i="406"/>
  <c r="EW48" i="406"/>
  <c r="EV48" i="406"/>
  <c r="EU48" i="406"/>
  <c r="ET48" i="406"/>
  <c r="ES48" i="406"/>
  <c r="ER48" i="406"/>
  <c r="EQ48" i="406"/>
  <c r="EP48" i="406"/>
  <c r="EO48" i="406"/>
  <c r="EN48" i="406"/>
  <c r="EM48" i="406"/>
  <c r="EL48" i="406"/>
  <c r="EK48" i="406"/>
  <c r="EJ48" i="406"/>
  <c r="EI48" i="406"/>
  <c r="EH48" i="406"/>
  <c r="EG48" i="406"/>
  <c r="EF48" i="406"/>
  <c r="EE48" i="406"/>
  <c r="ED48" i="406"/>
  <c r="EC48" i="406"/>
  <c r="EB48" i="406"/>
  <c r="EA48" i="406"/>
  <c r="DZ48" i="406"/>
  <c r="DY48" i="406"/>
  <c r="DX48" i="406"/>
  <c r="DW48" i="406"/>
  <c r="DT48" i="406"/>
  <c r="DS48" i="406"/>
  <c r="DR48" i="406"/>
  <c r="DQ48" i="406"/>
  <c r="DP48" i="406"/>
  <c r="DO48" i="406"/>
  <c r="DN48" i="406"/>
  <c r="DM48" i="406"/>
  <c r="DL48" i="406"/>
  <c r="DK48" i="406"/>
  <c r="DJ48" i="406"/>
  <c r="DI48" i="406"/>
  <c r="DH48" i="406"/>
  <c r="DG48" i="406"/>
  <c r="DF48" i="406"/>
  <c r="DE48" i="406"/>
  <c r="DD48" i="406"/>
  <c r="DC48" i="406"/>
  <c r="DB48" i="406"/>
  <c r="DA48" i="406"/>
  <c r="CZ48" i="406"/>
  <c r="CY48" i="406"/>
  <c r="CX48" i="406"/>
  <c r="CW48" i="406"/>
  <c r="CV48" i="406"/>
  <c r="CU48" i="406"/>
  <c r="CT48" i="406"/>
  <c r="CS48" i="406"/>
  <c r="CR48" i="406"/>
  <c r="CQ48" i="406"/>
  <c r="CP48" i="406"/>
  <c r="CO48" i="406"/>
  <c r="CN48" i="406"/>
  <c r="CM48" i="406"/>
  <c r="CL48" i="406"/>
  <c r="CK48" i="406"/>
  <c r="CJ48" i="406"/>
  <c r="CI48" i="406"/>
  <c r="CH48" i="406"/>
  <c r="CG48" i="406"/>
  <c r="CF48" i="406"/>
  <c r="CE48" i="406"/>
  <c r="CD48" i="406"/>
  <c r="CC48" i="406"/>
  <c r="CB48" i="406"/>
  <c r="CA48" i="406"/>
  <c r="BZ48" i="406"/>
  <c r="BY48" i="406"/>
  <c r="BX48" i="406"/>
  <c r="BW48" i="406"/>
  <c r="BV48" i="406"/>
  <c r="BU48" i="406"/>
  <c r="BT48" i="406"/>
  <c r="BS48" i="406"/>
  <c r="BR48" i="406"/>
  <c r="BQ48" i="406"/>
  <c r="BP48" i="406"/>
  <c r="BO48" i="406"/>
  <c r="BN48" i="406"/>
  <c r="BM48" i="406"/>
  <c r="BL48" i="406"/>
  <c r="BK48" i="406"/>
  <c r="BJ48" i="406"/>
  <c r="BI48" i="406"/>
  <c r="BH48" i="406"/>
  <c r="BG48" i="406"/>
  <c r="BF48" i="406"/>
  <c r="BE48" i="406"/>
  <c r="BD48" i="406"/>
  <c r="BC48" i="406"/>
  <c r="BB48" i="406"/>
  <c r="BA48" i="406"/>
  <c r="AZ48" i="406"/>
  <c r="AY48" i="406"/>
  <c r="AX48" i="406"/>
  <c r="AW48" i="406"/>
  <c r="AV48" i="406"/>
  <c r="AU48" i="406"/>
  <c r="AT48" i="406"/>
  <c r="AS48" i="406"/>
  <c r="AR48" i="406"/>
  <c r="AQ48" i="406"/>
  <c r="AP48" i="406"/>
  <c r="AO48" i="406"/>
  <c r="AN48" i="406"/>
  <c r="AM48" i="406"/>
  <c r="AL48" i="406"/>
  <c r="AK48" i="406"/>
  <c r="AJ48" i="406"/>
  <c r="AI48" i="406"/>
  <c r="AH48" i="406"/>
  <c r="AG48" i="406"/>
  <c r="AF48" i="406"/>
  <c r="AE48" i="406"/>
  <c r="AD48" i="406"/>
  <c r="AC48" i="406"/>
  <c r="AB48" i="406"/>
  <c r="AA48" i="406"/>
  <c r="Z48" i="406"/>
  <c r="Y48" i="406"/>
  <c r="T48" i="406"/>
  <c r="U48" i="406" s="1"/>
  <c r="R48" i="406"/>
  <c r="Q48" i="406"/>
  <c r="O48" i="406"/>
  <c r="N48" i="406"/>
  <c r="M48" i="406"/>
  <c r="G48" i="406"/>
  <c r="C48" i="406"/>
  <c r="HR42" i="406"/>
  <c r="HQ42" i="406"/>
  <c r="HP42" i="406"/>
  <c r="HO42" i="406"/>
  <c r="HN42" i="406"/>
  <c r="HM42" i="406"/>
  <c r="HL42" i="406"/>
  <c r="HK42" i="406"/>
  <c r="HJ42" i="406"/>
  <c r="HI42" i="406"/>
  <c r="HH42" i="406"/>
  <c r="HG42" i="406"/>
  <c r="HF42" i="406"/>
  <c r="HE42" i="406"/>
  <c r="HD42" i="406"/>
  <c r="HC42" i="406"/>
  <c r="HB42" i="406"/>
  <c r="HA42" i="406"/>
  <c r="GZ42" i="406"/>
  <c r="GY42" i="406"/>
  <c r="GX42" i="406"/>
  <c r="GW42" i="406"/>
  <c r="GV42" i="406"/>
  <c r="GU42" i="406"/>
  <c r="GT42" i="406"/>
  <c r="GS42" i="406"/>
  <c r="GR42" i="406"/>
  <c r="GQ42" i="406"/>
  <c r="GP42" i="406"/>
  <c r="GO42" i="406"/>
  <c r="GN42" i="406"/>
  <c r="GM42" i="406"/>
  <c r="GL42" i="406"/>
  <c r="GK42" i="406"/>
  <c r="GJ42" i="406"/>
  <c r="GI42" i="406"/>
  <c r="GH42" i="406"/>
  <c r="GG42" i="406"/>
  <c r="GF42" i="406"/>
  <c r="GE42" i="406"/>
  <c r="GD42" i="406"/>
  <c r="GC42" i="406"/>
  <c r="GB42" i="406"/>
  <c r="GA42" i="406"/>
  <c r="FZ42" i="406"/>
  <c r="FY42" i="406"/>
  <c r="FX42" i="406"/>
  <c r="FW42" i="406"/>
  <c r="FV42" i="406"/>
  <c r="FU42" i="406"/>
  <c r="FT42" i="406"/>
  <c r="FS42" i="406"/>
  <c r="FR42" i="406"/>
  <c r="FQ42" i="406"/>
  <c r="FP42" i="406"/>
  <c r="FO42" i="406"/>
  <c r="FN42" i="406"/>
  <c r="FM42" i="406"/>
  <c r="FL42" i="406"/>
  <c r="FK42" i="406"/>
  <c r="FJ42" i="406"/>
  <c r="FI42" i="406"/>
  <c r="FH42" i="406"/>
  <c r="FG42" i="406"/>
  <c r="FF42" i="406"/>
  <c r="FE42" i="406"/>
  <c r="FD42" i="406"/>
  <c r="FC42" i="406"/>
  <c r="FB42" i="406"/>
  <c r="FA42" i="406"/>
  <c r="EZ42" i="406"/>
  <c r="EY42" i="406"/>
  <c r="EX42" i="406"/>
  <c r="EW42" i="406"/>
  <c r="EV42" i="406"/>
  <c r="EU42" i="406"/>
  <c r="ET42" i="406"/>
  <c r="ES42" i="406"/>
  <c r="ER42" i="406"/>
  <c r="EQ42" i="406"/>
  <c r="EP42" i="406"/>
  <c r="EO42" i="406"/>
  <c r="EN42" i="406"/>
  <c r="EM42" i="406"/>
  <c r="EL42" i="406"/>
  <c r="EK42" i="406"/>
  <c r="EJ42" i="406"/>
  <c r="EI42" i="406"/>
  <c r="EH42" i="406"/>
  <c r="EG42" i="406"/>
  <c r="EF42" i="406"/>
  <c r="EE42" i="406"/>
  <c r="ED42" i="406"/>
  <c r="EC42" i="406"/>
  <c r="EB42" i="406"/>
  <c r="EA42" i="406"/>
  <c r="DZ42" i="406"/>
  <c r="DY42" i="406"/>
  <c r="DX42" i="406"/>
  <c r="DW42" i="406"/>
  <c r="DT42" i="406"/>
  <c r="DS42" i="406"/>
  <c r="DR42" i="406"/>
  <c r="DQ42" i="406"/>
  <c r="DP42" i="406"/>
  <c r="DO42" i="406"/>
  <c r="DN42" i="406"/>
  <c r="DM42" i="406"/>
  <c r="DL42" i="406"/>
  <c r="DK42" i="406"/>
  <c r="DJ42" i="406"/>
  <c r="DI42" i="406"/>
  <c r="DH42" i="406"/>
  <c r="DG42" i="406"/>
  <c r="DF42" i="406"/>
  <c r="DE42" i="406"/>
  <c r="DD42" i="406"/>
  <c r="DC42" i="406"/>
  <c r="DB42" i="406"/>
  <c r="DA42" i="406"/>
  <c r="CZ42" i="406"/>
  <c r="CY42" i="406"/>
  <c r="CX42" i="406"/>
  <c r="CW42" i="406"/>
  <c r="CV42" i="406"/>
  <c r="CU42" i="406"/>
  <c r="CT42" i="406"/>
  <c r="CS42" i="406"/>
  <c r="CR42" i="406"/>
  <c r="CQ42" i="406"/>
  <c r="CP42" i="406"/>
  <c r="CO42" i="406"/>
  <c r="CN42" i="406"/>
  <c r="CM42" i="406"/>
  <c r="CL42" i="406"/>
  <c r="CK42" i="406"/>
  <c r="CJ42" i="406"/>
  <c r="CI42" i="406"/>
  <c r="CH42" i="406"/>
  <c r="CG42" i="406"/>
  <c r="CF42" i="406"/>
  <c r="CE42" i="406"/>
  <c r="CD42" i="406"/>
  <c r="CC42" i="406"/>
  <c r="CB42" i="406"/>
  <c r="CA42" i="406"/>
  <c r="BZ42" i="406"/>
  <c r="BY42" i="406"/>
  <c r="BX42" i="406"/>
  <c r="BW42" i="406"/>
  <c r="BV42" i="406"/>
  <c r="BU42" i="406"/>
  <c r="BT42" i="406"/>
  <c r="BS42" i="406"/>
  <c r="BR42" i="406"/>
  <c r="BQ42" i="406"/>
  <c r="BP42" i="406"/>
  <c r="BO42" i="406"/>
  <c r="BN42" i="406"/>
  <c r="BM42" i="406"/>
  <c r="BL42" i="406"/>
  <c r="BK42" i="406"/>
  <c r="BJ42" i="406"/>
  <c r="BI42" i="406"/>
  <c r="BH42" i="406"/>
  <c r="BG42" i="406"/>
  <c r="BF42" i="406"/>
  <c r="BE42" i="406"/>
  <c r="BD42" i="406"/>
  <c r="BC42" i="406"/>
  <c r="BB42" i="406"/>
  <c r="BA42" i="406"/>
  <c r="AZ42" i="406"/>
  <c r="AY42" i="406"/>
  <c r="AX42" i="406"/>
  <c r="AW42" i="406"/>
  <c r="AV42" i="406"/>
  <c r="AU42" i="406"/>
  <c r="AT42" i="406"/>
  <c r="AS42" i="406"/>
  <c r="AR42" i="406"/>
  <c r="AQ42" i="406"/>
  <c r="AP42" i="406"/>
  <c r="AO42" i="406"/>
  <c r="AN42" i="406"/>
  <c r="AM42" i="406"/>
  <c r="AL42" i="406"/>
  <c r="AK42" i="406"/>
  <c r="AJ42" i="406"/>
  <c r="AI42" i="406"/>
  <c r="AH42" i="406"/>
  <c r="AG42" i="406"/>
  <c r="AF42" i="406"/>
  <c r="AE42" i="406"/>
  <c r="AD42" i="406"/>
  <c r="AC42" i="406"/>
  <c r="AB42" i="406"/>
  <c r="AA42" i="406"/>
  <c r="Z42" i="406"/>
  <c r="Y42" i="406"/>
  <c r="T42" i="406"/>
  <c r="U42" i="406" s="1"/>
  <c r="R42" i="406"/>
  <c r="Q42" i="406"/>
  <c r="O42" i="406"/>
  <c r="N42" i="406"/>
  <c r="M42" i="406"/>
  <c r="G42" i="406"/>
  <c r="C42" i="406"/>
  <c r="HR41" i="406"/>
  <c r="HQ41" i="406"/>
  <c r="HP41" i="406"/>
  <c r="HO41" i="406"/>
  <c r="HN41" i="406"/>
  <c r="HM41" i="406"/>
  <c r="HL41" i="406"/>
  <c r="HK41" i="406"/>
  <c r="HJ41" i="406"/>
  <c r="HI41" i="406"/>
  <c r="HH41" i="406"/>
  <c r="HG41" i="406"/>
  <c r="HF41" i="406"/>
  <c r="HE41" i="406"/>
  <c r="HD41" i="406"/>
  <c r="HC41" i="406"/>
  <c r="HB41" i="406"/>
  <c r="HA41" i="406"/>
  <c r="GZ41" i="406"/>
  <c r="GY41" i="406"/>
  <c r="GX41" i="406"/>
  <c r="GW41" i="406"/>
  <c r="GV41" i="406"/>
  <c r="GU41" i="406"/>
  <c r="GT41" i="406"/>
  <c r="GS41" i="406"/>
  <c r="GR41" i="406"/>
  <c r="GQ41" i="406"/>
  <c r="GP41" i="406"/>
  <c r="GO41" i="406"/>
  <c r="GN41" i="406"/>
  <c r="GM41" i="406"/>
  <c r="GL41" i="406"/>
  <c r="GK41" i="406"/>
  <c r="GJ41" i="406"/>
  <c r="GI41" i="406"/>
  <c r="GH41" i="406"/>
  <c r="GG41" i="406"/>
  <c r="GF41" i="406"/>
  <c r="GE41" i="406"/>
  <c r="GD41" i="406"/>
  <c r="GC41" i="406"/>
  <c r="GB41" i="406"/>
  <c r="GA41" i="406"/>
  <c r="FZ41" i="406"/>
  <c r="FY41" i="406"/>
  <c r="FX41" i="406"/>
  <c r="FW41" i="406"/>
  <c r="FV41" i="406"/>
  <c r="FU41" i="406"/>
  <c r="FT41" i="406"/>
  <c r="FS41" i="406"/>
  <c r="FR41" i="406"/>
  <c r="FQ41" i="406"/>
  <c r="FP41" i="406"/>
  <c r="FO41" i="406"/>
  <c r="FN41" i="406"/>
  <c r="FM41" i="406"/>
  <c r="FL41" i="406"/>
  <c r="FK41" i="406"/>
  <c r="FJ41" i="406"/>
  <c r="FI41" i="406"/>
  <c r="FH41" i="406"/>
  <c r="FG41" i="406"/>
  <c r="FF41" i="406"/>
  <c r="FE41" i="406"/>
  <c r="FD41" i="406"/>
  <c r="FC41" i="406"/>
  <c r="FB41" i="406"/>
  <c r="FA41" i="406"/>
  <c r="EZ41" i="406"/>
  <c r="EY41" i="406"/>
  <c r="EX41" i="406"/>
  <c r="EW41" i="406"/>
  <c r="EV41" i="406"/>
  <c r="EU41" i="406"/>
  <c r="ET41" i="406"/>
  <c r="ES41" i="406"/>
  <c r="ER41" i="406"/>
  <c r="EQ41" i="406"/>
  <c r="EP41" i="406"/>
  <c r="EO41" i="406"/>
  <c r="EN41" i="406"/>
  <c r="EM41" i="406"/>
  <c r="EL41" i="406"/>
  <c r="EK41" i="406"/>
  <c r="EJ41" i="406"/>
  <c r="EI41" i="406"/>
  <c r="EH41" i="406"/>
  <c r="EG41" i="406"/>
  <c r="EF41" i="406"/>
  <c r="EE41" i="406"/>
  <c r="ED41" i="406"/>
  <c r="EC41" i="406"/>
  <c r="EB41" i="406"/>
  <c r="EA41" i="406"/>
  <c r="DZ41" i="406"/>
  <c r="DY41" i="406"/>
  <c r="DX41" i="406"/>
  <c r="DW41" i="406"/>
  <c r="DT41" i="406"/>
  <c r="DS41" i="406"/>
  <c r="DR41" i="406"/>
  <c r="DQ41" i="406"/>
  <c r="DP41" i="406"/>
  <c r="DO41" i="406"/>
  <c r="DN41" i="406"/>
  <c r="DM41" i="406"/>
  <c r="DL41" i="406"/>
  <c r="DK41" i="406"/>
  <c r="DJ41" i="406"/>
  <c r="DI41" i="406"/>
  <c r="DH41" i="406"/>
  <c r="DG41" i="406"/>
  <c r="DF41" i="406"/>
  <c r="DE41" i="406"/>
  <c r="DD41" i="406"/>
  <c r="DC41" i="406"/>
  <c r="DB41" i="406"/>
  <c r="DA41" i="406"/>
  <c r="CZ41" i="406"/>
  <c r="CY41" i="406"/>
  <c r="CX41" i="406"/>
  <c r="CW41" i="406"/>
  <c r="CV41" i="406"/>
  <c r="CU41" i="406"/>
  <c r="CT41" i="406"/>
  <c r="CS41" i="406"/>
  <c r="CR41" i="406"/>
  <c r="CQ41" i="406"/>
  <c r="CP41" i="406"/>
  <c r="CO41" i="406"/>
  <c r="CN41" i="406"/>
  <c r="CM41" i="406"/>
  <c r="CL41" i="406"/>
  <c r="CK41" i="406"/>
  <c r="CJ41" i="406"/>
  <c r="CI41" i="406"/>
  <c r="CH41" i="406"/>
  <c r="CG41" i="406"/>
  <c r="CF41" i="406"/>
  <c r="CE41" i="406"/>
  <c r="CD41" i="406"/>
  <c r="CC41" i="406"/>
  <c r="CB41" i="406"/>
  <c r="CA41" i="406"/>
  <c r="BZ41" i="406"/>
  <c r="BY41" i="406"/>
  <c r="BX41" i="406"/>
  <c r="BW41" i="406"/>
  <c r="BV41" i="406"/>
  <c r="BU41" i="406"/>
  <c r="BT41" i="406"/>
  <c r="BS41" i="406"/>
  <c r="BR41" i="406"/>
  <c r="BQ41" i="406"/>
  <c r="BP41" i="406"/>
  <c r="BO41" i="406"/>
  <c r="BN41" i="406"/>
  <c r="BM41" i="406"/>
  <c r="BL41" i="406"/>
  <c r="BK41" i="406"/>
  <c r="BJ41" i="406"/>
  <c r="BI41" i="406"/>
  <c r="BH41" i="406"/>
  <c r="BG41" i="406"/>
  <c r="BF41" i="406"/>
  <c r="BE41" i="406"/>
  <c r="BD41" i="406"/>
  <c r="BC41" i="406"/>
  <c r="BB41" i="406"/>
  <c r="BA41" i="406"/>
  <c r="AZ41" i="406"/>
  <c r="AY41" i="406"/>
  <c r="AX41" i="406"/>
  <c r="AW41" i="406"/>
  <c r="AV41" i="406"/>
  <c r="AU41" i="406"/>
  <c r="AT41" i="406"/>
  <c r="AS41" i="406"/>
  <c r="AR41" i="406"/>
  <c r="AQ41" i="406"/>
  <c r="AP41" i="406"/>
  <c r="AO41" i="406"/>
  <c r="AN41" i="406"/>
  <c r="AM41" i="406"/>
  <c r="AL41" i="406"/>
  <c r="AK41" i="406"/>
  <c r="AJ41" i="406"/>
  <c r="AI41" i="406"/>
  <c r="AH41" i="406"/>
  <c r="AG41" i="406"/>
  <c r="AF41" i="406"/>
  <c r="AE41" i="406"/>
  <c r="AD41" i="406"/>
  <c r="AC41" i="406"/>
  <c r="AB41" i="406"/>
  <c r="AA41" i="406"/>
  <c r="Z41" i="406"/>
  <c r="Y41" i="406"/>
  <c r="T41" i="406"/>
  <c r="U41" i="406" s="1"/>
  <c r="R41" i="406"/>
  <c r="Q41" i="406"/>
  <c r="O41" i="406"/>
  <c r="N41" i="406"/>
  <c r="M41" i="406"/>
  <c r="G41" i="406"/>
  <c r="C41" i="406"/>
  <c r="HR40" i="406"/>
  <c r="HQ40" i="406"/>
  <c r="HP40" i="406"/>
  <c r="HO40" i="406"/>
  <c r="HN40" i="406"/>
  <c r="HM40" i="406"/>
  <c r="HL40" i="406"/>
  <c r="HK40" i="406"/>
  <c r="HJ40" i="406"/>
  <c r="HI40" i="406"/>
  <c r="HH40" i="406"/>
  <c r="HG40" i="406"/>
  <c r="HF40" i="406"/>
  <c r="HE40" i="406"/>
  <c r="HD40" i="406"/>
  <c r="HC40" i="406"/>
  <c r="HB40" i="406"/>
  <c r="HA40" i="406"/>
  <c r="GZ40" i="406"/>
  <c r="GY40" i="406"/>
  <c r="GX40" i="406"/>
  <c r="GW40" i="406"/>
  <c r="GV40" i="406"/>
  <c r="GU40" i="406"/>
  <c r="GT40" i="406"/>
  <c r="GS40" i="406"/>
  <c r="GR40" i="406"/>
  <c r="GQ40" i="406"/>
  <c r="GP40" i="406"/>
  <c r="GO40" i="406"/>
  <c r="GN40" i="406"/>
  <c r="GM40" i="406"/>
  <c r="GL40" i="406"/>
  <c r="GK40" i="406"/>
  <c r="GJ40" i="406"/>
  <c r="GI40" i="406"/>
  <c r="GH40" i="406"/>
  <c r="GG40" i="406"/>
  <c r="GF40" i="406"/>
  <c r="GE40" i="406"/>
  <c r="GD40" i="406"/>
  <c r="GC40" i="406"/>
  <c r="GB40" i="406"/>
  <c r="GA40" i="406"/>
  <c r="FZ40" i="406"/>
  <c r="FY40" i="406"/>
  <c r="FX40" i="406"/>
  <c r="FW40" i="406"/>
  <c r="FV40" i="406"/>
  <c r="FU40" i="406"/>
  <c r="FT40" i="406"/>
  <c r="FS40" i="406"/>
  <c r="FR40" i="406"/>
  <c r="FQ40" i="406"/>
  <c r="FP40" i="406"/>
  <c r="FO40" i="406"/>
  <c r="FN40" i="406"/>
  <c r="FM40" i="406"/>
  <c r="FL40" i="406"/>
  <c r="FK40" i="406"/>
  <c r="FJ40" i="406"/>
  <c r="FI40" i="406"/>
  <c r="FH40" i="406"/>
  <c r="FG40" i="406"/>
  <c r="FF40" i="406"/>
  <c r="FE40" i="406"/>
  <c r="FD40" i="406"/>
  <c r="FC40" i="406"/>
  <c r="FB40" i="406"/>
  <c r="FA40" i="406"/>
  <c r="EZ40" i="406"/>
  <c r="EY40" i="406"/>
  <c r="EX40" i="406"/>
  <c r="EW40" i="406"/>
  <c r="EV40" i="406"/>
  <c r="EU40" i="406"/>
  <c r="ET40" i="406"/>
  <c r="ES40" i="406"/>
  <c r="ER40" i="406"/>
  <c r="EQ40" i="406"/>
  <c r="EP40" i="406"/>
  <c r="EO40" i="406"/>
  <c r="EN40" i="406"/>
  <c r="EM40" i="406"/>
  <c r="EL40" i="406"/>
  <c r="EK40" i="406"/>
  <c r="EJ40" i="406"/>
  <c r="EI40" i="406"/>
  <c r="EH40" i="406"/>
  <c r="EG40" i="406"/>
  <c r="EF40" i="406"/>
  <c r="EE40" i="406"/>
  <c r="ED40" i="406"/>
  <c r="EC40" i="406"/>
  <c r="EB40" i="406"/>
  <c r="EA40" i="406"/>
  <c r="DZ40" i="406"/>
  <c r="DY40" i="406"/>
  <c r="DX40" i="406"/>
  <c r="DW40" i="406"/>
  <c r="DT40" i="406"/>
  <c r="DS40" i="406"/>
  <c r="DR40" i="406"/>
  <c r="DQ40" i="406"/>
  <c r="DP40" i="406"/>
  <c r="DO40" i="406"/>
  <c r="DN40" i="406"/>
  <c r="DM40" i="406"/>
  <c r="DL40" i="406"/>
  <c r="DK40" i="406"/>
  <c r="DJ40" i="406"/>
  <c r="DI40" i="406"/>
  <c r="DH40" i="406"/>
  <c r="DG40" i="406"/>
  <c r="DF40" i="406"/>
  <c r="DE40" i="406"/>
  <c r="DD40" i="406"/>
  <c r="DC40" i="406"/>
  <c r="DB40" i="406"/>
  <c r="DA40" i="406"/>
  <c r="CZ40" i="406"/>
  <c r="CY40" i="406"/>
  <c r="CX40" i="406"/>
  <c r="CW40" i="406"/>
  <c r="CV40" i="406"/>
  <c r="CU40" i="406"/>
  <c r="CT40" i="406"/>
  <c r="CS40" i="406"/>
  <c r="CR40" i="406"/>
  <c r="CQ40" i="406"/>
  <c r="CP40" i="406"/>
  <c r="CO40" i="406"/>
  <c r="CN40" i="406"/>
  <c r="CM40" i="406"/>
  <c r="CL40" i="406"/>
  <c r="CK40" i="406"/>
  <c r="CJ40" i="406"/>
  <c r="CI40" i="406"/>
  <c r="CH40" i="406"/>
  <c r="CG40" i="406"/>
  <c r="CF40" i="406"/>
  <c r="CE40" i="406"/>
  <c r="CD40" i="406"/>
  <c r="CC40" i="406"/>
  <c r="CB40" i="406"/>
  <c r="CA40" i="406"/>
  <c r="BZ40" i="406"/>
  <c r="BY40" i="406"/>
  <c r="BX40" i="406"/>
  <c r="BW40" i="406"/>
  <c r="BV40" i="406"/>
  <c r="BU40" i="406"/>
  <c r="BT40" i="406"/>
  <c r="BS40" i="406"/>
  <c r="BR40" i="406"/>
  <c r="BQ40" i="406"/>
  <c r="BP40" i="406"/>
  <c r="BO40" i="406"/>
  <c r="BN40" i="406"/>
  <c r="BM40" i="406"/>
  <c r="BL40" i="406"/>
  <c r="BK40" i="406"/>
  <c r="BJ40" i="406"/>
  <c r="BI40" i="406"/>
  <c r="BH40" i="406"/>
  <c r="BG40" i="406"/>
  <c r="BF40" i="406"/>
  <c r="BE40" i="406"/>
  <c r="BD40" i="406"/>
  <c r="BC40" i="406"/>
  <c r="BB40" i="406"/>
  <c r="BA40" i="406"/>
  <c r="AZ40" i="406"/>
  <c r="AY40" i="406"/>
  <c r="AX40" i="406"/>
  <c r="AW40" i="406"/>
  <c r="AV40" i="406"/>
  <c r="AU40" i="406"/>
  <c r="AT40" i="406"/>
  <c r="AS40" i="406"/>
  <c r="AR40" i="406"/>
  <c r="AQ40" i="406"/>
  <c r="AP40" i="406"/>
  <c r="AO40" i="406"/>
  <c r="AN40" i="406"/>
  <c r="AM40" i="406"/>
  <c r="AL40" i="406"/>
  <c r="AK40" i="406"/>
  <c r="AJ40" i="406"/>
  <c r="AI40" i="406"/>
  <c r="AH40" i="406"/>
  <c r="AG40" i="406"/>
  <c r="AF40" i="406"/>
  <c r="AE40" i="406"/>
  <c r="AD40" i="406"/>
  <c r="AC40" i="406"/>
  <c r="AB40" i="406"/>
  <c r="AA40" i="406"/>
  <c r="Z40" i="406"/>
  <c r="Y40" i="406"/>
  <c r="T40" i="406"/>
  <c r="U40" i="406" s="1"/>
  <c r="R40" i="406"/>
  <c r="Q40" i="406"/>
  <c r="O40" i="406"/>
  <c r="N40" i="406"/>
  <c r="M40" i="406"/>
  <c r="G40" i="406"/>
  <c r="C40" i="406"/>
  <c r="HR39" i="406"/>
  <c r="HQ39" i="406"/>
  <c r="HP39" i="406"/>
  <c r="HO39" i="406"/>
  <c r="HN39" i="406"/>
  <c r="HM39" i="406"/>
  <c r="HL39" i="406"/>
  <c r="HK39" i="406"/>
  <c r="HJ39" i="406"/>
  <c r="HI39" i="406"/>
  <c r="HH39" i="406"/>
  <c r="HG39" i="406"/>
  <c r="HF39" i="406"/>
  <c r="HE39" i="406"/>
  <c r="HD39" i="406"/>
  <c r="HC39" i="406"/>
  <c r="HB39" i="406"/>
  <c r="HA39" i="406"/>
  <c r="GZ39" i="406"/>
  <c r="GY39" i="406"/>
  <c r="GX39" i="406"/>
  <c r="GW39" i="406"/>
  <c r="GV39" i="406"/>
  <c r="GU39" i="406"/>
  <c r="GT39" i="406"/>
  <c r="GS39" i="406"/>
  <c r="GR39" i="406"/>
  <c r="GQ39" i="406"/>
  <c r="GP39" i="406"/>
  <c r="GO39" i="406"/>
  <c r="GN39" i="406"/>
  <c r="GM39" i="406"/>
  <c r="GL39" i="406"/>
  <c r="GK39" i="406"/>
  <c r="GJ39" i="406"/>
  <c r="GI39" i="406"/>
  <c r="GH39" i="406"/>
  <c r="GG39" i="406"/>
  <c r="GF39" i="406"/>
  <c r="GE39" i="406"/>
  <c r="GD39" i="406"/>
  <c r="GC39" i="406"/>
  <c r="GB39" i="406"/>
  <c r="GA39" i="406"/>
  <c r="FZ39" i="406"/>
  <c r="FY39" i="406"/>
  <c r="FX39" i="406"/>
  <c r="FW39" i="406"/>
  <c r="FV39" i="406"/>
  <c r="FU39" i="406"/>
  <c r="FT39" i="406"/>
  <c r="FS39" i="406"/>
  <c r="FR39" i="406"/>
  <c r="FQ39" i="406"/>
  <c r="FP39" i="406"/>
  <c r="FO39" i="406"/>
  <c r="FN39" i="406"/>
  <c r="FM39" i="406"/>
  <c r="FL39" i="406"/>
  <c r="FK39" i="406"/>
  <c r="FJ39" i="406"/>
  <c r="FI39" i="406"/>
  <c r="FH39" i="406"/>
  <c r="FG39" i="406"/>
  <c r="FF39" i="406"/>
  <c r="FE39" i="406"/>
  <c r="FD39" i="406"/>
  <c r="FC39" i="406"/>
  <c r="FB39" i="406"/>
  <c r="FA39" i="406"/>
  <c r="EZ39" i="406"/>
  <c r="EY39" i="406"/>
  <c r="EX39" i="406"/>
  <c r="EW39" i="406"/>
  <c r="EV39" i="406"/>
  <c r="EU39" i="406"/>
  <c r="ET39" i="406"/>
  <c r="ES39" i="406"/>
  <c r="ER39" i="406"/>
  <c r="EQ39" i="406"/>
  <c r="EP39" i="406"/>
  <c r="EO39" i="406"/>
  <c r="EN39" i="406"/>
  <c r="EM39" i="406"/>
  <c r="EL39" i="406"/>
  <c r="EK39" i="406"/>
  <c r="EJ39" i="406"/>
  <c r="EI39" i="406"/>
  <c r="EH39" i="406"/>
  <c r="EG39" i="406"/>
  <c r="EF39" i="406"/>
  <c r="EE39" i="406"/>
  <c r="ED39" i="406"/>
  <c r="EC39" i="406"/>
  <c r="EB39" i="406"/>
  <c r="EA39" i="406"/>
  <c r="DZ39" i="406"/>
  <c r="DY39" i="406"/>
  <c r="DX39" i="406"/>
  <c r="DW39" i="406"/>
  <c r="DT39" i="406"/>
  <c r="DS39" i="406"/>
  <c r="DR39" i="406"/>
  <c r="DQ39" i="406"/>
  <c r="DP39" i="406"/>
  <c r="DO39" i="406"/>
  <c r="DN39" i="406"/>
  <c r="DM39" i="406"/>
  <c r="DL39" i="406"/>
  <c r="DK39" i="406"/>
  <c r="DJ39" i="406"/>
  <c r="DI39" i="406"/>
  <c r="DH39" i="406"/>
  <c r="DG39" i="406"/>
  <c r="DF39" i="406"/>
  <c r="DE39" i="406"/>
  <c r="DD39" i="406"/>
  <c r="DC39" i="406"/>
  <c r="DB39" i="406"/>
  <c r="DA39" i="406"/>
  <c r="CZ39" i="406"/>
  <c r="CY39" i="406"/>
  <c r="CX39" i="406"/>
  <c r="CW39" i="406"/>
  <c r="CV39" i="406"/>
  <c r="CU39" i="406"/>
  <c r="CT39" i="406"/>
  <c r="CS39" i="406"/>
  <c r="CR39" i="406"/>
  <c r="CQ39" i="406"/>
  <c r="CP39" i="406"/>
  <c r="CO39" i="406"/>
  <c r="CN39" i="406"/>
  <c r="CM39" i="406"/>
  <c r="CL39" i="406"/>
  <c r="CK39" i="406"/>
  <c r="CJ39" i="406"/>
  <c r="CI39" i="406"/>
  <c r="CH39" i="406"/>
  <c r="CG39" i="406"/>
  <c r="CF39" i="406"/>
  <c r="CE39" i="406"/>
  <c r="CD39" i="406"/>
  <c r="CC39" i="406"/>
  <c r="CB39" i="406"/>
  <c r="CA39" i="406"/>
  <c r="BZ39" i="406"/>
  <c r="BY39" i="406"/>
  <c r="BX39" i="406"/>
  <c r="BW39" i="406"/>
  <c r="BV39" i="406"/>
  <c r="BU39" i="406"/>
  <c r="BT39" i="406"/>
  <c r="BS39" i="406"/>
  <c r="BR39" i="406"/>
  <c r="BQ39" i="406"/>
  <c r="BP39" i="406"/>
  <c r="BO39" i="406"/>
  <c r="BN39" i="406"/>
  <c r="BM39" i="406"/>
  <c r="BL39" i="406"/>
  <c r="BK39" i="406"/>
  <c r="BJ39" i="406"/>
  <c r="BI39" i="406"/>
  <c r="BH39" i="406"/>
  <c r="BG39" i="406"/>
  <c r="BF39" i="406"/>
  <c r="BE39" i="406"/>
  <c r="BD39" i="406"/>
  <c r="BC39" i="406"/>
  <c r="BB39" i="406"/>
  <c r="BA39" i="406"/>
  <c r="AZ39" i="406"/>
  <c r="AY39" i="406"/>
  <c r="AX39" i="406"/>
  <c r="AW39" i="406"/>
  <c r="AV39" i="406"/>
  <c r="AU39" i="406"/>
  <c r="AT39" i="406"/>
  <c r="AS39" i="406"/>
  <c r="AR39" i="406"/>
  <c r="AQ39" i="406"/>
  <c r="AP39" i="406"/>
  <c r="AO39" i="406"/>
  <c r="AN39" i="406"/>
  <c r="AM39" i="406"/>
  <c r="AL39" i="406"/>
  <c r="AK39" i="406"/>
  <c r="AJ39" i="406"/>
  <c r="AI39" i="406"/>
  <c r="AH39" i="406"/>
  <c r="AG39" i="406"/>
  <c r="AF39" i="406"/>
  <c r="AE39" i="406"/>
  <c r="AD39" i="406"/>
  <c r="AC39" i="406"/>
  <c r="AB39" i="406"/>
  <c r="AA39" i="406"/>
  <c r="Z39" i="406"/>
  <c r="Y39" i="406"/>
  <c r="T39" i="406"/>
  <c r="U39" i="406" s="1"/>
  <c r="R39" i="406"/>
  <c r="Q39" i="406"/>
  <c r="O39" i="406"/>
  <c r="N39" i="406"/>
  <c r="M39" i="406"/>
  <c r="G39" i="406"/>
  <c r="C39" i="406"/>
  <c r="HR38" i="406"/>
  <c r="HQ38" i="406"/>
  <c r="HP38" i="406"/>
  <c r="HO38" i="406"/>
  <c r="HN38" i="406"/>
  <c r="HM38" i="406"/>
  <c r="HL38" i="406"/>
  <c r="HK38" i="406"/>
  <c r="HJ38" i="406"/>
  <c r="HI38" i="406"/>
  <c r="HH38" i="406"/>
  <c r="HG38" i="406"/>
  <c r="HF38" i="406"/>
  <c r="HE38" i="406"/>
  <c r="HD38" i="406"/>
  <c r="HC38" i="406"/>
  <c r="HB38" i="406"/>
  <c r="HA38" i="406"/>
  <c r="GZ38" i="406"/>
  <c r="GY38" i="406"/>
  <c r="GX38" i="406"/>
  <c r="GW38" i="406"/>
  <c r="GV38" i="406"/>
  <c r="GU38" i="406"/>
  <c r="GT38" i="406"/>
  <c r="GS38" i="406"/>
  <c r="GR38" i="406"/>
  <c r="GQ38" i="406"/>
  <c r="GP38" i="406"/>
  <c r="GO38" i="406"/>
  <c r="GN38" i="406"/>
  <c r="GM38" i="406"/>
  <c r="GL38" i="406"/>
  <c r="GK38" i="406"/>
  <c r="GJ38" i="406"/>
  <c r="GI38" i="406"/>
  <c r="GH38" i="406"/>
  <c r="GG38" i="406"/>
  <c r="GF38" i="406"/>
  <c r="GE38" i="406"/>
  <c r="GD38" i="406"/>
  <c r="GC38" i="406"/>
  <c r="GB38" i="406"/>
  <c r="GA38" i="406"/>
  <c r="FZ38" i="406"/>
  <c r="FY38" i="406"/>
  <c r="FX38" i="406"/>
  <c r="FW38" i="406"/>
  <c r="FV38" i="406"/>
  <c r="FU38" i="406"/>
  <c r="FT38" i="406"/>
  <c r="FS38" i="406"/>
  <c r="FR38" i="406"/>
  <c r="FQ38" i="406"/>
  <c r="FP38" i="406"/>
  <c r="FO38" i="406"/>
  <c r="FN38" i="406"/>
  <c r="FM38" i="406"/>
  <c r="FL38" i="406"/>
  <c r="FK38" i="406"/>
  <c r="FJ38" i="406"/>
  <c r="FI38" i="406"/>
  <c r="FH38" i="406"/>
  <c r="FG38" i="406"/>
  <c r="FF38" i="406"/>
  <c r="FE38" i="406"/>
  <c r="FD38" i="406"/>
  <c r="FC38" i="406"/>
  <c r="FB38" i="406"/>
  <c r="FA38" i="406"/>
  <c r="EZ38" i="406"/>
  <c r="EY38" i="406"/>
  <c r="EX38" i="406"/>
  <c r="EW38" i="406"/>
  <c r="EV38" i="406"/>
  <c r="EU38" i="406"/>
  <c r="ET38" i="406"/>
  <c r="ES38" i="406"/>
  <c r="ER38" i="406"/>
  <c r="EQ38" i="406"/>
  <c r="EP38" i="406"/>
  <c r="EO38" i="406"/>
  <c r="EN38" i="406"/>
  <c r="EM38" i="406"/>
  <c r="EL38" i="406"/>
  <c r="EK38" i="406"/>
  <c r="EJ38" i="406"/>
  <c r="EI38" i="406"/>
  <c r="EH38" i="406"/>
  <c r="EG38" i="406"/>
  <c r="EF38" i="406"/>
  <c r="EE38" i="406"/>
  <c r="ED38" i="406"/>
  <c r="EC38" i="406"/>
  <c r="EB38" i="406"/>
  <c r="EA38" i="406"/>
  <c r="DZ38" i="406"/>
  <c r="DY38" i="406"/>
  <c r="DX38" i="406"/>
  <c r="DW38" i="406"/>
  <c r="DT38" i="406"/>
  <c r="DS38" i="406"/>
  <c r="DR38" i="406"/>
  <c r="DQ38" i="406"/>
  <c r="DP38" i="406"/>
  <c r="DO38" i="406"/>
  <c r="DN38" i="406"/>
  <c r="DM38" i="406"/>
  <c r="DL38" i="406"/>
  <c r="DK38" i="406"/>
  <c r="DJ38" i="406"/>
  <c r="DI38" i="406"/>
  <c r="DH38" i="406"/>
  <c r="DG38" i="406"/>
  <c r="DF38" i="406"/>
  <c r="DE38" i="406"/>
  <c r="DD38" i="406"/>
  <c r="DC38" i="406"/>
  <c r="DB38" i="406"/>
  <c r="DA38" i="406"/>
  <c r="CZ38" i="406"/>
  <c r="CY38" i="406"/>
  <c r="CX38" i="406"/>
  <c r="CW38" i="406"/>
  <c r="CV38" i="406"/>
  <c r="CU38" i="406"/>
  <c r="CT38" i="406"/>
  <c r="CS38" i="406"/>
  <c r="CR38" i="406"/>
  <c r="CQ38" i="406"/>
  <c r="CP38" i="406"/>
  <c r="CO38" i="406"/>
  <c r="CN38" i="406"/>
  <c r="CM38" i="406"/>
  <c r="CL38" i="406"/>
  <c r="CK38" i="406"/>
  <c r="CJ38" i="406"/>
  <c r="CI38" i="406"/>
  <c r="CH38" i="406"/>
  <c r="CG38" i="406"/>
  <c r="CF38" i="406"/>
  <c r="CE38" i="406"/>
  <c r="CD38" i="406"/>
  <c r="CC38" i="406"/>
  <c r="CB38" i="406"/>
  <c r="CA38" i="406"/>
  <c r="BZ38" i="406"/>
  <c r="BY38" i="406"/>
  <c r="BX38" i="406"/>
  <c r="BW38" i="406"/>
  <c r="BV38" i="406"/>
  <c r="BU38" i="406"/>
  <c r="BT38" i="406"/>
  <c r="BS38" i="406"/>
  <c r="BR38" i="406"/>
  <c r="BQ38" i="406"/>
  <c r="BP38" i="406"/>
  <c r="BO38" i="406"/>
  <c r="BN38" i="406"/>
  <c r="BM38" i="406"/>
  <c r="BL38" i="406"/>
  <c r="BK38" i="406"/>
  <c r="BJ38" i="406"/>
  <c r="BI38" i="406"/>
  <c r="BH38" i="406"/>
  <c r="BG38" i="406"/>
  <c r="BF38" i="406"/>
  <c r="BE38" i="406"/>
  <c r="BD38" i="406"/>
  <c r="BC38" i="406"/>
  <c r="BB38" i="406"/>
  <c r="BA38" i="406"/>
  <c r="AZ38" i="406"/>
  <c r="AY38" i="406"/>
  <c r="AX38" i="406"/>
  <c r="AW38" i="406"/>
  <c r="AV38" i="406"/>
  <c r="AU38" i="406"/>
  <c r="AT38" i="406"/>
  <c r="AS38" i="406"/>
  <c r="AR38" i="406"/>
  <c r="AQ38" i="406"/>
  <c r="AP38" i="406"/>
  <c r="AO38" i="406"/>
  <c r="AN38" i="406"/>
  <c r="AM38" i="406"/>
  <c r="AL38" i="406"/>
  <c r="AK38" i="406"/>
  <c r="AJ38" i="406"/>
  <c r="AI38" i="406"/>
  <c r="AH38" i="406"/>
  <c r="AG38" i="406"/>
  <c r="AF38" i="406"/>
  <c r="AE38" i="406"/>
  <c r="AD38" i="406"/>
  <c r="AC38" i="406"/>
  <c r="AB38" i="406"/>
  <c r="AA38" i="406"/>
  <c r="Z38" i="406"/>
  <c r="Y38" i="406"/>
  <c r="T38" i="406"/>
  <c r="U38" i="406" s="1"/>
  <c r="R38" i="406"/>
  <c r="Q38" i="406"/>
  <c r="O38" i="406"/>
  <c r="N38" i="406"/>
  <c r="M38" i="406"/>
  <c r="G38" i="406"/>
  <c r="C38" i="406"/>
  <c r="HR37" i="406"/>
  <c r="HQ37" i="406"/>
  <c r="HP37" i="406"/>
  <c r="HO37" i="406"/>
  <c r="HN37" i="406"/>
  <c r="HM37" i="406"/>
  <c r="HL37" i="406"/>
  <c r="HK37" i="406"/>
  <c r="HJ37" i="406"/>
  <c r="HI37" i="406"/>
  <c r="HH37" i="406"/>
  <c r="HG37" i="406"/>
  <c r="HF37" i="406"/>
  <c r="HE37" i="406"/>
  <c r="HD37" i="406"/>
  <c r="HC37" i="406"/>
  <c r="HB37" i="406"/>
  <c r="HA37" i="406"/>
  <c r="GZ37" i="406"/>
  <c r="GY37" i="406"/>
  <c r="GX37" i="406"/>
  <c r="GW37" i="406"/>
  <c r="GV37" i="406"/>
  <c r="GU37" i="406"/>
  <c r="GT37" i="406"/>
  <c r="GS37" i="406"/>
  <c r="GR37" i="406"/>
  <c r="GQ37" i="406"/>
  <c r="GP37" i="406"/>
  <c r="GN37" i="406"/>
  <c r="GM37" i="406"/>
  <c r="GL37" i="406"/>
  <c r="GK37" i="406"/>
  <c r="GJ37" i="406"/>
  <c r="GI37" i="406"/>
  <c r="GH37" i="406"/>
  <c r="GG37" i="406"/>
  <c r="GF37" i="406"/>
  <c r="GE37" i="406"/>
  <c r="GD37" i="406"/>
  <c r="GC37" i="406"/>
  <c r="GB37" i="406"/>
  <c r="GA37" i="406"/>
  <c r="FZ37" i="406"/>
  <c r="FY37" i="406"/>
  <c r="FX37" i="406"/>
  <c r="FW37" i="406"/>
  <c r="FV37" i="406"/>
  <c r="FU37" i="406"/>
  <c r="FT37" i="406"/>
  <c r="FS37" i="406"/>
  <c r="FR37" i="406"/>
  <c r="FQ37" i="406"/>
  <c r="FP37" i="406"/>
  <c r="FO37" i="406"/>
  <c r="FN37" i="406"/>
  <c r="FM37" i="406"/>
  <c r="FL37" i="406"/>
  <c r="FK37" i="406"/>
  <c r="FJ37" i="406"/>
  <c r="FI37" i="406"/>
  <c r="FH37" i="406"/>
  <c r="FG37" i="406"/>
  <c r="FF37" i="406"/>
  <c r="FE37" i="406"/>
  <c r="FD37" i="406"/>
  <c r="FC37" i="406"/>
  <c r="FB37" i="406"/>
  <c r="FA37" i="406"/>
  <c r="EZ37" i="406"/>
  <c r="EY37" i="406"/>
  <c r="EX37" i="406"/>
  <c r="EW37" i="406"/>
  <c r="EV37" i="406"/>
  <c r="EU37" i="406"/>
  <c r="ET37" i="406"/>
  <c r="ES37" i="406"/>
  <c r="ER37" i="406"/>
  <c r="EQ37" i="406"/>
  <c r="EP37" i="406"/>
  <c r="EO37" i="406"/>
  <c r="EN37" i="406"/>
  <c r="EM37" i="406"/>
  <c r="EL37" i="406"/>
  <c r="EK37" i="406"/>
  <c r="EJ37" i="406"/>
  <c r="EI37" i="406"/>
  <c r="EH37" i="406"/>
  <c r="EG37" i="406"/>
  <c r="EF37" i="406"/>
  <c r="EE37" i="406"/>
  <c r="ED37" i="406"/>
  <c r="EC37" i="406"/>
  <c r="EB37" i="406"/>
  <c r="EA37" i="406"/>
  <c r="DZ37" i="406"/>
  <c r="DY37" i="406"/>
  <c r="DX37" i="406"/>
  <c r="DW37" i="406"/>
  <c r="DT37" i="406"/>
  <c r="DS37" i="406"/>
  <c r="DR37" i="406"/>
  <c r="DQ37" i="406"/>
  <c r="DP37" i="406"/>
  <c r="DO37" i="406"/>
  <c r="DN37" i="406"/>
  <c r="DM37" i="406"/>
  <c r="DL37" i="406"/>
  <c r="DK37" i="406"/>
  <c r="DJ37" i="406"/>
  <c r="DI37" i="406"/>
  <c r="DH37" i="406"/>
  <c r="DG37" i="406"/>
  <c r="DF37" i="406"/>
  <c r="DE37" i="406"/>
  <c r="DD37" i="406"/>
  <c r="DC37" i="406"/>
  <c r="DB37" i="406"/>
  <c r="DA37" i="406"/>
  <c r="CZ37" i="406"/>
  <c r="CY37" i="406"/>
  <c r="CX37" i="406"/>
  <c r="CW37" i="406"/>
  <c r="CV37" i="406"/>
  <c r="CU37" i="406"/>
  <c r="CT37" i="406"/>
  <c r="CS37" i="406"/>
  <c r="CR37" i="406"/>
  <c r="CP37" i="406"/>
  <c r="CO37" i="406"/>
  <c r="CN37" i="406"/>
  <c r="CM37" i="406"/>
  <c r="CL37" i="406"/>
  <c r="CK37" i="406"/>
  <c r="CJ37" i="406"/>
  <c r="CI37" i="406"/>
  <c r="CH37" i="406"/>
  <c r="CG37" i="406"/>
  <c r="CF37" i="406"/>
  <c r="CE37" i="406"/>
  <c r="CD37" i="406"/>
  <c r="CC37" i="406"/>
  <c r="CB37" i="406"/>
  <c r="CA37" i="406"/>
  <c r="BZ37" i="406"/>
  <c r="BY37" i="406"/>
  <c r="BX37" i="406"/>
  <c r="BW37" i="406"/>
  <c r="BV37" i="406"/>
  <c r="BU37" i="406"/>
  <c r="BT37" i="406"/>
  <c r="BS37" i="406"/>
  <c r="BR37" i="406"/>
  <c r="BQ37" i="406"/>
  <c r="BP37" i="406"/>
  <c r="BO37" i="406"/>
  <c r="BN37" i="406"/>
  <c r="BM37" i="406"/>
  <c r="BL37" i="406"/>
  <c r="BK37" i="406"/>
  <c r="BJ37" i="406"/>
  <c r="BI37" i="406"/>
  <c r="BH37" i="406"/>
  <c r="BG37" i="406"/>
  <c r="BF37" i="406"/>
  <c r="BE37" i="406"/>
  <c r="BD37" i="406"/>
  <c r="BC37" i="406"/>
  <c r="BB37" i="406"/>
  <c r="BA37" i="406"/>
  <c r="AZ37" i="406"/>
  <c r="AY37" i="406"/>
  <c r="AX37" i="406"/>
  <c r="AW37" i="406"/>
  <c r="AV37" i="406"/>
  <c r="AU37" i="406"/>
  <c r="AT37" i="406"/>
  <c r="AS37" i="406"/>
  <c r="AR37" i="406"/>
  <c r="AQ37" i="406"/>
  <c r="AP37" i="406"/>
  <c r="AO37" i="406"/>
  <c r="AN37" i="406"/>
  <c r="AM37" i="406"/>
  <c r="AL37" i="406"/>
  <c r="AK37" i="406"/>
  <c r="AJ37" i="406"/>
  <c r="AI37" i="406"/>
  <c r="AH37" i="406"/>
  <c r="AG37" i="406"/>
  <c r="AF37" i="406"/>
  <c r="AE37" i="406"/>
  <c r="AD37" i="406"/>
  <c r="AC37" i="406"/>
  <c r="AB37" i="406"/>
  <c r="AA37" i="406"/>
  <c r="Z37" i="406"/>
  <c r="Y37" i="406"/>
  <c r="T37" i="406"/>
  <c r="U37" i="406" s="1"/>
  <c r="CQ37" i="406" s="1"/>
  <c r="R37" i="406"/>
  <c r="N37" i="406"/>
  <c r="G37" i="406"/>
  <c r="C37" i="406"/>
  <c r="HR36" i="406"/>
  <c r="HQ36" i="406"/>
  <c r="HP36" i="406"/>
  <c r="HO36" i="406"/>
  <c r="HN36" i="406"/>
  <c r="HM36" i="406"/>
  <c r="HL36" i="406"/>
  <c r="HK36" i="406"/>
  <c r="HJ36" i="406"/>
  <c r="HI36" i="406"/>
  <c r="HH36" i="406"/>
  <c r="HG36" i="406"/>
  <c r="HF36" i="406"/>
  <c r="HE36" i="406"/>
  <c r="HD36" i="406"/>
  <c r="HC36" i="406"/>
  <c r="HB36" i="406"/>
  <c r="HA36" i="406"/>
  <c r="GZ36" i="406"/>
  <c r="GY36" i="406"/>
  <c r="GX36" i="406"/>
  <c r="GW36" i="406"/>
  <c r="GV36" i="406"/>
  <c r="GU36" i="406"/>
  <c r="GT36" i="406"/>
  <c r="GS36" i="406"/>
  <c r="GR36" i="406"/>
  <c r="GQ36" i="406"/>
  <c r="GP36" i="406"/>
  <c r="GN36" i="406"/>
  <c r="GM36" i="406"/>
  <c r="GL36" i="406"/>
  <c r="GK36" i="406"/>
  <c r="GJ36" i="406"/>
  <c r="GI36" i="406"/>
  <c r="GH36" i="406"/>
  <c r="GG36" i="406"/>
  <c r="GF36" i="406"/>
  <c r="GE36" i="406"/>
  <c r="GD36" i="406"/>
  <c r="GC36" i="406"/>
  <c r="GB36" i="406"/>
  <c r="GA36" i="406"/>
  <c r="FZ36" i="406"/>
  <c r="FY36" i="406"/>
  <c r="FX36" i="406"/>
  <c r="FW36" i="406"/>
  <c r="FV36" i="406"/>
  <c r="FU36" i="406"/>
  <c r="FT36" i="406"/>
  <c r="FS36" i="406"/>
  <c r="FR36" i="406"/>
  <c r="FQ36" i="406"/>
  <c r="FP36" i="406"/>
  <c r="FO36" i="406"/>
  <c r="FN36" i="406"/>
  <c r="FM36" i="406"/>
  <c r="FL36" i="406"/>
  <c r="FK36" i="406"/>
  <c r="FJ36" i="406"/>
  <c r="FI36" i="406"/>
  <c r="FH36" i="406"/>
  <c r="FG36" i="406"/>
  <c r="FF36" i="406"/>
  <c r="FE36" i="406"/>
  <c r="FD36" i="406"/>
  <c r="FC36" i="406"/>
  <c r="FB36" i="406"/>
  <c r="FA36" i="406"/>
  <c r="EZ36" i="406"/>
  <c r="EY36" i="406"/>
  <c r="EX36" i="406"/>
  <c r="EW36" i="406"/>
  <c r="EV36" i="406"/>
  <c r="EU36" i="406"/>
  <c r="ET36" i="406"/>
  <c r="ES36" i="406"/>
  <c r="ER36" i="406"/>
  <c r="EQ36" i="406"/>
  <c r="EP36" i="406"/>
  <c r="EO36" i="406"/>
  <c r="EN36" i="406"/>
  <c r="EM36" i="406"/>
  <c r="EL36" i="406"/>
  <c r="EK36" i="406"/>
  <c r="EJ36" i="406"/>
  <c r="EI36" i="406"/>
  <c r="EH36" i="406"/>
  <c r="EG36" i="406"/>
  <c r="EF36" i="406"/>
  <c r="EE36" i="406"/>
  <c r="ED36" i="406"/>
  <c r="EC36" i="406"/>
  <c r="EB36" i="406"/>
  <c r="EA36" i="406"/>
  <c r="DZ36" i="406"/>
  <c r="DY36" i="406"/>
  <c r="DX36" i="406"/>
  <c r="DW36" i="406"/>
  <c r="DT36" i="406"/>
  <c r="DS36" i="406"/>
  <c r="DR36" i="406"/>
  <c r="DQ36" i="406"/>
  <c r="DP36" i="406"/>
  <c r="DO36" i="406"/>
  <c r="DN36" i="406"/>
  <c r="DM36" i="406"/>
  <c r="DL36" i="406"/>
  <c r="DK36" i="406"/>
  <c r="DJ36" i="406"/>
  <c r="DI36" i="406"/>
  <c r="DH36" i="406"/>
  <c r="DG36" i="406"/>
  <c r="DF36" i="406"/>
  <c r="DE36" i="406"/>
  <c r="DD36" i="406"/>
  <c r="DC36" i="406"/>
  <c r="DB36" i="406"/>
  <c r="DA36" i="406"/>
  <c r="CZ36" i="406"/>
  <c r="CY36" i="406"/>
  <c r="CX36" i="406"/>
  <c r="CW36" i="406"/>
  <c r="CV36" i="406"/>
  <c r="CU36" i="406"/>
  <c r="CT36" i="406"/>
  <c r="CS36" i="406"/>
  <c r="CR36" i="406"/>
  <c r="CP36" i="406"/>
  <c r="CO36" i="406"/>
  <c r="CN36" i="406"/>
  <c r="CM36" i="406"/>
  <c r="CL36" i="406"/>
  <c r="CK36" i="406"/>
  <c r="CJ36" i="406"/>
  <c r="CI36" i="406"/>
  <c r="CH36" i="406"/>
  <c r="CG36" i="406"/>
  <c r="CF36" i="406"/>
  <c r="CE36" i="406"/>
  <c r="CD36" i="406"/>
  <c r="CC36" i="406"/>
  <c r="CB36" i="406"/>
  <c r="CA36" i="406"/>
  <c r="BZ36" i="406"/>
  <c r="BY36" i="406"/>
  <c r="BX36" i="406"/>
  <c r="BW36" i="406"/>
  <c r="BV36" i="406"/>
  <c r="BU36" i="406"/>
  <c r="BT36" i="406"/>
  <c r="BS36" i="406"/>
  <c r="BR36" i="406"/>
  <c r="BQ36" i="406"/>
  <c r="BP36" i="406"/>
  <c r="BO36" i="406"/>
  <c r="BN36" i="406"/>
  <c r="BM36" i="406"/>
  <c r="BL36" i="406"/>
  <c r="BK36" i="406"/>
  <c r="BJ36" i="406"/>
  <c r="BI36" i="406"/>
  <c r="BH36" i="406"/>
  <c r="BG36" i="406"/>
  <c r="BF36" i="406"/>
  <c r="BE36" i="406"/>
  <c r="BD36" i="406"/>
  <c r="BC36" i="406"/>
  <c r="BB36" i="406"/>
  <c r="BA36" i="406"/>
  <c r="AZ36" i="406"/>
  <c r="AY36" i="406"/>
  <c r="AX36" i="406"/>
  <c r="AW36" i="406"/>
  <c r="AV36" i="406"/>
  <c r="AU36" i="406"/>
  <c r="AT36" i="406"/>
  <c r="AS36" i="406"/>
  <c r="AR36" i="406"/>
  <c r="AQ36" i="406"/>
  <c r="AP36" i="406"/>
  <c r="AO36" i="406"/>
  <c r="AN36" i="406"/>
  <c r="AM36" i="406"/>
  <c r="AL36" i="406"/>
  <c r="AK36" i="406"/>
  <c r="AJ36" i="406"/>
  <c r="AI36" i="406"/>
  <c r="AH36" i="406"/>
  <c r="AG36" i="406"/>
  <c r="AF36" i="406"/>
  <c r="AE36" i="406"/>
  <c r="AD36" i="406"/>
  <c r="AC36" i="406"/>
  <c r="AB36" i="406"/>
  <c r="AA36" i="406"/>
  <c r="Z36" i="406"/>
  <c r="Y36" i="406"/>
  <c r="U36" i="406"/>
  <c r="CQ36" i="406" s="1"/>
  <c r="T36" i="406"/>
  <c r="Q36" i="406"/>
  <c r="O36" i="406"/>
  <c r="GO36" i="406" s="1"/>
  <c r="N36" i="406"/>
  <c r="M36" i="406"/>
  <c r="G36" i="406"/>
  <c r="C36" i="406"/>
  <c r="HR35" i="406"/>
  <c r="HQ35" i="406"/>
  <c r="HP35" i="406"/>
  <c r="HO35" i="406"/>
  <c r="HN35" i="406"/>
  <c r="HM35" i="406"/>
  <c r="HL35" i="406"/>
  <c r="HK35" i="406"/>
  <c r="HJ35" i="406"/>
  <c r="HI35" i="406"/>
  <c r="HH35" i="406"/>
  <c r="HG35" i="406"/>
  <c r="HF35" i="406"/>
  <c r="HE35" i="406"/>
  <c r="HD35" i="406"/>
  <c r="HC35" i="406"/>
  <c r="HB35" i="406"/>
  <c r="HA35" i="406"/>
  <c r="GZ35" i="406"/>
  <c r="GY35" i="406"/>
  <c r="GX35" i="406"/>
  <c r="GW35" i="406"/>
  <c r="GV35" i="406"/>
  <c r="GU35" i="406"/>
  <c r="GT35" i="406"/>
  <c r="GS35" i="406"/>
  <c r="GR35" i="406"/>
  <c r="GQ35" i="406"/>
  <c r="GP35" i="406"/>
  <c r="GO35" i="406"/>
  <c r="GN35" i="406"/>
  <c r="GM35" i="406"/>
  <c r="GL35" i="406"/>
  <c r="GK35" i="406"/>
  <c r="GJ35" i="406"/>
  <c r="GI35" i="406"/>
  <c r="GH35" i="406"/>
  <c r="GG35" i="406"/>
  <c r="GF35" i="406"/>
  <c r="GE35" i="406"/>
  <c r="GD35" i="406"/>
  <c r="GC35" i="406"/>
  <c r="GB35" i="406"/>
  <c r="GA35" i="406"/>
  <c r="FZ35" i="406"/>
  <c r="FY35" i="406"/>
  <c r="FX35" i="406"/>
  <c r="FW35" i="406"/>
  <c r="FV35" i="406"/>
  <c r="FU35" i="406"/>
  <c r="FT35" i="406"/>
  <c r="FS35" i="406"/>
  <c r="FR35" i="406"/>
  <c r="FQ35" i="406"/>
  <c r="FP35" i="406"/>
  <c r="FO35" i="406"/>
  <c r="FN35" i="406"/>
  <c r="FM35" i="406"/>
  <c r="FL35" i="406"/>
  <c r="FK35" i="406"/>
  <c r="FJ35" i="406"/>
  <c r="FI35" i="406"/>
  <c r="FH35" i="406"/>
  <c r="FG35" i="406"/>
  <c r="FF35" i="406"/>
  <c r="FE35" i="406"/>
  <c r="FD35" i="406"/>
  <c r="FC35" i="406"/>
  <c r="FB35" i="406"/>
  <c r="FA35" i="406"/>
  <c r="EZ35" i="406"/>
  <c r="EY35" i="406"/>
  <c r="EX35" i="406"/>
  <c r="EW35" i="406"/>
  <c r="EV35" i="406"/>
  <c r="EU35" i="406"/>
  <c r="ET35" i="406"/>
  <c r="ES35" i="406"/>
  <c r="ER35" i="406"/>
  <c r="EQ35" i="406"/>
  <c r="EP35" i="406"/>
  <c r="EO35" i="406"/>
  <c r="EN35" i="406"/>
  <c r="EM35" i="406"/>
  <c r="EL35" i="406"/>
  <c r="EK35" i="406"/>
  <c r="EJ35" i="406"/>
  <c r="EI35" i="406"/>
  <c r="EH35" i="406"/>
  <c r="EG35" i="406"/>
  <c r="EF35" i="406"/>
  <c r="EE35" i="406"/>
  <c r="ED35" i="406"/>
  <c r="EC35" i="406"/>
  <c r="EB35" i="406"/>
  <c r="EA35" i="406"/>
  <c r="DZ35" i="406"/>
  <c r="DY35" i="406"/>
  <c r="DX35" i="406"/>
  <c r="DW35" i="406"/>
  <c r="DT35" i="406"/>
  <c r="DS35" i="406"/>
  <c r="DR35" i="406"/>
  <c r="DQ35" i="406"/>
  <c r="DP35" i="406"/>
  <c r="DO35" i="406"/>
  <c r="DN35" i="406"/>
  <c r="DM35" i="406"/>
  <c r="DL35" i="406"/>
  <c r="DK35" i="406"/>
  <c r="DJ35" i="406"/>
  <c r="DI35" i="406"/>
  <c r="DH35" i="406"/>
  <c r="DG35" i="406"/>
  <c r="DF35" i="406"/>
  <c r="DE35" i="406"/>
  <c r="DD35" i="406"/>
  <c r="DC35" i="406"/>
  <c r="DB35" i="406"/>
  <c r="DA35" i="406"/>
  <c r="CZ35" i="406"/>
  <c r="CY35" i="406"/>
  <c r="CX35" i="406"/>
  <c r="CW35" i="406"/>
  <c r="CV35" i="406"/>
  <c r="CU35" i="406"/>
  <c r="CT35" i="406"/>
  <c r="CS35" i="406"/>
  <c r="CR35" i="406"/>
  <c r="CQ35" i="406"/>
  <c r="CP35" i="406"/>
  <c r="CO35" i="406"/>
  <c r="CN35" i="406"/>
  <c r="CM35" i="406"/>
  <c r="CL35" i="406"/>
  <c r="CK35" i="406"/>
  <c r="CJ35" i="406"/>
  <c r="CI35" i="406"/>
  <c r="CH35" i="406"/>
  <c r="CG35" i="406"/>
  <c r="CF35" i="406"/>
  <c r="CE35" i="406"/>
  <c r="CD35" i="406"/>
  <c r="CC35" i="406"/>
  <c r="CB35" i="406"/>
  <c r="CA35" i="406"/>
  <c r="BZ35" i="406"/>
  <c r="BY35" i="406"/>
  <c r="BX35" i="406"/>
  <c r="BW35" i="406"/>
  <c r="BV35" i="406"/>
  <c r="BU35" i="406"/>
  <c r="BT35" i="406"/>
  <c r="BS35" i="406"/>
  <c r="BR35" i="406"/>
  <c r="BQ35" i="406"/>
  <c r="BP35" i="406"/>
  <c r="BO35" i="406"/>
  <c r="BN35" i="406"/>
  <c r="BM35" i="406"/>
  <c r="BL35" i="406"/>
  <c r="BK35" i="406"/>
  <c r="BJ35" i="406"/>
  <c r="BI35" i="406"/>
  <c r="BH35" i="406"/>
  <c r="BG35" i="406"/>
  <c r="BF35" i="406"/>
  <c r="BE35" i="406"/>
  <c r="BD35" i="406"/>
  <c r="BC35" i="406"/>
  <c r="BB35" i="406"/>
  <c r="BA35" i="406"/>
  <c r="AZ35" i="406"/>
  <c r="AY35" i="406"/>
  <c r="AX35" i="406"/>
  <c r="AW35" i="406"/>
  <c r="AV35" i="406"/>
  <c r="AU35" i="406"/>
  <c r="AT35" i="406"/>
  <c r="AS35" i="406"/>
  <c r="AR35" i="406"/>
  <c r="AQ35" i="406"/>
  <c r="AP35" i="406"/>
  <c r="AO35" i="406"/>
  <c r="AN35" i="406"/>
  <c r="AM35" i="406"/>
  <c r="AL35" i="406"/>
  <c r="AK35" i="406"/>
  <c r="AJ35" i="406"/>
  <c r="AI35" i="406"/>
  <c r="AH35" i="406"/>
  <c r="AG35" i="406"/>
  <c r="AF35" i="406"/>
  <c r="AE35" i="406"/>
  <c r="AD35" i="406"/>
  <c r="AC35" i="406"/>
  <c r="AB35" i="406"/>
  <c r="AA35" i="406"/>
  <c r="Z35" i="406"/>
  <c r="Y35" i="406"/>
  <c r="T35" i="406"/>
  <c r="U35" i="406" s="1"/>
  <c r="R35" i="406"/>
  <c r="Q35" i="406"/>
  <c r="O35" i="406"/>
  <c r="N35" i="406"/>
  <c r="M35" i="406"/>
  <c r="G35" i="406"/>
  <c r="C35" i="406"/>
  <c r="HR29" i="406"/>
  <c r="HQ29" i="406"/>
  <c r="HP29" i="406"/>
  <c r="HO29" i="406"/>
  <c r="HN29" i="406"/>
  <c r="HM29" i="406"/>
  <c r="HL29" i="406"/>
  <c r="HK29" i="406"/>
  <c r="HJ29" i="406"/>
  <c r="HI29" i="406"/>
  <c r="HH29" i="406"/>
  <c r="HG29" i="406"/>
  <c r="HF29" i="406"/>
  <c r="HE29" i="406"/>
  <c r="HD29" i="406"/>
  <c r="HC29" i="406"/>
  <c r="HB29" i="406"/>
  <c r="HA29" i="406"/>
  <c r="GZ29" i="406"/>
  <c r="GY29" i="406"/>
  <c r="GX29" i="406"/>
  <c r="GW29" i="406"/>
  <c r="GV29" i="406"/>
  <c r="GU29" i="406"/>
  <c r="GT29" i="406"/>
  <c r="GS29" i="406"/>
  <c r="GR29" i="406"/>
  <c r="GQ29" i="406"/>
  <c r="GP29" i="406"/>
  <c r="GO29" i="406"/>
  <c r="GN29" i="406"/>
  <c r="GM29" i="406"/>
  <c r="GL29" i="406"/>
  <c r="GK29" i="406"/>
  <c r="GJ29" i="406"/>
  <c r="GI29" i="406"/>
  <c r="GH29" i="406"/>
  <c r="GG29" i="406"/>
  <c r="GF29" i="406"/>
  <c r="GE29" i="406"/>
  <c r="GD29" i="406"/>
  <c r="GC29" i="406"/>
  <c r="GB29" i="406"/>
  <c r="GA29" i="406"/>
  <c r="FZ29" i="406"/>
  <c r="FY29" i="406"/>
  <c r="FX29" i="406"/>
  <c r="FW29" i="406"/>
  <c r="FV29" i="406"/>
  <c r="FU29" i="406"/>
  <c r="FT29" i="406"/>
  <c r="FS29" i="406"/>
  <c r="FR29" i="406"/>
  <c r="FQ29" i="406"/>
  <c r="FP29" i="406"/>
  <c r="FO29" i="406"/>
  <c r="FN29" i="406"/>
  <c r="FM29" i="406"/>
  <c r="FL29" i="406"/>
  <c r="FK29" i="406"/>
  <c r="FJ29" i="406"/>
  <c r="FI29" i="406"/>
  <c r="FH29" i="406"/>
  <c r="FG29" i="406"/>
  <c r="FF29" i="406"/>
  <c r="FE29" i="406"/>
  <c r="FD29" i="406"/>
  <c r="FC29" i="406"/>
  <c r="FB29" i="406"/>
  <c r="FA29" i="406"/>
  <c r="EZ29" i="406"/>
  <c r="EY29" i="406"/>
  <c r="EX29" i="406"/>
  <c r="EW29" i="406"/>
  <c r="EV29" i="406"/>
  <c r="EU29" i="406"/>
  <c r="ET29" i="406"/>
  <c r="ES29" i="406"/>
  <c r="ER29" i="406"/>
  <c r="EQ29" i="406"/>
  <c r="EP29" i="406"/>
  <c r="EO29" i="406"/>
  <c r="EN29" i="406"/>
  <c r="EM29" i="406"/>
  <c r="EL29" i="406"/>
  <c r="EK29" i="406"/>
  <c r="EJ29" i="406"/>
  <c r="EI29" i="406"/>
  <c r="EH29" i="406"/>
  <c r="EG29" i="406"/>
  <c r="EF29" i="406"/>
  <c r="EE29" i="406"/>
  <c r="ED29" i="406"/>
  <c r="EC29" i="406"/>
  <c r="EB29" i="406"/>
  <c r="EA29" i="406"/>
  <c r="DZ29" i="406"/>
  <c r="DY29" i="406"/>
  <c r="DX29" i="406"/>
  <c r="DW29" i="406"/>
  <c r="DT29" i="406"/>
  <c r="DS29" i="406"/>
  <c r="DR29" i="406"/>
  <c r="DQ29" i="406"/>
  <c r="DP29" i="406"/>
  <c r="DO29" i="406"/>
  <c r="DN29" i="406"/>
  <c r="DM29" i="406"/>
  <c r="DL29" i="406"/>
  <c r="DK29" i="406"/>
  <c r="DJ29" i="406"/>
  <c r="DI29" i="406"/>
  <c r="DH29" i="406"/>
  <c r="DG29" i="406"/>
  <c r="DF29" i="406"/>
  <c r="DE29" i="406"/>
  <c r="DD29" i="406"/>
  <c r="DC29" i="406"/>
  <c r="DB29" i="406"/>
  <c r="DA29" i="406"/>
  <c r="CZ29" i="406"/>
  <c r="CY29" i="406"/>
  <c r="CX29" i="406"/>
  <c r="CW29" i="406"/>
  <c r="CV29" i="406"/>
  <c r="CU29" i="406"/>
  <c r="CT29" i="406"/>
  <c r="CS29" i="406"/>
  <c r="CR29" i="406"/>
  <c r="CQ29" i="406"/>
  <c r="CP29" i="406"/>
  <c r="CO29" i="406"/>
  <c r="CN29" i="406"/>
  <c r="CM29" i="406"/>
  <c r="CL29" i="406"/>
  <c r="CK29" i="406"/>
  <c r="CJ29" i="406"/>
  <c r="CI29" i="406"/>
  <c r="CH29" i="406"/>
  <c r="CG29" i="406"/>
  <c r="CF29" i="406"/>
  <c r="CE29" i="406"/>
  <c r="CD29" i="406"/>
  <c r="CC29" i="406"/>
  <c r="CB29" i="406"/>
  <c r="CA29" i="406"/>
  <c r="BZ29" i="406"/>
  <c r="BY29" i="406"/>
  <c r="BX29" i="406"/>
  <c r="BW29" i="406"/>
  <c r="BV29" i="406"/>
  <c r="BU29" i="406"/>
  <c r="BT29" i="406"/>
  <c r="BS29" i="406"/>
  <c r="BR29" i="406"/>
  <c r="BQ29" i="406"/>
  <c r="BP29" i="406"/>
  <c r="BO29" i="406"/>
  <c r="BN29" i="406"/>
  <c r="BM29" i="406"/>
  <c r="BL29" i="406"/>
  <c r="BK29" i="406"/>
  <c r="BJ29" i="406"/>
  <c r="BI29" i="406"/>
  <c r="BH29" i="406"/>
  <c r="BG29" i="406"/>
  <c r="BF29" i="406"/>
  <c r="BE29" i="406"/>
  <c r="BD29" i="406"/>
  <c r="BC29" i="406"/>
  <c r="BB29" i="406"/>
  <c r="BA29" i="406"/>
  <c r="AZ29" i="406"/>
  <c r="AY29" i="406"/>
  <c r="AX29" i="406"/>
  <c r="AW29" i="406"/>
  <c r="AV29" i="406"/>
  <c r="AU29" i="406"/>
  <c r="AT29" i="406"/>
  <c r="AS29" i="406"/>
  <c r="AR29" i="406"/>
  <c r="AQ29" i="406"/>
  <c r="AP29" i="406"/>
  <c r="AO29" i="406"/>
  <c r="AN29" i="406"/>
  <c r="AM29" i="406"/>
  <c r="AL29" i="406"/>
  <c r="AK29" i="406"/>
  <c r="AJ29" i="406"/>
  <c r="AI29" i="406"/>
  <c r="AH29" i="406"/>
  <c r="AG29" i="406"/>
  <c r="AF29" i="406"/>
  <c r="AE29" i="406"/>
  <c r="AD29" i="406"/>
  <c r="AC29" i="406"/>
  <c r="AB29" i="406"/>
  <c r="AA29" i="406"/>
  <c r="Z29" i="406"/>
  <c r="Y29" i="406"/>
  <c r="U29" i="406"/>
  <c r="T29" i="406"/>
  <c r="R29" i="406"/>
  <c r="Q29" i="406"/>
  <c r="O29" i="406"/>
  <c r="N29" i="406"/>
  <c r="M29" i="406"/>
  <c r="G29" i="406"/>
  <c r="C29" i="406"/>
  <c r="HR28" i="406"/>
  <c r="HQ28" i="406"/>
  <c r="HP28" i="406"/>
  <c r="HO28" i="406"/>
  <c r="HN28" i="406"/>
  <c r="HM28" i="406"/>
  <c r="HL28" i="406"/>
  <c r="HK28" i="406"/>
  <c r="HJ28" i="406"/>
  <c r="HI28" i="406"/>
  <c r="HH28" i="406"/>
  <c r="HG28" i="406"/>
  <c r="HF28" i="406"/>
  <c r="HE28" i="406"/>
  <c r="HD28" i="406"/>
  <c r="HC28" i="406"/>
  <c r="HB28" i="406"/>
  <c r="HA28" i="406"/>
  <c r="GZ28" i="406"/>
  <c r="GY28" i="406"/>
  <c r="GX28" i="406"/>
  <c r="GW28" i="406"/>
  <c r="GV28" i="406"/>
  <c r="GU28" i="406"/>
  <c r="GT28" i="406"/>
  <c r="GS28" i="406"/>
  <c r="GR28" i="406"/>
  <c r="GQ28" i="406"/>
  <c r="GP28" i="406"/>
  <c r="GO28" i="406"/>
  <c r="GN28" i="406"/>
  <c r="GM28" i="406"/>
  <c r="GL28" i="406"/>
  <c r="GK28" i="406"/>
  <c r="GJ28" i="406"/>
  <c r="GI28" i="406"/>
  <c r="GH28" i="406"/>
  <c r="GG28" i="406"/>
  <c r="GF28" i="406"/>
  <c r="GE28" i="406"/>
  <c r="GD28" i="406"/>
  <c r="GC28" i="406"/>
  <c r="GB28" i="406"/>
  <c r="GA28" i="406"/>
  <c r="FZ28" i="406"/>
  <c r="FY28" i="406"/>
  <c r="FX28" i="406"/>
  <c r="FW28" i="406"/>
  <c r="FV28" i="406"/>
  <c r="FU28" i="406"/>
  <c r="FT28" i="406"/>
  <c r="FS28" i="406"/>
  <c r="FR28" i="406"/>
  <c r="FQ28" i="406"/>
  <c r="FP28" i="406"/>
  <c r="FO28" i="406"/>
  <c r="FN28" i="406"/>
  <c r="FM28" i="406"/>
  <c r="FL28" i="406"/>
  <c r="FK28" i="406"/>
  <c r="FJ28" i="406"/>
  <c r="FI28" i="406"/>
  <c r="FH28" i="406"/>
  <c r="FG28" i="406"/>
  <c r="FF28" i="406"/>
  <c r="FE28" i="406"/>
  <c r="FD28" i="406"/>
  <c r="FC28" i="406"/>
  <c r="FB28" i="406"/>
  <c r="FA28" i="406"/>
  <c r="EZ28" i="406"/>
  <c r="EY28" i="406"/>
  <c r="EX28" i="406"/>
  <c r="EW28" i="406"/>
  <c r="EV28" i="406"/>
  <c r="EU28" i="406"/>
  <c r="ET28" i="406"/>
  <c r="ES28" i="406"/>
  <c r="ER28" i="406"/>
  <c r="EQ28" i="406"/>
  <c r="EP28" i="406"/>
  <c r="EO28" i="406"/>
  <c r="EN28" i="406"/>
  <c r="EM28" i="406"/>
  <c r="EL28" i="406"/>
  <c r="EK28" i="406"/>
  <c r="EJ28" i="406"/>
  <c r="EI28" i="406"/>
  <c r="EH28" i="406"/>
  <c r="EG28" i="406"/>
  <c r="EF28" i="406"/>
  <c r="EE28" i="406"/>
  <c r="ED28" i="406"/>
  <c r="EC28" i="406"/>
  <c r="EB28" i="406"/>
  <c r="EA28" i="406"/>
  <c r="DZ28" i="406"/>
  <c r="DY28" i="406"/>
  <c r="DX28" i="406"/>
  <c r="DW28" i="406"/>
  <c r="DT28" i="406"/>
  <c r="DS28" i="406"/>
  <c r="DR28" i="406"/>
  <c r="DQ28" i="406"/>
  <c r="DP28" i="406"/>
  <c r="DO28" i="406"/>
  <c r="DN28" i="406"/>
  <c r="DM28" i="406"/>
  <c r="DL28" i="406"/>
  <c r="DK28" i="406"/>
  <c r="DJ28" i="406"/>
  <c r="DI28" i="406"/>
  <c r="DH28" i="406"/>
  <c r="DG28" i="406"/>
  <c r="DF28" i="406"/>
  <c r="DE28" i="406"/>
  <c r="DD28" i="406"/>
  <c r="DC28" i="406"/>
  <c r="DB28" i="406"/>
  <c r="DA28" i="406"/>
  <c r="CZ28" i="406"/>
  <c r="CY28" i="406"/>
  <c r="CX28" i="406"/>
  <c r="CW28" i="406"/>
  <c r="CV28" i="406"/>
  <c r="CU28" i="406"/>
  <c r="CT28" i="406"/>
  <c r="CS28" i="406"/>
  <c r="CR28" i="406"/>
  <c r="CQ28" i="406"/>
  <c r="CP28" i="406"/>
  <c r="CO28" i="406"/>
  <c r="CN28" i="406"/>
  <c r="CM28" i="406"/>
  <c r="CL28" i="406"/>
  <c r="CK28" i="406"/>
  <c r="CJ28" i="406"/>
  <c r="CI28" i="406"/>
  <c r="CH28" i="406"/>
  <c r="CG28" i="406"/>
  <c r="CF28" i="406"/>
  <c r="CE28" i="406"/>
  <c r="CD28" i="406"/>
  <c r="CC28" i="406"/>
  <c r="CB28" i="406"/>
  <c r="CA28" i="406"/>
  <c r="BZ28" i="406"/>
  <c r="BY28" i="406"/>
  <c r="BX28" i="406"/>
  <c r="BW28" i="406"/>
  <c r="BV28" i="406"/>
  <c r="BU28" i="406"/>
  <c r="BT28" i="406"/>
  <c r="BS28" i="406"/>
  <c r="BR28" i="406"/>
  <c r="BQ28" i="406"/>
  <c r="BP28" i="406"/>
  <c r="BO28" i="406"/>
  <c r="BN28" i="406"/>
  <c r="BM28" i="406"/>
  <c r="BL28" i="406"/>
  <c r="BK28" i="406"/>
  <c r="BJ28" i="406"/>
  <c r="BI28" i="406"/>
  <c r="BH28" i="406"/>
  <c r="BG28" i="406"/>
  <c r="BF28" i="406"/>
  <c r="BE28" i="406"/>
  <c r="BD28" i="406"/>
  <c r="BC28" i="406"/>
  <c r="BB28" i="406"/>
  <c r="BA28" i="406"/>
  <c r="AZ28" i="406"/>
  <c r="AY28" i="406"/>
  <c r="AX28" i="406"/>
  <c r="AW28" i="406"/>
  <c r="AV28" i="406"/>
  <c r="AU28" i="406"/>
  <c r="AT28" i="406"/>
  <c r="AS28" i="406"/>
  <c r="AR28" i="406"/>
  <c r="AQ28" i="406"/>
  <c r="AP28" i="406"/>
  <c r="AO28" i="406"/>
  <c r="AN28" i="406"/>
  <c r="AM28" i="406"/>
  <c r="AL28" i="406"/>
  <c r="AK28" i="406"/>
  <c r="AJ28" i="406"/>
  <c r="AI28" i="406"/>
  <c r="AH28" i="406"/>
  <c r="AG28" i="406"/>
  <c r="AF28" i="406"/>
  <c r="AE28" i="406"/>
  <c r="AD28" i="406"/>
  <c r="AC28" i="406"/>
  <c r="AB28" i="406"/>
  <c r="AA28" i="406"/>
  <c r="Z28" i="406"/>
  <c r="Y28" i="406"/>
  <c r="T28" i="406"/>
  <c r="U28" i="406" s="1"/>
  <c r="R28" i="406"/>
  <c r="Q28" i="406"/>
  <c r="O28" i="406"/>
  <c r="N28" i="406"/>
  <c r="M28" i="406"/>
  <c r="G28" i="406"/>
  <c r="C28" i="406"/>
  <c r="HR27" i="406"/>
  <c r="HQ27" i="406"/>
  <c r="HP27" i="406"/>
  <c r="HO27" i="406"/>
  <c r="HN27" i="406"/>
  <c r="HM27" i="406"/>
  <c r="HL27" i="406"/>
  <c r="HK27" i="406"/>
  <c r="HJ27" i="406"/>
  <c r="HI27" i="406"/>
  <c r="HH27" i="406"/>
  <c r="HG27" i="406"/>
  <c r="HF27" i="406"/>
  <c r="HE27" i="406"/>
  <c r="HD27" i="406"/>
  <c r="HC27" i="406"/>
  <c r="HB27" i="406"/>
  <c r="HA27" i="406"/>
  <c r="GZ27" i="406"/>
  <c r="GY27" i="406"/>
  <c r="GX27" i="406"/>
  <c r="GW27" i="406"/>
  <c r="GV27" i="406"/>
  <c r="GU27" i="406"/>
  <c r="GT27" i="406"/>
  <c r="GS27" i="406"/>
  <c r="GR27" i="406"/>
  <c r="GQ27" i="406"/>
  <c r="GP27" i="406"/>
  <c r="GO27" i="406"/>
  <c r="GN27" i="406"/>
  <c r="GM27" i="406"/>
  <c r="GL27" i="406"/>
  <c r="GK27" i="406"/>
  <c r="GJ27" i="406"/>
  <c r="GI27" i="406"/>
  <c r="GH27" i="406"/>
  <c r="GG27" i="406"/>
  <c r="GF27" i="406"/>
  <c r="GE27" i="406"/>
  <c r="GD27" i="406"/>
  <c r="GC27" i="406"/>
  <c r="GB27" i="406"/>
  <c r="GA27" i="406"/>
  <c r="FZ27" i="406"/>
  <c r="FY27" i="406"/>
  <c r="FX27" i="406"/>
  <c r="FW27" i="406"/>
  <c r="FV27" i="406"/>
  <c r="FU27" i="406"/>
  <c r="FT27" i="406"/>
  <c r="FS27" i="406"/>
  <c r="FR27" i="406"/>
  <c r="FQ27" i="406"/>
  <c r="FP27" i="406"/>
  <c r="FO27" i="406"/>
  <c r="FN27" i="406"/>
  <c r="FM27" i="406"/>
  <c r="FL27" i="406"/>
  <c r="FK27" i="406"/>
  <c r="FJ27" i="406"/>
  <c r="FI27" i="406"/>
  <c r="FH27" i="406"/>
  <c r="FG27" i="406"/>
  <c r="FF27" i="406"/>
  <c r="FE27" i="406"/>
  <c r="FD27" i="406"/>
  <c r="FC27" i="406"/>
  <c r="FB27" i="406"/>
  <c r="FA27" i="406"/>
  <c r="EZ27" i="406"/>
  <c r="EY27" i="406"/>
  <c r="EX27" i="406"/>
  <c r="EW27" i="406"/>
  <c r="EV27" i="406"/>
  <c r="EU27" i="406"/>
  <c r="ET27" i="406"/>
  <c r="ES27" i="406"/>
  <c r="ER27" i="406"/>
  <c r="EQ27" i="406"/>
  <c r="EP27" i="406"/>
  <c r="EO27" i="406"/>
  <c r="EN27" i="406"/>
  <c r="EM27" i="406"/>
  <c r="EL27" i="406"/>
  <c r="EK27" i="406"/>
  <c r="EJ27" i="406"/>
  <c r="EI27" i="406"/>
  <c r="EH27" i="406"/>
  <c r="EG27" i="406"/>
  <c r="EF27" i="406"/>
  <c r="EE27" i="406"/>
  <c r="ED27" i="406"/>
  <c r="EC27" i="406"/>
  <c r="EB27" i="406"/>
  <c r="EA27" i="406"/>
  <c r="DZ27" i="406"/>
  <c r="DY27" i="406"/>
  <c r="DX27" i="406"/>
  <c r="DW27" i="406"/>
  <c r="DT27" i="406"/>
  <c r="DS27" i="406"/>
  <c r="DR27" i="406"/>
  <c r="DQ27" i="406"/>
  <c r="DP27" i="406"/>
  <c r="DO27" i="406"/>
  <c r="DN27" i="406"/>
  <c r="DM27" i="406"/>
  <c r="DL27" i="406"/>
  <c r="DK27" i="406"/>
  <c r="DJ27" i="406"/>
  <c r="DI27" i="406"/>
  <c r="DH27" i="406"/>
  <c r="DG27" i="406"/>
  <c r="DF27" i="406"/>
  <c r="DE27" i="406"/>
  <c r="DD27" i="406"/>
  <c r="DC27" i="406"/>
  <c r="DB27" i="406"/>
  <c r="DA27" i="406"/>
  <c r="CZ27" i="406"/>
  <c r="CY27" i="406"/>
  <c r="CX27" i="406"/>
  <c r="CW27" i="406"/>
  <c r="CV27" i="406"/>
  <c r="CU27" i="406"/>
  <c r="CT27" i="406"/>
  <c r="CS27" i="406"/>
  <c r="CR27" i="406"/>
  <c r="CQ27" i="406"/>
  <c r="CP27" i="406"/>
  <c r="CO27" i="406"/>
  <c r="CN27" i="406"/>
  <c r="CM27" i="406"/>
  <c r="CL27" i="406"/>
  <c r="CK27" i="406"/>
  <c r="CJ27" i="406"/>
  <c r="CI27" i="406"/>
  <c r="CH27" i="406"/>
  <c r="CG27" i="406"/>
  <c r="CF27" i="406"/>
  <c r="CE27" i="406"/>
  <c r="CD27" i="406"/>
  <c r="CC27" i="406"/>
  <c r="CB27" i="406"/>
  <c r="CA27" i="406"/>
  <c r="BZ27" i="406"/>
  <c r="BY27" i="406"/>
  <c r="BX27" i="406"/>
  <c r="BW27" i="406"/>
  <c r="BV27" i="406"/>
  <c r="BU27" i="406"/>
  <c r="BT27" i="406"/>
  <c r="BS27" i="406"/>
  <c r="BR27" i="406"/>
  <c r="BQ27" i="406"/>
  <c r="BP27" i="406"/>
  <c r="BO27" i="406"/>
  <c r="BN27" i="406"/>
  <c r="BM27" i="406"/>
  <c r="BL27" i="406"/>
  <c r="BK27" i="406"/>
  <c r="BJ27" i="406"/>
  <c r="BI27" i="406"/>
  <c r="BH27" i="406"/>
  <c r="BG27" i="406"/>
  <c r="BF27" i="406"/>
  <c r="BE27" i="406"/>
  <c r="BD27" i="406"/>
  <c r="BC27" i="406"/>
  <c r="BB27" i="406"/>
  <c r="BA27" i="406"/>
  <c r="AZ27" i="406"/>
  <c r="AY27" i="406"/>
  <c r="AX27" i="406"/>
  <c r="AW27" i="406"/>
  <c r="AV27" i="406"/>
  <c r="AU27" i="406"/>
  <c r="AT27" i="406"/>
  <c r="AS27" i="406"/>
  <c r="AR27" i="406"/>
  <c r="AQ27" i="406"/>
  <c r="AP27" i="406"/>
  <c r="AO27" i="406"/>
  <c r="AN27" i="406"/>
  <c r="AM27" i="406"/>
  <c r="AL27" i="406"/>
  <c r="AK27" i="406"/>
  <c r="AJ27" i="406"/>
  <c r="AI27" i="406"/>
  <c r="AH27" i="406"/>
  <c r="AG27" i="406"/>
  <c r="AF27" i="406"/>
  <c r="AE27" i="406"/>
  <c r="AD27" i="406"/>
  <c r="AC27" i="406"/>
  <c r="AB27" i="406"/>
  <c r="AA27" i="406"/>
  <c r="Z27" i="406"/>
  <c r="Y27" i="406"/>
  <c r="T27" i="406"/>
  <c r="U27" i="406" s="1"/>
  <c r="R27" i="406"/>
  <c r="Q27" i="406"/>
  <c r="O27" i="406"/>
  <c r="N27" i="406"/>
  <c r="M27" i="406"/>
  <c r="G27" i="406"/>
  <c r="C27" i="406"/>
  <c r="HR26" i="406"/>
  <c r="HQ26" i="406"/>
  <c r="HP26" i="406"/>
  <c r="HO26" i="406"/>
  <c r="HN26" i="406"/>
  <c r="HM26" i="406"/>
  <c r="HL26" i="406"/>
  <c r="HK26" i="406"/>
  <c r="HJ26" i="406"/>
  <c r="HI26" i="406"/>
  <c r="HH26" i="406"/>
  <c r="HG26" i="406"/>
  <c r="HF26" i="406"/>
  <c r="HE26" i="406"/>
  <c r="HD26" i="406"/>
  <c r="HC26" i="406"/>
  <c r="HB26" i="406"/>
  <c r="HA26" i="406"/>
  <c r="GZ26" i="406"/>
  <c r="GY26" i="406"/>
  <c r="GX26" i="406"/>
  <c r="GW26" i="406"/>
  <c r="GV26" i="406"/>
  <c r="GU26" i="406"/>
  <c r="GT26" i="406"/>
  <c r="GS26" i="406"/>
  <c r="GR26" i="406"/>
  <c r="GQ26" i="406"/>
  <c r="GP26" i="406"/>
  <c r="GO26" i="406"/>
  <c r="GN26" i="406"/>
  <c r="GM26" i="406"/>
  <c r="GL26" i="406"/>
  <c r="GK26" i="406"/>
  <c r="GJ26" i="406"/>
  <c r="GI26" i="406"/>
  <c r="GH26" i="406"/>
  <c r="GG26" i="406"/>
  <c r="GF26" i="406"/>
  <c r="GE26" i="406"/>
  <c r="GD26" i="406"/>
  <c r="GC26" i="406"/>
  <c r="GB26" i="406"/>
  <c r="GA26" i="406"/>
  <c r="FZ26" i="406"/>
  <c r="FY26" i="406"/>
  <c r="FX26" i="406"/>
  <c r="FW26" i="406"/>
  <c r="FV26" i="406"/>
  <c r="FU26" i="406"/>
  <c r="FT26" i="406"/>
  <c r="FS26" i="406"/>
  <c r="FR26" i="406"/>
  <c r="FQ26" i="406"/>
  <c r="FP26" i="406"/>
  <c r="FO26" i="406"/>
  <c r="FN26" i="406"/>
  <c r="FM26" i="406"/>
  <c r="FL26" i="406"/>
  <c r="FK26" i="406"/>
  <c r="FJ26" i="406"/>
  <c r="FI26" i="406"/>
  <c r="FH26" i="406"/>
  <c r="FG26" i="406"/>
  <c r="FF26" i="406"/>
  <c r="FE26" i="406"/>
  <c r="FD26" i="406"/>
  <c r="FC26" i="406"/>
  <c r="FB26" i="406"/>
  <c r="FA26" i="406"/>
  <c r="EZ26" i="406"/>
  <c r="EY26" i="406"/>
  <c r="EX26" i="406"/>
  <c r="EW26" i="406"/>
  <c r="EV26" i="406"/>
  <c r="EU26" i="406"/>
  <c r="ET26" i="406"/>
  <c r="ES26" i="406"/>
  <c r="ER26" i="406"/>
  <c r="EQ26" i="406"/>
  <c r="EP26" i="406"/>
  <c r="EO26" i="406"/>
  <c r="EN26" i="406"/>
  <c r="EM26" i="406"/>
  <c r="EL26" i="406"/>
  <c r="EK26" i="406"/>
  <c r="EJ26" i="406"/>
  <c r="EI26" i="406"/>
  <c r="EH26" i="406"/>
  <c r="EG26" i="406"/>
  <c r="EF26" i="406"/>
  <c r="EE26" i="406"/>
  <c r="ED26" i="406"/>
  <c r="EC26" i="406"/>
  <c r="EB26" i="406"/>
  <c r="EA26" i="406"/>
  <c r="DZ26" i="406"/>
  <c r="DY26" i="406"/>
  <c r="DX26" i="406"/>
  <c r="DW26" i="406"/>
  <c r="DT26" i="406"/>
  <c r="DS26" i="406"/>
  <c r="DR26" i="406"/>
  <c r="DQ26" i="406"/>
  <c r="DP26" i="406"/>
  <c r="DO26" i="406"/>
  <c r="DN26" i="406"/>
  <c r="DM26" i="406"/>
  <c r="DL26" i="406"/>
  <c r="DK26" i="406"/>
  <c r="DJ26" i="406"/>
  <c r="DI26" i="406"/>
  <c r="DH26" i="406"/>
  <c r="DG26" i="406"/>
  <c r="DF26" i="406"/>
  <c r="DE26" i="406"/>
  <c r="DD26" i="406"/>
  <c r="DC26" i="406"/>
  <c r="DB26" i="406"/>
  <c r="DA26" i="406"/>
  <c r="CZ26" i="406"/>
  <c r="CY26" i="406"/>
  <c r="CX26" i="406"/>
  <c r="CW26" i="406"/>
  <c r="CV26" i="406"/>
  <c r="CU26" i="406"/>
  <c r="CT26" i="406"/>
  <c r="CS26" i="406"/>
  <c r="CR26" i="406"/>
  <c r="CQ26" i="406"/>
  <c r="CP26" i="406"/>
  <c r="CO26" i="406"/>
  <c r="CN26" i="406"/>
  <c r="CM26" i="406"/>
  <c r="CL26" i="406"/>
  <c r="CK26" i="406"/>
  <c r="CJ26" i="406"/>
  <c r="CI26" i="406"/>
  <c r="CH26" i="406"/>
  <c r="CG26" i="406"/>
  <c r="CF26" i="406"/>
  <c r="CE26" i="406"/>
  <c r="CD26" i="406"/>
  <c r="CC26" i="406"/>
  <c r="CB26" i="406"/>
  <c r="CA26" i="406"/>
  <c r="BZ26" i="406"/>
  <c r="BY26" i="406"/>
  <c r="BX26" i="406"/>
  <c r="BW26" i="406"/>
  <c r="BV26" i="406"/>
  <c r="BU26" i="406"/>
  <c r="BT26" i="406"/>
  <c r="BS26" i="406"/>
  <c r="BR26" i="406"/>
  <c r="BQ26" i="406"/>
  <c r="BP26" i="406"/>
  <c r="BO26" i="406"/>
  <c r="BN26" i="406"/>
  <c r="BM26" i="406"/>
  <c r="BL26" i="406"/>
  <c r="BK26" i="406"/>
  <c r="BJ26" i="406"/>
  <c r="BI26" i="406"/>
  <c r="BH26" i="406"/>
  <c r="BG26" i="406"/>
  <c r="BF26" i="406"/>
  <c r="BE26" i="406"/>
  <c r="BD26" i="406"/>
  <c r="BC26" i="406"/>
  <c r="BB26" i="406"/>
  <c r="BA26" i="406"/>
  <c r="AZ26" i="406"/>
  <c r="AY26" i="406"/>
  <c r="AX26" i="406"/>
  <c r="AW26" i="406"/>
  <c r="AV26" i="406"/>
  <c r="AU26" i="406"/>
  <c r="AT26" i="406"/>
  <c r="AS26" i="406"/>
  <c r="AR26" i="406"/>
  <c r="AQ26" i="406"/>
  <c r="AP26" i="406"/>
  <c r="AO26" i="406"/>
  <c r="AN26" i="406"/>
  <c r="AM26" i="406"/>
  <c r="AL26" i="406"/>
  <c r="AK26" i="406"/>
  <c r="AJ26" i="406"/>
  <c r="AI26" i="406"/>
  <c r="AH26" i="406"/>
  <c r="AG26" i="406"/>
  <c r="AF26" i="406"/>
  <c r="AE26" i="406"/>
  <c r="AD26" i="406"/>
  <c r="AC26" i="406"/>
  <c r="AB26" i="406"/>
  <c r="AA26" i="406"/>
  <c r="Z26" i="406"/>
  <c r="Y26" i="406"/>
  <c r="T26" i="406"/>
  <c r="U26" i="406" s="1"/>
  <c r="R26" i="406"/>
  <c r="Q26" i="406"/>
  <c r="O26" i="406"/>
  <c r="N26" i="406"/>
  <c r="M26" i="406"/>
  <c r="G26" i="406"/>
  <c r="C26" i="406"/>
  <c r="HR25" i="406"/>
  <c r="HQ25" i="406"/>
  <c r="HP25" i="406"/>
  <c r="HO25" i="406"/>
  <c r="HN25" i="406"/>
  <c r="HM25" i="406"/>
  <c r="HL25" i="406"/>
  <c r="HK25" i="406"/>
  <c r="HJ25" i="406"/>
  <c r="HI25" i="406"/>
  <c r="HH25" i="406"/>
  <c r="HG25" i="406"/>
  <c r="HF25" i="406"/>
  <c r="HE25" i="406"/>
  <c r="HD25" i="406"/>
  <c r="HC25" i="406"/>
  <c r="HB25" i="406"/>
  <c r="HA25" i="406"/>
  <c r="GZ25" i="406"/>
  <c r="GY25" i="406"/>
  <c r="GX25" i="406"/>
  <c r="GW25" i="406"/>
  <c r="GV25" i="406"/>
  <c r="GU25" i="406"/>
  <c r="GT25" i="406"/>
  <c r="GS25" i="406"/>
  <c r="GR25" i="406"/>
  <c r="GQ25" i="406"/>
  <c r="GP25" i="406"/>
  <c r="GO25" i="406"/>
  <c r="GN25" i="406"/>
  <c r="GM25" i="406"/>
  <c r="GL25" i="406"/>
  <c r="GK25" i="406"/>
  <c r="GJ25" i="406"/>
  <c r="GI25" i="406"/>
  <c r="GH25" i="406"/>
  <c r="GG25" i="406"/>
  <c r="GF25" i="406"/>
  <c r="GE25" i="406"/>
  <c r="GD25" i="406"/>
  <c r="GC25" i="406"/>
  <c r="GB25" i="406"/>
  <c r="GA25" i="406"/>
  <c r="FZ25" i="406"/>
  <c r="FY25" i="406"/>
  <c r="FX25" i="406"/>
  <c r="FW25" i="406"/>
  <c r="FV25" i="406"/>
  <c r="FU25" i="406"/>
  <c r="FT25" i="406"/>
  <c r="FS25" i="406"/>
  <c r="FR25" i="406"/>
  <c r="FQ25" i="406"/>
  <c r="FP25" i="406"/>
  <c r="FO25" i="406"/>
  <c r="FN25" i="406"/>
  <c r="FM25" i="406"/>
  <c r="FL25" i="406"/>
  <c r="FK25" i="406"/>
  <c r="FJ25" i="406"/>
  <c r="FI25" i="406"/>
  <c r="FH25" i="406"/>
  <c r="FG25" i="406"/>
  <c r="FF25" i="406"/>
  <c r="FE25" i="406"/>
  <c r="FD25" i="406"/>
  <c r="FC25" i="406"/>
  <c r="FB25" i="406"/>
  <c r="FA25" i="406"/>
  <c r="EZ25" i="406"/>
  <c r="EY25" i="406"/>
  <c r="EX25" i="406"/>
  <c r="EW25" i="406"/>
  <c r="EV25" i="406"/>
  <c r="EU25" i="406"/>
  <c r="ET25" i="406"/>
  <c r="ES25" i="406"/>
  <c r="ER25" i="406"/>
  <c r="EQ25" i="406"/>
  <c r="EP25" i="406"/>
  <c r="EO25" i="406"/>
  <c r="EN25" i="406"/>
  <c r="EM25" i="406"/>
  <c r="EL25" i="406"/>
  <c r="EK25" i="406"/>
  <c r="EJ25" i="406"/>
  <c r="EI25" i="406"/>
  <c r="EH25" i="406"/>
  <c r="EG25" i="406"/>
  <c r="EF25" i="406"/>
  <c r="EE25" i="406"/>
  <c r="ED25" i="406"/>
  <c r="EC25" i="406"/>
  <c r="EB25" i="406"/>
  <c r="EA25" i="406"/>
  <c r="DZ25" i="406"/>
  <c r="DY25" i="406"/>
  <c r="DX25" i="406"/>
  <c r="DW25" i="406"/>
  <c r="DT25" i="406"/>
  <c r="DS25" i="406"/>
  <c r="DR25" i="406"/>
  <c r="DQ25" i="406"/>
  <c r="DP25" i="406"/>
  <c r="DO25" i="406"/>
  <c r="DN25" i="406"/>
  <c r="DM25" i="406"/>
  <c r="DL25" i="406"/>
  <c r="DK25" i="406"/>
  <c r="DJ25" i="406"/>
  <c r="DI25" i="406"/>
  <c r="DH25" i="406"/>
  <c r="DG25" i="406"/>
  <c r="DF25" i="406"/>
  <c r="DE25" i="406"/>
  <c r="DD25" i="406"/>
  <c r="DC25" i="406"/>
  <c r="DB25" i="406"/>
  <c r="DA25" i="406"/>
  <c r="CZ25" i="406"/>
  <c r="CY25" i="406"/>
  <c r="CX25" i="406"/>
  <c r="CW25" i="406"/>
  <c r="CV25" i="406"/>
  <c r="CU25" i="406"/>
  <c r="CT25" i="406"/>
  <c r="CS25" i="406"/>
  <c r="CR25" i="406"/>
  <c r="CQ25" i="406"/>
  <c r="CP25" i="406"/>
  <c r="CO25" i="406"/>
  <c r="CN25" i="406"/>
  <c r="CM25" i="406"/>
  <c r="CL25" i="406"/>
  <c r="CK25" i="406"/>
  <c r="CJ25" i="406"/>
  <c r="CI25" i="406"/>
  <c r="CH25" i="406"/>
  <c r="CG25" i="406"/>
  <c r="CF25" i="406"/>
  <c r="CE25" i="406"/>
  <c r="CD25" i="406"/>
  <c r="CC25" i="406"/>
  <c r="CB25" i="406"/>
  <c r="CA25" i="406"/>
  <c r="BZ25" i="406"/>
  <c r="BY25" i="406"/>
  <c r="BX25" i="406"/>
  <c r="BW25" i="406"/>
  <c r="BV25" i="406"/>
  <c r="BU25" i="406"/>
  <c r="BT25" i="406"/>
  <c r="BS25" i="406"/>
  <c r="BR25" i="406"/>
  <c r="BQ25" i="406"/>
  <c r="BP25" i="406"/>
  <c r="BO25" i="406"/>
  <c r="BN25" i="406"/>
  <c r="BM25" i="406"/>
  <c r="BL25" i="406"/>
  <c r="BK25" i="406"/>
  <c r="BJ25" i="406"/>
  <c r="BI25" i="406"/>
  <c r="BH25" i="406"/>
  <c r="BG25" i="406"/>
  <c r="BF25" i="406"/>
  <c r="BE25" i="406"/>
  <c r="BD25" i="406"/>
  <c r="BC25" i="406"/>
  <c r="BB25" i="406"/>
  <c r="BA25" i="406"/>
  <c r="AZ25" i="406"/>
  <c r="AY25" i="406"/>
  <c r="AX25" i="406"/>
  <c r="AW25" i="406"/>
  <c r="AV25" i="406"/>
  <c r="AU25" i="406"/>
  <c r="AT25" i="406"/>
  <c r="AS25" i="406"/>
  <c r="AR25" i="406"/>
  <c r="AQ25" i="406"/>
  <c r="AP25" i="406"/>
  <c r="AO25" i="406"/>
  <c r="AN25" i="406"/>
  <c r="AM25" i="406"/>
  <c r="AL25" i="406"/>
  <c r="AK25" i="406"/>
  <c r="AJ25" i="406"/>
  <c r="AI25" i="406"/>
  <c r="AH25" i="406"/>
  <c r="AG25" i="406"/>
  <c r="AF25" i="406"/>
  <c r="AE25" i="406"/>
  <c r="AD25" i="406"/>
  <c r="AC25" i="406"/>
  <c r="AB25" i="406"/>
  <c r="AA25" i="406"/>
  <c r="Z25" i="406"/>
  <c r="Y25" i="406"/>
  <c r="U25" i="406"/>
  <c r="T25" i="406"/>
  <c r="R25" i="406"/>
  <c r="Q25" i="406"/>
  <c r="O25" i="406"/>
  <c r="N25" i="406"/>
  <c r="M25" i="406"/>
  <c r="G25" i="406"/>
  <c r="C25" i="406"/>
  <c r="HR24" i="406"/>
  <c r="HQ24" i="406"/>
  <c r="HP24" i="406"/>
  <c r="HO24" i="406"/>
  <c r="HN24" i="406"/>
  <c r="HM24" i="406"/>
  <c r="HL24" i="406"/>
  <c r="HK24" i="406"/>
  <c r="HJ24" i="406"/>
  <c r="HI24" i="406"/>
  <c r="HH24" i="406"/>
  <c r="HG24" i="406"/>
  <c r="HF24" i="406"/>
  <c r="HE24" i="406"/>
  <c r="HD24" i="406"/>
  <c r="HC24" i="406"/>
  <c r="HB24" i="406"/>
  <c r="HA24" i="406"/>
  <c r="GZ24" i="406"/>
  <c r="GY24" i="406"/>
  <c r="GX24" i="406"/>
  <c r="GW24" i="406"/>
  <c r="GV24" i="406"/>
  <c r="GU24" i="406"/>
  <c r="GT24" i="406"/>
  <c r="GS24" i="406"/>
  <c r="GR24" i="406"/>
  <c r="GQ24" i="406"/>
  <c r="GP24" i="406"/>
  <c r="GO24" i="406"/>
  <c r="GN24" i="406"/>
  <c r="GM24" i="406"/>
  <c r="GL24" i="406"/>
  <c r="GK24" i="406"/>
  <c r="GJ24" i="406"/>
  <c r="GI24" i="406"/>
  <c r="GH24" i="406"/>
  <c r="GG24" i="406"/>
  <c r="GF24" i="406"/>
  <c r="GE24" i="406"/>
  <c r="GD24" i="406"/>
  <c r="GC24" i="406"/>
  <c r="GB24" i="406"/>
  <c r="GA24" i="406"/>
  <c r="FZ24" i="406"/>
  <c r="FY24" i="406"/>
  <c r="FX24" i="406"/>
  <c r="FW24" i="406"/>
  <c r="FV24" i="406"/>
  <c r="FU24" i="406"/>
  <c r="FT24" i="406"/>
  <c r="FS24" i="406"/>
  <c r="FR24" i="406"/>
  <c r="FQ24" i="406"/>
  <c r="FP24" i="406"/>
  <c r="FO24" i="406"/>
  <c r="FN24" i="406"/>
  <c r="FM24" i="406"/>
  <c r="FL24" i="406"/>
  <c r="FK24" i="406"/>
  <c r="FJ24" i="406"/>
  <c r="FI24" i="406"/>
  <c r="FH24" i="406"/>
  <c r="FG24" i="406"/>
  <c r="FF24" i="406"/>
  <c r="FE24" i="406"/>
  <c r="FD24" i="406"/>
  <c r="FC24" i="406"/>
  <c r="FB24" i="406"/>
  <c r="FA24" i="406"/>
  <c r="EZ24" i="406"/>
  <c r="EY24" i="406"/>
  <c r="EX24" i="406"/>
  <c r="EW24" i="406"/>
  <c r="EV24" i="406"/>
  <c r="EU24" i="406"/>
  <c r="ET24" i="406"/>
  <c r="ES24" i="406"/>
  <c r="ER24" i="406"/>
  <c r="EQ24" i="406"/>
  <c r="EP24" i="406"/>
  <c r="EO24" i="406"/>
  <c r="EN24" i="406"/>
  <c r="EM24" i="406"/>
  <c r="EL24" i="406"/>
  <c r="EK24" i="406"/>
  <c r="EJ24" i="406"/>
  <c r="EI24" i="406"/>
  <c r="EH24" i="406"/>
  <c r="EG24" i="406"/>
  <c r="EF24" i="406"/>
  <c r="EE24" i="406"/>
  <c r="ED24" i="406"/>
  <c r="EC24" i="406"/>
  <c r="EB24" i="406"/>
  <c r="EA24" i="406"/>
  <c r="DZ24" i="406"/>
  <c r="DY24" i="406"/>
  <c r="DX24" i="406"/>
  <c r="DW24" i="406"/>
  <c r="DT24" i="406"/>
  <c r="DS24" i="406"/>
  <c r="DR24" i="406"/>
  <c r="DQ24" i="406"/>
  <c r="DP24" i="406"/>
  <c r="DO24" i="406"/>
  <c r="DN24" i="406"/>
  <c r="DM24" i="406"/>
  <c r="DL24" i="406"/>
  <c r="DK24" i="406"/>
  <c r="DJ24" i="406"/>
  <c r="DI24" i="406"/>
  <c r="DH24" i="406"/>
  <c r="DG24" i="406"/>
  <c r="DF24" i="406"/>
  <c r="DE24" i="406"/>
  <c r="DD24" i="406"/>
  <c r="DC24" i="406"/>
  <c r="DB24" i="406"/>
  <c r="DA24" i="406"/>
  <c r="CZ24" i="406"/>
  <c r="CY24" i="406"/>
  <c r="CX24" i="406"/>
  <c r="CW24" i="406"/>
  <c r="CV24" i="406"/>
  <c r="CU24" i="406"/>
  <c r="CT24" i="406"/>
  <c r="CS24" i="406"/>
  <c r="CR24" i="406"/>
  <c r="CQ24" i="406"/>
  <c r="CP24" i="406"/>
  <c r="CO24" i="406"/>
  <c r="CN24" i="406"/>
  <c r="CM24" i="406"/>
  <c r="CL24" i="406"/>
  <c r="CK24" i="406"/>
  <c r="CJ24" i="406"/>
  <c r="CI24" i="406"/>
  <c r="CH24" i="406"/>
  <c r="CG24" i="406"/>
  <c r="CF24" i="406"/>
  <c r="CE24" i="406"/>
  <c r="CD24" i="406"/>
  <c r="CC24" i="406"/>
  <c r="CB24" i="406"/>
  <c r="CA24" i="406"/>
  <c r="BZ24" i="406"/>
  <c r="BY24" i="406"/>
  <c r="BX24" i="406"/>
  <c r="BW24" i="406"/>
  <c r="BV24" i="406"/>
  <c r="BU24" i="406"/>
  <c r="BT24" i="406"/>
  <c r="BS24" i="406"/>
  <c r="BR24" i="406"/>
  <c r="BQ24" i="406"/>
  <c r="BP24" i="406"/>
  <c r="BO24" i="406"/>
  <c r="BN24" i="406"/>
  <c r="BM24" i="406"/>
  <c r="BL24" i="406"/>
  <c r="BK24" i="406"/>
  <c r="BJ24" i="406"/>
  <c r="BI24" i="406"/>
  <c r="BH24" i="406"/>
  <c r="BG24" i="406"/>
  <c r="BF24" i="406"/>
  <c r="BE24" i="406"/>
  <c r="BD24" i="406"/>
  <c r="BC24" i="406"/>
  <c r="BB24" i="406"/>
  <c r="BA24" i="406"/>
  <c r="AZ24" i="406"/>
  <c r="AY24" i="406"/>
  <c r="AX24" i="406"/>
  <c r="AW24" i="406"/>
  <c r="AV24" i="406"/>
  <c r="AU24" i="406"/>
  <c r="AT24" i="406"/>
  <c r="AS24" i="406"/>
  <c r="AR24" i="406"/>
  <c r="AQ24" i="406"/>
  <c r="AP24" i="406"/>
  <c r="AO24" i="406"/>
  <c r="AN24" i="406"/>
  <c r="AM24" i="406"/>
  <c r="AL24" i="406"/>
  <c r="AK24" i="406"/>
  <c r="AJ24" i="406"/>
  <c r="AI24" i="406"/>
  <c r="AH24" i="406"/>
  <c r="AG24" i="406"/>
  <c r="AF24" i="406"/>
  <c r="AE24" i="406"/>
  <c r="AD24" i="406"/>
  <c r="AC24" i="406"/>
  <c r="AB24" i="406"/>
  <c r="AA24" i="406"/>
  <c r="Z24" i="406"/>
  <c r="Y24" i="406"/>
  <c r="T24" i="406"/>
  <c r="U24" i="406" s="1"/>
  <c r="R24" i="406"/>
  <c r="Q24" i="406"/>
  <c r="O24" i="406"/>
  <c r="N24" i="406"/>
  <c r="M24" i="406"/>
  <c r="G24" i="406"/>
  <c r="C24" i="406"/>
  <c r="HR23" i="406"/>
  <c r="HQ23" i="406"/>
  <c r="HP23" i="406"/>
  <c r="HO23" i="406"/>
  <c r="HN23" i="406"/>
  <c r="HM23" i="406"/>
  <c r="HL23" i="406"/>
  <c r="HK23" i="406"/>
  <c r="HJ23" i="406"/>
  <c r="HI23" i="406"/>
  <c r="HH23" i="406"/>
  <c r="HG23" i="406"/>
  <c r="HF23" i="406"/>
  <c r="HE23" i="406"/>
  <c r="HD23" i="406"/>
  <c r="HC23" i="406"/>
  <c r="HB23" i="406"/>
  <c r="HA23" i="406"/>
  <c r="GZ23" i="406"/>
  <c r="GY23" i="406"/>
  <c r="GX23" i="406"/>
  <c r="GW23" i="406"/>
  <c r="GV23" i="406"/>
  <c r="GU23" i="406"/>
  <c r="GT23" i="406"/>
  <c r="GS23" i="406"/>
  <c r="GR23" i="406"/>
  <c r="GQ23" i="406"/>
  <c r="GP23" i="406"/>
  <c r="GO23" i="406"/>
  <c r="GN23" i="406"/>
  <c r="GM23" i="406"/>
  <c r="GL23" i="406"/>
  <c r="GK23" i="406"/>
  <c r="GJ23" i="406"/>
  <c r="GI23" i="406"/>
  <c r="GH23" i="406"/>
  <c r="GG23" i="406"/>
  <c r="GF23" i="406"/>
  <c r="GE23" i="406"/>
  <c r="GD23" i="406"/>
  <c r="GC23" i="406"/>
  <c r="GB23" i="406"/>
  <c r="GA23" i="406"/>
  <c r="FZ23" i="406"/>
  <c r="FY23" i="406"/>
  <c r="FX23" i="406"/>
  <c r="FW23" i="406"/>
  <c r="FV23" i="406"/>
  <c r="FU23" i="406"/>
  <c r="FT23" i="406"/>
  <c r="FS23" i="406"/>
  <c r="FR23" i="406"/>
  <c r="FQ23" i="406"/>
  <c r="FP23" i="406"/>
  <c r="FO23" i="406"/>
  <c r="FN23" i="406"/>
  <c r="FM23" i="406"/>
  <c r="FL23" i="406"/>
  <c r="FK23" i="406"/>
  <c r="FJ23" i="406"/>
  <c r="FI23" i="406"/>
  <c r="FH23" i="406"/>
  <c r="FG23" i="406"/>
  <c r="FF23" i="406"/>
  <c r="FE23" i="406"/>
  <c r="FD23" i="406"/>
  <c r="FC23" i="406"/>
  <c r="FB23" i="406"/>
  <c r="FA23" i="406"/>
  <c r="EZ23" i="406"/>
  <c r="EY23" i="406"/>
  <c r="EX23" i="406"/>
  <c r="EW23" i="406"/>
  <c r="EV23" i="406"/>
  <c r="EU23" i="406"/>
  <c r="ET23" i="406"/>
  <c r="ES23" i="406"/>
  <c r="ER23" i="406"/>
  <c r="EQ23" i="406"/>
  <c r="EP23" i="406"/>
  <c r="EO23" i="406"/>
  <c r="EN23" i="406"/>
  <c r="EM23" i="406"/>
  <c r="EL23" i="406"/>
  <c r="EK23" i="406"/>
  <c r="EJ23" i="406"/>
  <c r="EI23" i="406"/>
  <c r="EH23" i="406"/>
  <c r="EG23" i="406"/>
  <c r="EF23" i="406"/>
  <c r="EE23" i="406"/>
  <c r="ED23" i="406"/>
  <c r="EC23" i="406"/>
  <c r="EB23" i="406"/>
  <c r="EA23" i="406"/>
  <c r="DZ23" i="406"/>
  <c r="DY23" i="406"/>
  <c r="DX23" i="406"/>
  <c r="DW23" i="406"/>
  <c r="DT23" i="406"/>
  <c r="DS23" i="406"/>
  <c r="DR23" i="406"/>
  <c r="DQ23" i="406"/>
  <c r="DP23" i="406"/>
  <c r="DO23" i="406"/>
  <c r="DN23" i="406"/>
  <c r="DM23" i="406"/>
  <c r="DL23" i="406"/>
  <c r="DK23" i="406"/>
  <c r="DJ23" i="406"/>
  <c r="DI23" i="406"/>
  <c r="DH23" i="406"/>
  <c r="DG23" i="406"/>
  <c r="DF23" i="406"/>
  <c r="DE23" i="406"/>
  <c r="DD23" i="406"/>
  <c r="DC23" i="406"/>
  <c r="DB23" i="406"/>
  <c r="DA23" i="406"/>
  <c r="CZ23" i="406"/>
  <c r="CY23" i="406"/>
  <c r="CX23" i="406"/>
  <c r="CW23" i="406"/>
  <c r="CV23" i="406"/>
  <c r="CU23" i="406"/>
  <c r="CT23" i="406"/>
  <c r="CS23" i="406"/>
  <c r="CR23" i="406"/>
  <c r="CQ23" i="406"/>
  <c r="CP23" i="406"/>
  <c r="CO23" i="406"/>
  <c r="CN23" i="406"/>
  <c r="CM23" i="406"/>
  <c r="CL23" i="406"/>
  <c r="CK23" i="406"/>
  <c r="CJ23" i="406"/>
  <c r="CI23" i="406"/>
  <c r="CH23" i="406"/>
  <c r="CG23" i="406"/>
  <c r="CF23" i="406"/>
  <c r="CE23" i="406"/>
  <c r="CD23" i="406"/>
  <c r="CC23" i="406"/>
  <c r="CB23" i="406"/>
  <c r="CA23" i="406"/>
  <c r="BZ23" i="406"/>
  <c r="BY23" i="406"/>
  <c r="BX23" i="406"/>
  <c r="BW23" i="406"/>
  <c r="BV23" i="406"/>
  <c r="BU23" i="406"/>
  <c r="BT23" i="406"/>
  <c r="BS23" i="406"/>
  <c r="BR23" i="406"/>
  <c r="BQ23" i="406"/>
  <c r="BP23" i="406"/>
  <c r="BO23" i="406"/>
  <c r="BN23" i="406"/>
  <c r="BM23" i="406"/>
  <c r="BL23" i="406"/>
  <c r="BK23" i="406"/>
  <c r="BJ23" i="406"/>
  <c r="BI23" i="406"/>
  <c r="BH23" i="406"/>
  <c r="BG23" i="406"/>
  <c r="BF23" i="406"/>
  <c r="BE23" i="406"/>
  <c r="BD23" i="406"/>
  <c r="BC23" i="406"/>
  <c r="BB23" i="406"/>
  <c r="BA23" i="406"/>
  <c r="AZ23" i="406"/>
  <c r="AY23" i="406"/>
  <c r="AX23" i="406"/>
  <c r="AW23" i="406"/>
  <c r="AV23" i="406"/>
  <c r="AU23" i="406"/>
  <c r="AT23" i="406"/>
  <c r="AS23" i="406"/>
  <c r="AR23" i="406"/>
  <c r="AQ23" i="406"/>
  <c r="AP23" i="406"/>
  <c r="AO23" i="406"/>
  <c r="AN23" i="406"/>
  <c r="AM23" i="406"/>
  <c r="AL23" i="406"/>
  <c r="AK23" i="406"/>
  <c r="AJ23" i="406"/>
  <c r="AI23" i="406"/>
  <c r="AH23" i="406"/>
  <c r="AG23" i="406"/>
  <c r="AF23" i="406"/>
  <c r="AE23" i="406"/>
  <c r="AD23" i="406"/>
  <c r="AC23" i="406"/>
  <c r="AB23" i="406"/>
  <c r="AA23" i="406"/>
  <c r="Z23" i="406"/>
  <c r="Y23" i="406"/>
  <c r="T23" i="406"/>
  <c r="U23" i="406" s="1"/>
  <c r="R23" i="406"/>
  <c r="Q23" i="406"/>
  <c r="O23" i="406"/>
  <c r="N23" i="406"/>
  <c r="M23" i="406"/>
  <c r="G23" i="406"/>
  <c r="C23" i="406"/>
  <c r="HR22" i="406"/>
  <c r="HQ22" i="406"/>
  <c r="HP22" i="406"/>
  <c r="HO22" i="406"/>
  <c r="HN22" i="406"/>
  <c r="HM22" i="406"/>
  <c r="HL22" i="406"/>
  <c r="HK22" i="406"/>
  <c r="HJ22" i="406"/>
  <c r="HI22" i="406"/>
  <c r="HH22" i="406"/>
  <c r="HG22" i="406"/>
  <c r="HF22" i="406"/>
  <c r="HE22" i="406"/>
  <c r="HD22" i="406"/>
  <c r="HC22" i="406"/>
  <c r="HB22" i="406"/>
  <c r="HA22" i="406"/>
  <c r="GZ22" i="406"/>
  <c r="GY22" i="406"/>
  <c r="GX22" i="406"/>
  <c r="GW22" i="406"/>
  <c r="GV22" i="406"/>
  <c r="GU22" i="406"/>
  <c r="GT22" i="406"/>
  <c r="GS22" i="406"/>
  <c r="GR22" i="406"/>
  <c r="GQ22" i="406"/>
  <c r="GP22" i="406"/>
  <c r="GO22" i="406"/>
  <c r="GN22" i="406"/>
  <c r="GM22" i="406"/>
  <c r="GL22" i="406"/>
  <c r="GK22" i="406"/>
  <c r="GJ22" i="406"/>
  <c r="GI22" i="406"/>
  <c r="GH22" i="406"/>
  <c r="GG22" i="406"/>
  <c r="GF22" i="406"/>
  <c r="GE22" i="406"/>
  <c r="GD22" i="406"/>
  <c r="GC22" i="406"/>
  <c r="GB22" i="406"/>
  <c r="GA22" i="406"/>
  <c r="FZ22" i="406"/>
  <c r="FY22" i="406"/>
  <c r="FX22" i="406"/>
  <c r="FW22" i="406"/>
  <c r="FV22" i="406"/>
  <c r="FU22" i="406"/>
  <c r="FT22" i="406"/>
  <c r="FS22" i="406"/>
  <c r="FR22" i="406"/>
  <c r="FQ22" i="406"/>
  <c r="FP22" i="406"/>
  <c r="FO22" i="406"/>
  <c r="FN22" i="406"/>
  <c r="FM22" i="406"/>
  <c r="FL22" i="406"/>
  <c r="FK22" i="406"/>
  <c r="FJ22" i="406"/>
  <c r="FI22" i="406"/>
  <c r="FH22" i="406"/>
  <c r="FG22" i="406"/>
  <c r="FF22" i="406"/>
  <c r="FE22" i="406"/>
  <c r="FD22" i="406"/>
  <c r="FC22" i="406"/>
  <c r="FB22" i="406"/>
  <c r="FA22" i="406"/>
  <c r="EZ22" i="406"/>
  <c r="EY22" i="406"/>
  <c r="EX22" i="406"/>
  <c r="EW22" i="406"/>
  <c r="EV22" i="406"/>
  <c r="EU22" i="406"/>
  <c r="ET22" i="406"/>
  <c r="ES22" i="406"/>
  <c r="ER22" i="406"/>
  <c r="EQ22" i="406"/>
  <c r="EP22" i="406"/>
  <c r="EO22" i="406"/>
  <c r="EN22" i="406"/>
  <c r="EM22" i="406"/>
  <c r="EL22" i="406"/>
  <c r="EK22" i="406"/>
  <c r="EJ22" i="406"/>
  <c r="EI22" i="406"/>
  <c r="EH22" i="406"/>
  <c r="EG22" i="406"/>
  <c r="EF22" i="406"/>
  <c r="EE22" i="406"/>
  <c r="ED22" i="406"/>
  <c r="EC22" i="406"/>
  <c r="EB22" i="406"/>
  <c r="EA22" i="406"/>
  <c r="DZ22" i="406"/>
  <c r="DY22" i="406"/>
  <c r="DX22" i="406"/>
  <c r="DW22" i="406"/>
  <c r="DT22" i="406"/>
  <c r="DS22" i="406"/>
  <c r="DR22" i="406"/>
  <c r="DQ22" i="406"/>
  <c r="DP22" i="406"/>
  <c r="DO22" i="406"/>
  <c r="DN22" i="406"/>
  <c r="DM22" i="406"/>
  <c r="DL22" i="406"/>
  <c r="DK22" i="406"/>
  <c r="DJ22" i="406"/>
  <c r="DI22" i="406"/>
  <c r="DH22" i="406"/>
  <c r="DG22" i="406"/>
  <c r="DF22" i="406"/>
  <c r="DE22" i="406"/>
  <c r="DD22" i="406"/>
  <c r="DC22" i="406"/>
  <c r="DB22" i="406"/>
  <c r="DA22" i="406"/>
  <c r="CZ22" i="406"/>
  <c r="CY22" i="406"/>
  <c r="CX22" i="406"/>
  <c r="CW22" i="406"/>
  <c r="CV22" i="406"/>
  <c r="CU22" i="406"/>
  <c r="CT22" i="406"/>
  <c r="CS22" i="406"/>
  <c r="CR22" i="406"/>
  <c r="CQ22" i="406"/>
  <c r="CP22" i="406"/>
  <c r="CO22" i="406"/>
  <c r="CN22" i="406"/>
  <c r="CM22" i="406"/>
  <c r="CL22" i="406"/>
  <c r="CK22" i="406"/>
  <c r="CJ22" i="406"/>
  <c r="CI22" i="406"/>
  <c r="CH22" i="406"/>
  <c r="CG22" i="406"/>
  <c r="CF22" i="406"/>
  <c r="CE22" i="406"/>
  <c r="CD22" i="406"/>
  <c r="CC22" i="406"/>
  <c r="CB22" i="406"/>
  <c r="CA22" i="406"/>
  <c r="BZ22" i="406"/>
  <c r="BY22" i="406"/>
  <c r="BX22" i="406"/>
  <c r="BW22" i="406"/>
  <c r="BV22" i="406"/>
  <c r="BU22" i="406"/>
  <c r="BT22" i="406"/>
  <c r="BS22" i="406"/>
  <c r="BR22" i="406"/>
  <c r="BQ22" i="406"/>
  <c r="BP22" i="406"/>
  <c r="BO22" i="406"/>
  <c r="BN22" i="406"/>
  <c r="BM22" i="406"/>
  <c r="BL22" i="406"/>
  <c r="BK22" i="406"/>
  <c r="BJ22" i="406"/>
  <c r="BI22" i="406"/>
  <c r="BH22" i="406"/>
  <c r="BG22" i="406"/>
  <c r="BF22" i="406"/>
  <c r="BE22" i="406"/>
  <c r="BD22" i="406"/>
  <c r="BC22" i="406"/>
  <c r="BB22" i="406"/>
  <c r="BA22" i="406"/>
  <c r="AZ22" i="406"/>
  <c r="AY22" i="406"/>
  <c r="AX22" i="406"/>
  <c r="AW22" i="406"/>
  <c r="AV22" i="406"/>
  <c r="AU22" i="406"/>
  <c r="AT22" i="406"/>
  <c r="AS22" i="406"/>
  <c r="AR22" i="406"/>
  <c r="AQ22" i="406"/>
  <c r="AP22" i="406"/>
  <c r="AO22" i="406"/>
  <c r="AN22" i="406"/>
  <c r="AM22" i="406"/>
  <c r="AL22" i="406"/>
  <c r="AK22" i="406"/>
  <c r="AJ22" i="406"/>
  <c r="AI22" i="406"/>
  <c r="AH22" i="406"/>
  <c r="AG22" i="406"/>
  <c r="AF22" i="406"/>
  <c r="AE22" i="406"/>
  <c r="AD22" i="406"/>
  <c r="AC22" i="406"/>
  <c r="AB22" i="406"/>
  <c r="AA22" i="406"/>
  <c r="Z22" i="406"/>
  <c r="Y22" i="406"/>
  <c r="T22" i="406"/>
  <c r="U22" i="406" s="1"/>
  <c r="R22" i="406"/>
  <c r="Q22" i="406"/>
  <c r="O22" i="406"/>
  <c r="N22" i="406"/>
  <c r="M22" i="406"/>
  <c r="G22" i="406"/>
  <c r="C22" i="406"/>
  <c r="HR21" i="406"/>
  <c r="HQ21" i="406"/>
  <c r="HP21" i="406"/>
  <c r="HO21" i="406"/>
  <c r="HN21" i="406"/>
  <c r="HM21" i="406"/>
  <c r="HL21" i="406"/>
  <c r="HK21" i="406"/>
  <c r="HJ21" i="406"/>
  <c r="HI21" i="406"/>
  <c r="HH21" i="406"/>
  <c r="HG21" i="406"/>
  <c r="HF21" i="406"/>
  <c r="HE21" i="406"/>
  <c r="HD21" i="406"/>
  <c r="HC21" i="406"/>
  <c r="HB21" i="406"/>
  <c r="HA21" i="406"/>
  <c r="GZ21" i="406"/>
  <c r="GY21" i="406"/>
  <c r="GX21" i="406"/>
  <c r="GW21" i="406"/>
  <c r="GV21" i="406"/>
  <c r="GU21" i="406"/>
  <c r="GT21" i="406"/>
  <c r="GS21" i="406"/>
  <c r="GR21" i="406"/>
  <c r="GQ21" i="406"/>
  <c r="GP21" i="406"/>
  <c r="GO21" i="406"/>
  <c r="GN21" i="406"/>
  <c r="GM21" i="406"/>
  <c r="GL21" i="406"/>
  <c r="GK21" i="406"/>
  <c r="GJ21" i="406"/>
  <c r="GI21" i="406"/>
  <c r="GH21" i="406"/>
  <c r="GG21" i="406"/>
  <c r="GF21" i="406"/>
  <c r="GE21" i="406"/>
  <c r="GD21" i="406"/>
  <c r="GC21" i="406"/>
  <c r="GB21" i="406"/>
  <c r="GA21" i="406"/>
  <c r="FZ21" i="406"/>
  <c r="FY21" i="406"/>
  <c r="FX21" i="406"/>
  <c r="FW21" i="406"/>
  <c r="FV21" i="406"/>
  <c r="FU21" i="406"/>
  <c r="FT21" i="406"/>
  <c r="FS21" i="406"/>
  <c r="FR21" i="406"/>
  <c r="FQ21" i="406"/>
  <c r="FP21" i="406"/>
  <c r="FO21" i="406"/>
  <c r="FN21" i="406"/>
  <c r="FM21" i="406"/>
  <c r="FL21" i="406"/>
  <c r="FK21" i="406"/>
  <c r="FJ21" i="406"/>
  <c r="FI21" i="406"/>
  <c r="FH21" i="406"/>
  <c r="FG21" i="406"/>
  <c r="FF21" i="406"/>
  <c r="FE21" i="406"/>
  <c r="FD21" i="406"/>
  <c r="FC21" i="406"/>
  <c r="FB21" i="406"/>
  <c r="FA21" i="406"/>
  <c r="EZ21" i="406"/>
  <c r="EY21" i="406"/>
  <c r="EX21" i="406"/>
  <c r="EW21" i="406"/>
  <c r="EV21" i="406"/>
  <c r="EU21" i="406"/>
  <c r="ET21" i="406"/>
  <c r="ES21" i="406"/>
  <c r="ER21" i="406"/>
  <c r="EQ21" i="406"/>
  <c r="EP21" i="406"/>
  <c r="EO21" i="406"/>
  <c r="EN21" i="406"/>
  <c r="EM21" i="406"/>
  <c r="EL21" i="406"/>
  <c r="EK21" i="406"/>
  <c r="EJ21" i="406"/>
  <c r="EI21" i="406"/>
  <c r="EH21" i="406"/>
  <c r="EG21" i="406"/>
  <c r="EF21" i="406"/>
  <c r="EE21" i="406"/>
  <c r="ED21" i="406"/>
  <c r="EC21" i="406"/>
  <c r="EB21" i="406"/>
  <c r="EA21" i="406"/>
  <c r="DZ21" i="406"/>
  <c r="DY21" i="406"/>
  <c r="DX21" i="406"/>
  <c r="DW21" i="406"/>
  <c r="DT21" i="406"/>
  <c r="DS21" i="406"/>
  <c r="DR21" i="406"/>
  <c r="DQ21" i="406"/>
  <c r="DP21" i="406"/>
  <c r="DO21" i="406"/>
  <c r="DN21" i="406"/>
  <c r="DM21" i="406"/>
  <c r="DL21" i="406"/>
  <c r="DK21" i="406"/>
  <c r="DJ21" i="406"/>
  <c r="DI21" i="406"/>
  <c r="DH21" i="406"/>
  <c r="DG21" i="406"/>
  <c r="DF21" i="406"/>
  <c r="DE21" i="406"/>
  <c r="DD21" i="406"/>
  <c r="DC21" i="406"/>
  <c r="DB21" i="406"/>
  <c r="DA21" i="406"/>
  <c r="CZ21" i="406"/>
  <c r="CY21" i="406"/>
  <c r="CX21" i="406"/>
  <c r="CW21" i="406"/>
  <c r="CV21" i="406"/>
  <c r="CU21" i="406"/>
  <c r="CT21" i="406"/>
  <c r="CS21" i="406"/>
  <c r="CR21" i="406"/>
  <c r="CQ21" i="406"/>
  <c r="CP21" i="406"/>
  <c r="CO21" i="406"/>
  <c r="CN21" i="406"/>
  <c r="CM21" i="406"/>
  <c r="CL21" i="406"/>
  <c r="CK21" i="406"/>
  <c r="CJ21" i="406"/>
  <c r="CI21" i="406"/>
  <c r="CH21" i="406"/>
  <c r="CG21" i="406"/>
  <c r="CF21" i="406"/>
  <c r="CE21" i="406"/>
  <c r="CD21" i="406"/>
  <c r="CC21" i="406"/>
  <c r="CB21" i="406"/>
  <c r="CA21" i="406"/>
  <c r="BZ21" i="406"/>
  <c r="BY21" i="406"/>
  <c r="BX21" i="406"/>
  <c r="BW21" i="406"/>
  <c r="BV21" i="406"/>
  <c r="BU21" i="406"/>
  <c r="BT21" i="406"/>
  <c r="BS21" i="406"/>
  <c r="BR21" i="406"/>
  <c r="BQ21" i="406"/>
  <c r="BP21" i="406"/>
  <c r="BO21" i="406"/>
  <c r="BN21" i="406"/>
  <c r="BM21" i="406"/>
  <c r="BL21" i="406"/>
  <c r="BK21" i="406"/>
  <c r="BJ21" i="406"/>
  <c r="BI21" i="406"/>
  <c r="BH21" i="406"/>
  <c r="BG21" i="406"/>
  <c r="BF21" i="406"/>
  <c r="BE21" i="406"/>
  <c r="BD21" i="406"/>
  <c r="BC21" i="406"/>
  <c r="BB21" i="406"/>
  <c r="BA21" i="406"/>
  <c r="AZ21" i="406"/>
  <c r="AY21" i="406"/>
  <c r="AX21" i="406"/>
  <c r="AW21" i="406"/>
  <c r="AV21" i="406"/>
  <c r="AU21" i="406"/>
  <c r="AT21" i="406"/>
  <c r="AS21" i="406"/>
  <c r="AR21" i="406"/>
  <c r="AQ21" i="406"/>
  <c r="AP21" i="406"/>
  <c r="AO21" i="406"/>
  <c r="AN21" i="406"/>
  <c r="AM21" i="406"/>
  <c r="AL21" i="406"/>
  <c r="AK21" i="406"/>
  <c r="AJ21" i="406"/>
  <c r="AI21" i="406"/>
  <c r="AH21" i="406"/>
  <c r="AG21" i="406"/>
  <c r="AF21" i="406"/>
  <c r="AE21" i="406"/>
  <c r="AD21" i="406"/>
  <c r="AC21" i="406"/>
  <c r="AB21" i="406"/>
  <c r="AA21" i="406"/>
  <c r="Z21" i="406"/>
  <c r="Y21" i="406"/>
  <c r="T21" i="406"/>
  <c r="U21" i="406" s="1"/>
  <c r="R21" i="406"/>
  <c r="Q21" i="406"/>
  <c r="O21" i="406"/>
  <c r="N21" i="406"/>
  <c r="M21" i="406"/>
  <c r="G21" i="406"/>
  <c r="C21" i="406"/>
  <c r="HR20" i="406"/>
  <c r="HQ20" i="406"/>
  <c r="HP20" i="406"/>
  <c r="HO20" i="406"/>
  <c r="HN20" i="406"/>
  <c r="HM20" i="406"/>
  <c r="HL20" i="406"/>
  <c r="HK20" i="406"/>
  <c r="HJ20" i="406"/>
  <c r="HI20" i="406"/>
  <c r="HH20" i="406"/>
  <c r="HG20" i="406"/>
  <c r="HF20" i="406"/>
  <c r="HE20" i="406"/>
  <c r="HD20" i="406"/>
  <c r="HC20" i="406"/>
  <c r="HB20" i="406"/>
  <c r="HA20" i="406"/>
  <c r="GZ20" i="406"/>
  <c r="GY20" i="406"/>
  <c r="GX20" i="406"/>
  <c r="GW20" i="406"/>
  <c r="GV20" i="406"/>
  <c r="GU20" i="406"/>
  <c r="GT20" i="406"/>
  <c r="GS20" i="406"/>
  <c r="GR20" i="406"/>
  <c r="GQ20" i="406"/>
  <c r="GP20" i="406"/>
  <c r="GO20" i="406"/>
  <c r="GN20" i="406"/>
  <c r="GM20" i="406"/>
  <c r="GL20" i="406"/>
  <c r="GK20" i="406"/>
  <c r="GJ20" i="406"/>
  <c r="GI20" i="406"/>
  <c r="GH20" i="406"/>
  <c r="GG20" i="406"/>
  <c r="GF20" i="406"/>
  <c r="GE20" i="406"/>
  <c r="GD20" i="406"/>
  <c r="GC20" i="406"/>
  <c r="GB20" i="406"/>
  <c r="GA20" i="406"/>
  <c r="FZ20" i="406"/>
  <c r="FY20" i="406"/>
  <c r="FX20" i="406"/>
  <c r="FW20" i="406"/>
  <c r="FV20" i="406"/>
  <c r="FU20" i="406"/>
  <c r="FT20" i="406"/>
  <c r="FS20" i="406"/>
  <c r="FR20" i="406"/>
  <c r="FQ20" i="406"/>
  <c r="FP20" i="406"/>
  <c r="FO20" i="406"/>
  <c r="FN20" i="406"/>
  <c r="FM20" i="406"/>
  <c r="FL20" i="406"/>
  <c r="FK20" i="406"/>
  <c r="FJ20" i="406"/>
  <c r="FI20" i="406"/>
  <c r="FH20" i="406"/>
  <c r="FG20" i="406"/>
  <c r="FF20" i="406"/>
  <c r="FE20" i="406"/>
  <c r="FD20" i="406"/>
  <c r="FC20" i="406"/>
  <c r="FB20" i="406"/>
  <c r="FA20" i="406"/>
  <c r="EZ20" i="406"/>
  <c r="EY20" i="406"/>
  <c r="EX20" i="406"/>
  <c r="EW20" i="406"/>
  <c r="EV20" i="406"/>
  <c r="EU20" i="406"/>
  <c r="ET20" i="406"/>
  <c r="ES20" i="406"/>
  <c r="ER20" i="406"/>
  <c r="EQ20" i="406"/>
  <c r="EP20" i="406"/>
  <c r="EO20" i="406"/>
  <c r="EN20" i="406"/>
  <c r="EM20" i="406"/>
  <c r="EL20" i="406"/>
  <c r="EK20" i="406"/>
  <c r="EJ20" i="406"/>
  <c r="EI20" i="406"/>
  <c r="EH20" i="406"/>
  <c r="EG20" i="406"/>
  <c r="EF20" i="406"/>
  <c r="EE20" i="406"/>
  <c r="ED20" i="406"/>
  <c r="EC20" i="406"/>
  <c r="EB20" i="406"/>
  <c r="EA20" i="406"/>
  <c r="DZ20" i="406"/>
  <c r="DY20" i="406"/>
  <c r="DW20" i="406"/>
  <c r="DT20" i="406"/>
  <c r="DS20" i="406"/>
  <c r="DR20" i="406"/>
  <c r="DQ20" i="406"/>
  <c r="DP20" i="406"/>
  <c r="DO20" i="406"/>
  <c r="DN20" i="406"/>
  <c r="DM20" i="406"/>
  <c r="DL20" i="406"/>
  <c r="DK20" i="406"/>
  <c r="DJ20" i="406"/>
  <c r="DI20" i="406"/>
  <c r="DH20" i="406"/>
  <c r="DG20" i="406"/>
  <c r="DF20" i="406"/>
  <c r="DE20" i="406"/>
  <c r="DD20" i="406"/>
  <c r="DC20" i="406"/>
  <c r="DB20" i="406"/>
  <c r="DA20" i="406"/>
  <c r="CZ20" i="406"/>
  <c r="CY20" i="406"/>
  <c r="CX20" i="406"/>
  <c r="CW20" i="406"/>
  <c r="CV20" i="406"/>
  <c r="CU20" i="406"/>
  <c r="CT20" i="406"/>
  <c r="CS20" i="406"/>
  <c r="CR20" i="406"/>
  <c r="CQ20" i="406"/>
  <c r="CP20" i="406"/>
  <c r="CO20" i="406"/>
  <c r="CN20" i="406"/>
  <c r="CM20" i="406"/>
  <c r="CL20" i="406"/>
  <c r="CK20" i="406"/>
  <c r="CJ20" i="406"/>
  <c r="CI20" i="406"/>
  <c r="CH20" i="406"/>
  <c r="CG20" i="406"/>
  <c r="CF20" i="406"/>
  <c r="CE20" i="406"/>
  <c r="CD20" i="406"/>
  <c r="CC20" i="406"/>
  <c r="CB20" i="406"/>
  <c r="CA20" i="406"/>
  <c r="BZ20" i="406"/>
  <c r="BY20" i="406"/>
  <c r="BX20" i="406"/>
  <c r="BW20" i="406"/>
  <c r="BV20" i="406"/>
  <c r="BU20" i="406"/>
  <c r="BT20" i="406"/>
  <c r="BS20" i="406"/>
  <c r="BR20" i="406"/>
  <c r="BQ20" i="406"/>
  <c r="BP20" i="406"/>
  <c r="BO20" i="406"/>
  <c r="BN20" i="406"/>
  <c r="BM20" i="406"/>
  <c r="BL20" i="406"/>
  <c r="BK20" i="406"/>
  <c r="BJ20" i="406"/>
  <c r="BI20" i="406"/>
  <c r="BH20" i="406"/>
  <c r="BG20" i="406"/>
  <c r="BF20" i="406"/>
  <c r="BE20" i="406"/>
  <c r="BD20" i="406"/>
  <c r="BC20" i="406"/>
  <c r="BB20" i="406"/>
  <c r="BA20" i="406"/>
  <c r="AZ20" i="406"/>
  <c r="AY20" i="406"/>
  <c r="AX20" i="406"/>
  <c r="AW20" i="406"/>
  <c r="AV20" i="406"/>
  <c r="AU20" i="406"/>
  <c r="AT20" i="406"/>
  <c r="AS20" i="406"/>
  <c r="AR20" i="406"/>
  <c r="AQ20" i="406"/>
  <c r="AP20" i="406"/>
  <c r="AO20" i="406"/>
  <c r="AN20" i="406"/>
  <c r="AM20" i="406"/>
  <c r="AL20" i="406"/>
  <c r="AK20" i="406"/>
  <c r="AJ20" i="406"/>
  <c r="AI20" i="406"/>
  <c r="AH20" i="406"/>
  <c r="AG20" i="406"/>
  <c r="AF20" i="406"/>
  <c r="AE20" i="406"/>
  <c r="AD20" i="406"/>
  <c r="AC20" i="406"/>
  <c r="AB20" i="406"/>
  <c r="AA20" i="406"/>
  <c r="Y20" i="406"/>
  <c r="T20" i="406"/>
  <c r="U20" i="406" s="1"/>
  <c r="Z20" i="406" s="1"/>
  <c r="R20" i="406"/>
  <c r="N20" i="406"/>
  <c r="M20" i="406"/>
  <c r="O20" i="406" s="1"/>
  <c r="DX20" i="406" s="1"/>
  <c r="G20" i="406"/>
  <c r="C20" i="406"/>
  <c r="HR19" i="406"/>
  <c r="HQ19" i="406"/>
  <c r="HP19" i="406"/>
  <c r="HO19" i="406"/>
  <c r="HN19" i="406"/>
  <c r="HM19" i="406"/>
  <c r="HL19" i="406"/>
  <c r="HK19" i="406"/>
  <c r="HJ19" i="406"/>
  <c r="HI19" i="406"/>
  <c r="HH19" i="406"/>
  <c r="HG19" i="406"/>
  <c r="HF19" i="406"/>
  <c r="HE19" i="406"/>
  <c r="HD19" i="406"/>
  <c r="HC19" i="406"/>
  <c r="HB19" i="406"/>
  <c r="HA19" i="406"/>
  <c r="GZ19" i="406"/>
  <c r="GY19" i="406"/>
  <c r="GX19" i="406"/>
  <c r="GW19" i="406"/>
  <c r="GV19" i="406"/>
  <c r="GU19" i="406"/>
  <c r="GT19" i="406"/>
  <c r="GS19" i="406"/>
  <c r="GR19" i="406"/>
  <c r="GQ19" i="406"/>
  <c r="GP19" i="406"/>
  <c r="GO19" i="406"/>
  <c r="GN19" i="406"/>
  <c r="GM19" i="406"/>
  <c r="GL19" i="406"/>
  <c r="GK19" i="406"/>
  <c r="GJ19" i="406"/>
  <c r="GI19" i="406"/>
  <c r="GH19" i="406"/>
  <c r="GG19" i="406"/>
  <c r="GF19" i="406"/>
  <c r="GE19" i="406"/>
  <c r="GD19" i="406"/>
  <c r="GC19" i="406"/>
  <c r="GB19" i="406"/>
  <c r="GA19" i="406"/>
  <c r="FZ19" i="406"/>
  <c r="FY19" i="406"/>
  <c r="FX19" i="406"/>
  <c r="FW19" i="406"/>
  <c r="FV19" i="406"/>
  <c r="FU19" i="406"/>
  <c r="FT19" i="406"/>
  <c r="FS19" i="406"/>
  <c r="FR19" i="406"/>
  <c r="FQ19" i="406"/>
  <c r="FP19" i="406"/>
  <c r="FO19" i="406"/>
  <c r="FN19" i="406"/>
  <c r="FM19" i="406"/>
  <c r="FL19" i="406"/>
  <c r="FK19" i="406"/>
  <c r="FJ19" i="406"/>
  <c r="FI19" i="406"/>
  <c r="FH19" i="406"/>
  <c r="FG19" i="406"/>
  <c r="FF19" i="406"/>
  <c r="FE19" i="406"/>
  <c r="FD19" i="406"/>
  <c r="FC19" i="406"/>
  <c r="FB19" i="406"/>
  <c r="FA19" i="406"/>
  <c r="EZ19" i="406"/>
  <c r="EY19" i="406"/>
  <c r="EX19" i="406"/>
  <c r="EW19" i="406"/>
  <c r="EV19" i="406"/>
  <c r="EU19" i="406"/>
  <c r="ET19" i="406"/>
  <c r="ES19" i="406"/>
  <c r="ER19" i="406"/>
  <c r="EQ19" i="406"/>
  <c r="EP19" i="406"/>
  <c r="EO19" i="406"/>
  <c r="EN19" i="406"/>
  <c r="EM19" i="406"/>
  <c r="EL19" i="406"/>
  <c r="EK19" i="406"/>
  <c r="EJ19" i="406"/>
  <c r="EI19" i="406"/>
  <c r="EH19" i="406"/>
  <c r="EG19" i="406"/>
  <c r="EF19" i="406"/>
  <c r="EE19" i="406"/>
  <c r="ED19" i="406"/>
  <c r="EC19" i="406"/>
  <c r="EB19" i="406"/>
  <c r="EA19" i="406"/>
  <c r="DZ19" i="406"/>
  <c r="DY19" i="406"/>
  <c r="DW19" i="406"/>
  <c r="DT19" i="406"/>
  <c r="DS19" i="406"/>
  <c r="DR19" i="406"/>
  <c r="DQ19" i="406"/>
  <c r="DP19" i="406"/>
  <c r="DO19" i="406"/>
  <c r="DN19" i="406"/>
  <c r="DM19" i="406"/>
  <c r="DL19" i="406"/>
  <c r="DK19" i="406"/>
  <c r="DJ19" i="406"/>
  <c r="DI19" i="406"/>
  <c r="DH19" i="406"/>
  <c r="DG19" i="406"/>
  <c r="DF19" i="406"/>
  <c r="DE19" i="406"/>
  <c r="DD19" i="406"/>
  <c r="DC19" i="406"/>
  <c r="DB19" i="406"/>
  <c r="DA19" i="406"/>
  <c r="CZ19" i="406"/>
  <c r="CY19" i="406"/>
  <c r="CX19" i="406"/>
  <c r="CW19" i="406"/>
  <c r="CV19" i="406"/>
  <c r="CU19" i="406"/>
  <c r="CT19" i="406"/>
  <c r="CS19" i="406"/>
  <c r="CR19" i="406"/>
  <c r="CQ19" i="406"/>
  <c r="CP19" i="406"/>
  <c r="CO19" i="406"/>
  <c r="CN19" i="406"/>
  <c r="CM19" i="406"/>
  <c r="CL19" i="406"/>
  <c r="CK19" i="406"/>
  <c r="CJ19" i="406"/>
  <c r="CI19" i="406"/>
  <c r="CH19" i="406"/>
  <c r="CG19" i="406"/>
  <c r="CF19" i="406"/>
  <c r="CE19" i="406"/>
  <c r="CD19" i="406"/>
  <c r="CC19" i="406"/>
  <c r="CB19" i="406"/>
  <c r="CA19" i="406"/>
  <c r="BZ19" i="406"/>
  <c r="BY19" i="406"/>
  <c r="BX19" i="406"/>
  <c r="BW19" i="406"/>
  <c r="BV19" i="406"/>
  <c r="BU19" i="406"/>
  <c r="BT19" i="406"/>
  <c r="BS19" i="406"/>
  <c r="BR19" i="406"/>
  <c r="BQ19" i="406"/>
  <c r="BP19" i="406"/>
  <c r="BO19" i="406"/>
  <c r="BN19" i="406"/>
  <c r="BM19" i="406"/>
  <c r="BL19" i="406"/>
  <c r="BK19" i="406"/>
  <c r="BJ19" i="406"/>
  <c r="BI19" i="406"/>
  <c r="BH19" i="406"/>
  <c r="BG19" i="406"/>
  <c r="BF19" i="406"/>
  <c r="BE19" i="406"/>
  <c r="BD19" i="406"/>
  <c r="BC19" i="406"/>
  <c r="BB19" i="406"/>
  <c r="BA19" i="406"/>
  <c r="AZ19" i="406"/>
  <c r="AY19" i="406"/>
  <c r="AX19" i="406"/>
  <c r="AW19" i="406"/>
  <c r="AV19" i="406"/>
  <c r="AU19" i="406"/>
  <c r="AT19" i="406"/>
  <c r="AS19" i="406"/>
  <c r="AR19" i="406"/>
  <c r="AQ19" i="406"/>
  <c r="AP19" i="406"/>
  <c r="AO19" i="406"/>
  <c r="AN19" i="406"/>
  <c r="AM19" i="406"/>
  <c r="AL19" i="406"/>
  <c r="AK19" i="406"/>
  <c r="AJ19" i="406"/>
  <c r="AI19" i="406"/>
  <c r="AH19" i="406"/>
  <c r="AG19" i="406"/>
  <c r="AF19" i="406"/>
  <c r="AE19" i="406"/>
  <c r="AD19" i="406"/>
  <c r="AC19" i="406"/>
  <c r="AB19" i="406"/>
  <c r="AA19" i="406"/>
  <c r="Y19" i="406"/>
  <c r="T19" i="406"/>
  <c r="U19" i="406" s="1"/>
  <c r="Z19" i="406" s="1"/>
  <c r="Q19" i="406"/>
  <c r="N19" i="406"/>
  <c r="M19" i="406"/>
  <c r="O19" i="406" s="1"/>
  <c r="DX19" i="406" s="1"/>
  <c r="G19" i="406"/>
  <c r="C19" i="406"/>
  <c r="HR18" i="406"/>
  <c r="HQ18" i="406"/>
  <c r="HP18" i="406"/>
  <c r="HO18" i="406"/>
  <c r="HN18" i="406"/>
  <c r="HM18" i="406"/>
  <c r="HL18" i="406"/>
  <c r="HK18" i="406"/>
  <c r="HJ18" i="406"/>
  <c r="HI18" i="406"/>
  <c r="HH18" i="406"/>
  <c r="HG18" i="406"/>
  <c r="HF18" i="406"/>
  <c r="HE18" i="406"/>
  <c r="HD18" i="406"/>
  <c r="HC18" i="406"/>
  <c r="HB18" i="406"/>
  <c r="HA18" i="406"/>
  <c r="GZ18" i="406"/>
  <c r="GY18" i="406"/>
  <c r="GX18" i="406"/>
  <c r="GW18" i="406"/>
  <c r="GV18" i="406"/>
  <c r="GU18" i="406"/>
  <c r="GT18" i="406"/>
  <c r="GS18" i="406"/>
  <c r="GR18" i="406"/>
  <c r="GQ18" i="406"/>
  <c r="GP18" i="406"/>
  <c r="GO18" i="406"/>
  <c r="GN18" i="406"/>
  <c r="GM18" i="406"/>
  <c r="GL18" i="406"/>
  <c r="GK18" i="406"/>
  <c r="GJ18" i="406"/>
  <c r="GI18" i="406"/>
  <c r="GH18" i="406"/>
  <c r="GG18" i="406"/>
  <c r="GF18" i="406"/>
  <c r="GE18" i="406"/>
  <c r="GD18" i="406"/>
  <c r="GC18" i="406"/>
  <c r="GB18" i="406"/>
  <c r="GA18" i="406"/>
  <c r="FZ18" i="406"/>
  <c r="FY18" i="406"/>
  <c r="FX18" i="406"/>
  <c r="FW18" i="406"/>
  <c r="FV18" i="406"/>
  <c r="FU18" i="406"/>
  <c r="FT18" i="406"/>
  <c r="FS18" i="406"/>
  <c r="FR18" i="406"/>
  <c r="FQ18" i="406"/>
  <c r="FP18" i="406"/>
  <c r="FO18" i="406"/>
  <c r="FN18" i="406"/>
  <c r="FM18" i="406"/>
  <c r="FL18" i="406"/>
  <c r="FK18" i="406"/>
  <c r="FJ18" i="406"/>
  <c r="FI18" i="406"/>
  <c r="FH18" i="406"/>
  <c r="FG18" i="406"/>
  <c r="FF18" i="406"/>
  <c r="FE18" i="406"/>
  <c r="FD18" i="406"/>
  <c r="FC18" i="406"/>
  <c r="FB18" i="406"/>
  <c r="FA18" i="406"/>
  <c r="EZ18" i="406"/>
  <c r="EY18" i="406"/>
  <c r="EX18" i="406"/>
  <c r="EW18" i="406"/>
  <c r="EV18" i="406"/>
  <c r="EU18" i="406"/>
  <c r="ET18" i="406"/>
  <c r="ES18" i="406"/>
  <c r="ER18" i="406"/>
  <c r="EQ18" i="406"/>
  <c r="EP18" i="406"/>
  <c r="EO18" i="406"/>
  <c r="EN18" i="406"/>
  <c r="EM18" i="406"/>
  <c r="EL18" i="406"/>
  <c r="EK18" i="406"/>
  <c r="EJ18" i="406"/>
  <c r="EI18" i="406"/>
  <c r="EH18" i="406"/>
  <c r="EG18" i="406"/>
  <c r="EF18" i="406"/>
  <c r="EE18" i="406"/>
  <c r="ED18" i="406"/>
  <c r="EC18" i="406"/>
  <c r="EB18" i="406"/>
  <c r="EA18" i="406"/>
  <c r="DZ18" i="406"/>
  <c r="DY18" i="406"/>
  <c r="DX18" i="406"/>
  <c r="DW18" i="406"/>
  <c r="DT18" i="406"/>
  <c r="DS18" i="406"/>
  <c r="DR18" i="406"/>
  <c r="DQ18" i="406"/>
  <c r="DP18" i="406"/>
  <c r="DO18" i="406"/>
  <c r="DN18" i="406"/>
  <c r="DM18" i="406"/>
  <c r="DL18" i="406"/>
  <c r="DK18" i="406"/>
  <c r="DJ18" i="406"/>
  <c r="DI18" i="406"/>
  <c r="DH18" i="406"/>
  <c r="DG18" i="406"/>
  <c r="DF18" i="406"/>
  <c r="DE18" i="406"/>
  <c r="DD18" i="406"/>
  <c r="DC18" i="406"/>
  <c r="DB18" i="406"/>
  <c r="DA18" i="406"/>
  <c r="CZ18" i="406"/>
  <c r="CY18" i="406"/>
  <c r="CX18" i="406"/>
  <c r="CW18" i="406"/>
  <c r="CV18" i="406"/>
  <c r="CU18" i="406"/>
  <c r="CT18" i="406"/>
  <c r="CS18" i="406"/>
  <c r="CR18" i="406"/>
  <c r="CQ18" i="406"/>
  <c r="CP18" i="406"/>
  <c r="CO18" i="406"/>
  <c r="CN18" i="406"/>
  <c r="CM18" i="406"/>
  <c r="CL18" i="406"/>
  <c r="CK18" i="406"/>
  <c r="CJ18" i="406"/>
  <c r="CI18" i="406"/>
  <c r="CH18" i="406"/>
  <c r="CG18" i="406"/>
  <c r="CF18" i="406"/>
  <c r="CE18" i="406"/>
  <c r="CD18" i="406"/>
  <c r="CC18" i="406"/>
  <c r="CB18" i="406"/>
  <c r="CA18" i="406"/>
  <c r="BZ18" i="406"/>
  <c r="BY18" i="406"/>
  <c r="BX18" i="406"/>
  <c r="BW18" i="406"/>
  <c r="BV18" i="406"/>
  <c r="BU18" i="406"/>
  <c r="BT18" i="406"/>
  <c r="BS18" i="406"/>
  <c r="BR18" i="406"/>
  <c r="BQ18" i="406"/>
  <c r="BP18" i="406"/>
  <c r="BO18" i="406"/>
  <c r="BN18" i="406"/>
  <c r="BM18" i="406"/>
  <c r="BL18" i="406"/>
  <c r="BK18" i="406"/>
  <c r="BJ18" i="406"/>
  <c r="BI18" i="406"/>
  <c r="BH18" i="406"/>
  <c r="BG18" i="406"/>
  <c r="BF18" i="406"/>
  <c r="BE18" i="406"/>
  <c r="BD18" i="406"/>
  <c r="BC18" i="406"/>
  <c r="BB18" i="406"/>
  <c r="BA18" i="406"/>
  <c r="AZ18" i="406"/>
  <c r="AY18" i="406"/>
  <c r="AX18" i="406"/>
  <c r="AW18" i="406"/>
  <c r="AV18" i="406"/>
  <c r="AU18" i="406"/>
  <c r="AT18" i="406"/>
  <c r="AS18" i="406"/>
  <c r="AR18" i="406"/>
  <c r="AQ18" i="406"/>
  <c r="AP18" i="406"/>
  <c r="AO18" i="406"/>
  <c r="AN18" i="406"/>
  <c r="AM18" i="406"/>
  <c r="AL18" i="406"/>
  <c r="AK18" i="406"/>
  <c r="AJ18" i="406"/>
  <c r="AI18" i="406"/>
  <c r="AH18" i="406"/>
  <c r="AG18" i="406"/>
  <c r="AF18" i="406"/>
  <c r="AE18" i="406"/>
  <c r="AD18" i="406"/>
  <c r="AC18" i="406"/>
  <c r="AB18" i="406"/>
  <c r="AA18" i="406"/>
  <c r="Z18" i="406"/>
  <c r="Y18" i="406"/>
  <c r="T18" i="406"/>
  <c r="U18" i="406" s="1"/>
  <c r="R18" i="406"/>
  <c r="Q18" i="406"/>
  <c r="O18" i="406"/>
  <c r="N18" i="406"/>
  <c r="M18" i="406"/>
  <c r="G18" i="406"/>
  <c r="C18" i="406"/>
  <c r="HR17" i="406"/>
  <c r="HR13" i="406" s="1"/>
  <c r="HQ17" i="406"/>
  <c r="HP17" i="406"/>
  <c r="HO17" i="406"/>
  <c r="HN17" i="406"/>
  <c r="HN13" i="406" s="1"/>
  <c r="HM17" i="406"/>
  <c r="HL17" i="406"/>
  <c r="HK17" i="406"/>
  <c r="HJ17" i="406"/>
  <c r="HI17" i="406"/>
  <c r="HH17" i="406"/>
  <c r="HG17" i="406"/>
  <c r="HF17" i="406"/>
  <c r="HF13" i="406" s="1"/>
  <c r="HE17" i="406"/>
  <c r="HD17" i="406"/>
  <c r="HC17" i="406"/>
  <c r="HB17" i="406"/>
  <c r="HB13" i="406" s="1"/>
  <c r="HA17" i="406"/>
  <c r="GZ17" i="406"/>
  <c r="GY17" i="406"/>
  <c r="GX17" i="406"/>
  <c r="GW17" i="406"/>
  <c r="GV17" i="406"/>
  <c r="GU17" i="406"/>
  <c r="GT17" i="406"/>
  <c r="GT13" i="406" s="1"/>
  <c r="GS17" i="406"/>
  <c r="GR17" i="406"/>
  <c r="GQ17" i="406"/>
  <c r="GP17" i="406"/>
  <c r="GO17" i="406"/>
  <c r="GN17" i="406"/>
  <c r="GM17" i="406"/>
  <c r="GL17" i="406"/>
  <c r="GL13" i="406" s="1"/>
  <c r="GK17" i="406"/>
  <c r="GJ17" i="406"/>
  <c r="GI17" i="406"/>
  <c r="GH17" i="406"/>
  <c r="GH13" i="406" s="1"/>
  <c r="GG17" i="406"/>
  <c r="GF17" i="406"/>
  <c r="GE17" i="406"/>
  <c r="GD17" i="406"/>
  <c r="GD13" i="406" s="1"/>
  <c r="GC17" i="406"/>
  <c r="GB17" i="406"/>
  <c r="GA17" i="406"/>
  <c r="FZ17" i="406"/>
  <c r="FY17" i="406"/>
  <c r="FX17" i="406"/>
  <c r="FW17" i="406"/>
  <c r="FV17" i="406"/>
  <c r="FV13" i="406" s="1"/>
  <c r="FU17" i="406"/>
  <c r="FT17" i="406"/>
  <c r="FS17" i="406"/>
  <c r="FR17" i="406"/>
  <c r="FR13" i="406" s="1"/>
  <c r="FQ17" i="406"/>
  <c r="FP17" i="406"/>
  <c r="FO17" i="406"/>
  <c r="FN17" i="406"/>
  <c r="FN13" i="406" s="1"/>
  <c r="FM17" i="406"/>
  <c r="FL17" i="406"/>
  <c r="FK17" i="406"/>
  <c r="FJ17" i="406"/>
  <c r="FI17" i="406"/>
  <c r="FH17" i="406"/>
  <c r="FG17" i="406"/>
  <c r="FF17" i="406"/>
  <c r="FF13" i="406" s="1"/>
  <c r="FE17" i="406"/>
  <c r="FD17" i="406"/>
  <c r="FC17" i="406"/>
  <c r="FB17" i="406"/>
  <c r="FB13" i="406" s="1"/>
  <c r="FA17" i="406"/>
  <c r="EZ17" i="406"/>
  <c r="EY17" i="406"/>
  <c r="EX17" i="406"/>
  <c r="EX13" i="406" s="1"/>
  <c r="EW17" i="406"/>
  <c r="EV17" i="406"/>
  <c r="EU17" i="406"/>
  <c r="ET17" i="406"/>
  <c r="ES17" i="406"/>
  <c r="ER17" i="406"/>
  <c r="EQ17" i="406"/>
  <c r="EP17" i="406"/>
  <c r="EP13" i="406" s="1"/>
  <c r="EO17" i="406"/>
  <c r="EN17" i="406"/>
  <c r="EM17" i="406"/>
  <c r="EL17" i="406"/>
  <c r="EL13" i="406" s="1"/>
  <c r="EK17" i="406"/>
  <c r="EJ17" i="406"/>
  <c r="EI17" i="406"/>
  <c r="EH17" i="406"/>
  <c r="EH13" i="406" s="1"/>
  <c r="EG17" i="406"/>
  <c r="EF17" i="406"/>
  <c r="EE17" i="406"/>
  <c r="ED17" i="406"/>
  <c r="EC17" i="406"/>
  <c r="EB17" i="406"/>
  <c r="EA17" i="406"/>
  <c r="DZ17" i="406"/>
  <c r="DZ13" i="406" s="1"/>
  <c r="DY17" i="406"/>
  <c r="DX17" i="406"/>
  <c r="DW17" i="406"/>
  <c r="DT17" i="406"/>
  <c r="DS17" i="406"/>
  <c r="DR17" i="406"/>
  <c r="DQ17" i="406"/>
  <c r="DP17" i="406"/>
  <c r="DO17" i="406"/>
  <c r="DN17" i="406"/>
  <c r="DM17" i="406"/>
  <c r="DL17" i="406"/>
  <c r="DK17" i="406"/>
  <c r="DJ17" i="406"/>
  <c r="DI17" i="406"/>
  <c r="DH17" i="406"/>
  <c r="DG17" i="406"/>
  <c r="DF17" i="406"/>
  <c r="DE17" i="406"/>
  <c r="DD17" i="406"/>
  <c r="DC17" i="406"/>
  <c r="DB17" i="406"/>
  <c r="DA17" i="406"/>
  <c r="CZ17" i="406"/>
  <c r="CY17" i="406"/>
  <c r="CX17" i="406"/>
  <c r="CW17" i="406"/>
  <c r="CV17" i="406"/>
  <c r="CU17" i="406"/>
  <c r="CT17" i="406"/>
  <c r="CS17" i="406"/>
  <c r="CR17" i="406"/>
  <c r="CQ17" i="406"/>
  <c r="CP17" i="406"/>
  <c r="CO17" i="406"/>
  <c r="CN17" i="406"/>
  <c r="CM17" i="406"/>
  <c r="CL17" i="406"/>
  <c r="CK17" i="406"/>
  <c r="CJ17" i="406"/>
  <c r="CI17" i="406"/>
  <c r="CH17" i="406"/>
  <c r="CG17" i="406"/>
  <c r="CF17" i="406"/>
  <c r="CE17" i="406"/>
  <c r="CD17" i="406"/>
  <c r="CC17" i="406"/>
  <c r="CB17" i="406"/>
  <c r="CA17" i="406"/>
  <c r="BZ17" i="406"/>
  <c r="BY17" i="406"/>
  <c r="BX17" i="406"/>
  <c r="BW17" i="406"/>
  <c r="BV17" i="406"/>
  <c r="BU17" i="406"/>
  <c r="BT17" i="406"/>
  <c r="BS17" i="406"/>
  <c r="BR17" i="406"/>
  <c r="BQ17" i="406"/>
  <c r="BP17" i="406"/>
  <c r="BO17" i="406"/>
  <c r="BN17" i="406"/>
  <c r="BM17" i="406"/>
  <c r="BL17" i="406"/>
  <c r="BK17" i="406"/>
  <c r="BJ17" i="406"/>
  <c r="BI17" i="406"/>
  <c r="BH17" i="406"/>
  <c r="BG17" i="406"/>
  <c r="BF17" i="406"/>
  <c r="BE17" i="406"/>
  <c r="BD17" i="406"/>
  <c r="BC17" i="406"/>
  <c r="BB17" i="406"/>
  <c r="BA17" i="406"/>
  <c r="AZ17" i="406"/>
  <c r="AY17" i="406"/>
  <c r="AX17" i="406"/>
  <c r="AW17" i="406"/>
  <c r="AV17" i="406"/>
  <c r="AU17" i="406"/>
  <c r="AT17" i="406"/>
  <c r="AS17" i="406"/>
  <c r="AR17" i="406"/>
  <c r="AQ17" i="406"/>
  <c r="AP17" i="406"/>
  <c r="AO17" i="406"/>
  <c r="AN17" i="406"/>
  <c r="AM17" i="406"/>
  <c r="AL17" i="406"/>
  <c r="AK17" i="406"/>
  <c r="AJ17" i="406"/>
  <c r="AI17" i="406"/>
  <c r="AH17" i="406"/>
  <c r="AG17" i="406"/>
  <c r="AF17" i="406"/>
  <c r="AE17" i="406"/>
  <c r="AD17" i="406"/>
  <c r="AC17" i="406"/>
  <c r="AB17" i="406"/>
  <c r="AA17" i="406"/>
  <c r="Z17" i="406"/>
  <c r="Y17" i="406"/>
  <c r="U17" i="406"/>
  <c r="T17" i="406"/>
  <c r="R17" i="406"/>
  <c r="Q17" i="406"/>
  <c r="O17" i="406"/>
  <c r="N17" i="406"/>
  <c r="M17" i="406"/>
  <c r="G17" i="406"/>
  <c r="C17" i="406"/>
  <c r="HR16" i="406"/>
  <c r="HQ16" i="406"/>
  <c r="HP16" i="406"/>
  <c r="HO16" i="406"/>
  <c r="HN16" i="406"/>
  <c r="HM16" i="406"/>
  <c r="HL16" i="406"/>
  <c r="HK16" i="406"/>
  <c r="HJ16" i="406"/>
  <c r="HI16" i="406"/>
  <c r="HH16" i="406"/>
  <c r="HG16" i="406"/>
  <c r="HF16" i="406"/>
  <c r="HE16" i="406"/>
  <c r="HD16" i="406"/>
  <c r="HC16" i="406"/>
  <c r="HB16" i="406"/>
  <c r="HA16" i="406"/>
  <c r="GZ16" i="406"/>
  <c r="GY16" i="406"/>
  <c r="GX16" i="406"/>
  <c r="GW16" i="406"/>
  <c r="GV16" i="406"/>
  <c r="GU16" i="406"/>
  <c r="GT16" i="406"/>
  <c r="GS16" i="406"/>
  <c r="GR16" i="406"/>
  <c r="GQ16" i="406"/>
  <c r="GP16" i="406"/>
  <c r="GO16" i="406"/>
  <c r="GN16" i="406"/>
  <c r="GM16" i="406"/>
  <c r="GL16" i="406"/>
  <c r="GK16" i="406"/>
  <c r="GJ16" i="406"/>
  <c r="GI16" i="406"/>
  <c r="GH16" i="406"/>
  <c r="GG16" i="406"/>
  <c r="GF16" i="406"/>
  <c r="GE16" i="406"/>
  <c r="GD16" i="406"/>
  <c r="GC16" i="406"/>
  <c r="GB16" i="406"/>
  <c r="GA16" i="406"/>
  <c r="FZ16" i="406"/>
  <c r="FY16" i="406"/>
  <c r="FX16" i="406"/>
  <c r="FW16" i="406"/>
  <c r="FV16" i="406"/>
  <c r="FU16" i="406"/>
  <c r="FT16" i="406"/>
  <c r="FS16" i="406"/>
  <c r="FR16" i="406"/>
  <c r="FQ16" i="406"/>
  <c r="FP16" i="406"/>
  <c r="FO16" i="406"/>
  <c r="FN16" i="406"/>
  <c r="FM16" i="406"/>
  <c r="FL16" i="406"/>
  <c r="FK16" i="406"/>
  <c r="FJ16" i="406"/>
  <c r="FI16" i="406"/>
  <c r="FH16" i="406"/>
  <c r="FG16" i="406"/>
  <c r="FF16" i="406"/>
  <c r="FE16" i="406"/>
  <c r="FD16" i="406"/>
  <c r="FC16" i="406"/>
  <c r="FB16" i="406"/>
  <c r="FA16" i="406"/>
  <c r="EZ16" i="406"/>
  <c r="EY16" i="406"/>
  <c r="EX16" i="406"/>
  <c r="EW16" i="406"/>
  <c r="EV16" i="406"/>
  <c r="EU16" i="406"/>
  <c r="ET16" i="406"/>
  <c r="ES16" i="406"/>
  <c r="ER16" i="406"/>
  <c r="EQ16" i="406"/>
  <c r="EP16" i="406"/>
  <c r="EO16" i="406"/>
  <c r="EN16" i="406"/>
  <c r="EM16" i="406"/>
  <c r="EL16" i="406"/>
  <c r="EK16" i="406"/>
  <c r="EJ16" i="406"/>
  <c r="EI16" i="406"/>
  <c r="EH16" i="406"/>
  <c r="EG16" i="406"/>
  <c r="EF16" i="406"/>
  <c r="EE16" i="406"/>
  <c r="ED16" i="406"/>
  <c r="EC16" i="406"/>
  <c r="EB16" i="406"/>
  <c r="EA16" i="406"/>
  <c r="DZ16" i="406"/>
  <c r="DY16" i="406"/>
  <c r="DX16" i="406"/>
  <c r="DT16" i="406"/>
  <c r="DS16" i="406"/>
  <c r="DR16" i="406"/>
  <c r="DQ16" i="406"/>
  <c r="DP16" i="406"/>
  <c r="DO16" i="406"/>
  <c r="DN16" i="406"/>
  <c r="DM16" i="406"/>
  <c r="DL16" i="406"/>
  <c r="DK16" i="406"/>
  <c r="DJ16" i="406"/>
  <c r="DI16" i="406"/>
  <c r="DH16" i="406"/>
  <c r="DG16" i="406"/>
  <c r="DF16" i="406"/>
  <c r="DE16" i="406"/>
  <c r="DD16" i="406"/>
  <c r="DC16" i="406"/>
  <c r="DB16" i="406"/>
  <c r="DA16" i="406"/>
  <c r="CZ16" i="406"/>
  <c r="CY16" i="406"/>
  <c r="CX16" i="406"/>
  <c r="CW16" i="406"/>
  <c r="CV16" i="406"/>
  <c r="CU16" i="406"/>
  <c r="CT16" i="406"/>
  <c r="CS16" i="406"/>
  <c r="CR16" i="406"/>
  <c r="CQ16" i="406"/>
  <c r="CP16" i="406"/>
  <c r="CO16" i="406"/>
  <c r="CN16" i="406"/>
  <c r="CM16" i="406"/>
  <c r="CL16" i="406"/>
  <c r="CK16" i="406"/>
  <c r="CJ16" i="406"/>
  <c r="CI16" i="406"/>
  <c r="CH16" i="406"/>
  <c r="CG16" i="406"/>
  <c r="CF16" i="406"/>
  <c r="CE16" i="406"/>
  <c r="CD16" i="406"/>
  <c r="CC16" i="406"/>
  <c r="CB16" i="406"/>
  <c r="CA16" i="406"/>
  <c r="BZ16" i="406"/>
  <c r="BY16" i="406"/>
  <c r="BX16" i="406"/>
  <c r="BW16" i="406"/>
  <c r="BV16" i="406"/>
  <c r="BU16" i="406"/>
  <c r="BT16" i="406"/>
  <c r="BS16" i="406"/>
  <c r="BR16" i="406"/>
  <c r="BQ16" i="406"/>
  <c r="BP16" i="406"/>
  <c r="BO16" i="406"/>
  <c r="BN16" i="406"/>
  <c r="BM16" i="406"/>
  <c r="BL16" i="406"/>
  <c r="BK16" i="406"/>
  <c r="BJ16" i="406"/>
  <c r="BI16" i="406"/>
  <c r="BH16" i="406"/>
  <c r="BG16" i="406"/>
  <c r="BF16" i="406"/>
  <c r="BE16" i="406"/>
  <c r="BD16" i="406"/>
  <c r="BC16" i="406"/>
  <c r="BB16" i="406"/>
  <c r="BA16" i="406"/>
  <c r="AZ16" i="406"/>
  <c r="AY16" i="406"/>
  <c r="AX16" i="406"/>
  <c r="AW16" i="406"/>
  <c r="AV16" i="406"/>
  <c r="AU16" i="406"/>
  <c r="AT16" i="406"/>
  <c r="AS16" i="406"/>
  <c r="AR16" i="406"/>
  <c r="AQ16" i="406"/>
  <c r="AP16" i="406"/>
  <c r="AO16" i="406"/>
  <c r="AN16" i="406"/>
  <c r="AM16" i="406"/>
  <c r="AL16" i="406"/>
  <c r="AK16" i="406"/>
  <c r="AJ16" i="406"/>
  <c r="AI16" i="406"/>
  <c r="AH16" i="406"/>
  <c r="AG16" i="406"/>
  <c r="AF16" i="406"/>
  <c r="AE16" i="406"/>
  <c r="AD16" i="406"/>
  <c r="AC16" i="406"/>
  <c r="AB16" i="406"/>
  <c r="AA16" i="406"/>
  <c r="Z16" i="406"/>
  <c r="T16" i="406"/>
  <c r="U16" i="406" s="1"/>
  <c r="Y16" i="406" s="1"/>
  <c r="R16" i="406"/>
  <c r="N16" i="406"/>
  <c r="M16" i="406"/>
  <c r="O16" i="406" s="1"/>
  <c r="DW16" i="406" s="1"/>
  <c r="G16" i="406"/>
  <c r="C16" i="406"/>
  <c r="HR15" i="406"/>
  <c r="HQ15" i="406"/>
  <c r="HP15" i="406"/>
  <c r="HO15" i="406"/>
  <c r="HN15" i="406"/>
  <c r="HM15" i="406"/>
  <c r="HL15" i="406"/>
  <c r="HK15" i="406"/>
  <c r="HJ15" i="406"/>
  <c r="HI15" i="406"/>
  <c r="HH15" i="406"/>
  <c r="HG15" i="406"/>
  <c r="HF15" i="406"/>
  <c r="HE15" i="406"/>
  <c r="HD15" i="406"/>
  <c r="HC15" i="406"/>
  <c r="HB15" i="406"/>
  <c r="HA15" i="406"/>
  <c r="GZ15" i="406"/>
  <c r="GY15" i="406"/>
  <c r="GX15" i="406"/>
  <c r="GW15" i="406"/>
  <c r="GV15" i="406"/>
  <c r="GU15" i="406"/>
  <c r="GT15" i="406"/>
  <c r="GS15" i="406"/>
  <c r="GR15" i="406"/>
  <c r="GQ15" i="406"/>
  <c r="GP15" i="406"/>
  <c r="GO15" i="406"/>
  <c r="GN15" i="406"/>
  <c r="GM15" i="406"/>
  <c r="GL15" i="406"/>
  <c r="GK15" i="406"/>
  <c r="GJ15" i="406"/>
  <c r="GI15" i="406"/>
  <c r="GH15" i="406"/>
  <c r="GG15" i="406"/>
  <c r="GF15" i="406"/>
  <c r="GE15" i="406"/>
  <c r="GD15" i="406"/>
  <c r="GC15" i="406"/>
  <c r="GB15" i="406"/>
  <c r="GA15" i="406"/>
  <c r="FZ15" i="406"/>
  <c r="FY15" i="406"/>
  <c r="FX15" i="406"/>
  <c r="FW15" i="406"/>
  <c r="FV15" i="406"/>
  <c r="FU15" i="406"/>
  <c r="FT15" i="406"/>
  <c r="FS15" i="406"/>
  <c r="FR15" i="406"/>
  <c r="FQ15" i="406"/>
  <c r="FP15" i="406"/>
  <c r="FO15" i="406"/>
  <c r="FN15" i="406"/>
  <c r="FM15" i="406"/>
  <c r="FL15" i="406"/>
  <c r="FK15" i="406"/>
  <c r="FJ15" i="406"/>
  <c r="FI15" i="406"/>
  <c r="FH15" i="406"/>
  <c r="FG15" i="406"/>
  <c r="FF15" i="406"/>
  <c r="FE15" i="406"/>
  <c r="FD15" i="406"/>
  <c r="FC15" i="406"/>
  <c r="FB15" i="406"/>
  <c r="FA15" i="406"/>
  <c r="EZ15" i="406"/>
  <c r="EY15" i="406"/>
  <c r="EX15" i="406"/>
  <c r="EW15" i="406"/>
  <c r="EV15" i="406"/>
  <c r="EU15" i="406"/>
  <c r="ET15" i="406"/>
  <c r="ES15" i="406"/>
  <c r="ER15" i="406"/>
  <c r="EQ15" i="406"/>
  <c r="EP15" i="406"/>
  <c r="EO15" i="406"/>
  <c r="EN15" i="406"/>
  <c r="EM15" i="406"/>
  <c r="EL15" i="406"/>
  <c r="EK15" i="406"/>
  <c r="EJ15" i="406"/>
  <c r="EI15" i="406"/>
  <c r="EH15" i="406"/>
  <c r="EG15" i="406"/>
  <c r="EF15" i="406"/>
  <c r="EE15" i="406"/>
  <c r="ED15" i="406"/>
  <c r="EC15" i="406"/>
  <c r="EB15" i="406"/>
  <c r="EA15" i="406"/>
  <c r="DZ15" i="406"/>
  <c r="DY15" i="406"/>
  <c r="DX15" i="406"/>
  <c r="DT15" i="406"/>
  <c r="DT13" i="406" s="1"/>
  <c r="DS15" i="406"/>
  <c r="DR15" i="406"/>
  <c r="DQ15" i="406"/>
  <c r="DP15" i="406"/>
  <c r="DP13" i="406" s="1"/>
  <c r="DO15" i="406"/>
  <c r="DN15" i="406"/>
  <c r="DM15" i="406"/>
  <c r="DL15" i="406"/>
  <c r="DK15" i="406"/>
  <c r="DJ15" i="406"/>
  <c r="DI15" i="406"/>
  <c r="DH15" i="406"/>
  <c r="DH13" i="406" s="1"/>
  <c r="DG15" i="406"/>
  <c r="DF15" i="406"/>
  <c r="DE15" i="406"/>
  <c r="DD15" i="406"/>
  <c r="DD13" i="406" s="1"/>
  <c r="DC15" i="406"/>
  <c r="DB15" i="406"/>
  <c r="DA15" i="406"/>
  <c r="CZ15" i="406"/>
  <c r="CY15" i="406"/>
  <c r="CX15" i="406"/>
  <c r="CW15" i="406"/>
  <c r="CV15" i="406"/>
  <c r="CV13" i="406" s="1"/>
  <c r="CU15" i="406"/>
  <c r="CT15" i="406"/>
  <c r="CS15" i="406"/>
  <c r="CR15" i="406"/>
  <c r="CQ15" i="406"/>
  <c r="CP15" i="406"/>
  <c r="CO15" i="406"/>
  <c r="CN15" i="406"/>
  <c r="CN13" i="406" s="1"/>
  <c r="CM15" i="406"/>
  <c r="CL15" i="406"/>
  <c r="CK15" i="406"/>
  <c r="CJ15" i="406"/>
  <c r="CJ13" i="406" s="1"/>
  <c r="CI15" i="406"/>
  <c r="CH15" i="406"/>
  <c r="CG15" i="406"/>
  <c r="CF15" i="406"/>
  <c r="CF13" i="406" s="1"/>
  <c r="CE15" i="406"/>
  <c r="CD15" i="406"/>
  <c r="CC15" i="406"/>
  <c r="CB15" i="406"/>
  <c r="CA15" i="406"/>
  <c r="BZ15" i="406"/>
  <c r="BY15" i="406"/>
  <c r="BX15" i="406"/>
  <c r="BX13" i="406" s="1"/>
  <c r="BW15" i="406"/>
  <c r="BV15" i="406"/>
  <c r="BU15" i="406"/>
  <c r="BT15" i="406"/>
  <c r="BT13" i="406" s="1"/>
  <c r="BS15" i="406"/>
  <c r="BR15" i="406"/>
  <c r="BQ15" i="406"/>
  <c r="BP15" i="406"/>
  <c r="BP13" i="406" s="1"/>
  <c r="BO15" i="406"/>
  <c r="BN15" i="406"/>
  <c r="BM15" i="406"/>
  <c r="BL15" i="406"/>
  <c r="BK15" i="406"/>
  <c r="BJ15" i="406"/>
  <c r="BI15" i="406"/>
  <c r="BH15" i="406"/>
  <c r="BH13" i="406" s="1"/>
  <c r="BG15" i="406"/>
  <c r="BF15" i="406"/>
  <c r="BE15" i="406"/>
  <c r="BD15" i="406"/>
  <c r="BD13" i="406" s="1"/>
  <c r="BC15" i="406"/>
  <c r="BB15" i="406"/>
  <c r="BA15" i="406"/>
  <c r="AZ15" i="406"/>
  <c r="AY15" i="406"/>
  <c r="AX15" i="406"/>
  <c r="AW15" i="406"/>
  <c r="AV15" i="406"/>
  <c r="AU15" i="406"/>
  <c r="AT15" i="406"/>
  <c r="AS15" i="406"/>
  <c r="AR15" i="406"/>
  <c r="AR13" i="406" s="1"/>
  <c r="AQ15" i="406"/>
  <c r="AP15" i="406"/>
  <c r="AO15" i="406"/>
  <c r="AN15" i="406"/>
  <c r="AN13" i="406" s="1"/>
  <c r="AM15" i="406"/>
  <c r="AL15" i="406"/>
  <c r="AK15" i="406"/>
  <c r="AJ15" i="406"/>
  <c r="AJ13" i="406" s="1"/>
  <c r="AI15" i="406"/>
  <c r="AH15" i="406"/>
  <c r="AG15" i="406"/>
  <c r="AF15" i="406"/>
  <c r="AE15" i="406"/>
  <c r="AD15" i="406"/>
  <c r="AC15" i="406"/>
  <c r="AB15" i="406"/>
  <c r="AB13" i="406" s="1"/>
  <c r="AA15" i="406"/>
  <c r="Z15" i="406"/>
  <c r="T15" i="406"/>
  <c r="U15" i="406" s="1"/>
  <c r="Y15" i="406" s="1"/>
  <c r="Q15" i="406"/>
  <c r="N15" i="406"/>
  <c r="M15" i="406"/>
  <c r="O15" i="406" s="1"/>
  <c r="DW15" i="406" s="1"/>
  <c r="G15" i="406"/>
  <c r="C15" i="406"/>
  <c r="HR14" i="406"/>
  <c r="HQ14" i="406"/>
  <c r="HP14" i="406"/>
  <c r="HO14" i="406"/>
  <c r="HN14" i="406"/>
  <c r="HM14" i="406"/>
  <c r="HL14" i="406"/>
  <c r="HK14" i="406"/>
  <c r="HJ14" i="406"/>
  <c r="HI14" i="406"/>
  <c r="HH14" i="406"/>
  <c r="HG14" i="406"/>
  <c r="HF14" i="406"/>
  <c r="HE14" i="406"/>
  <c r="HD14" i="406"/>
  <c r="HC14" i="406"/>
  <c r="HB14" i="406"/>
  <c r="HA14" i="406"/>
  <c r="GZ14" i="406"/>
  <c r="GY14" i="406"/>
  <c r="GX14" i="406"/>
  <c r="GW14" i="406"/>
  <c r="GV14" i="406"/>
  <c r="GU14" i="406"/>
  <c r="GT14" i="406"/>
  <c r="GS14" i="406"/>
  <c r="GR14" i="406"/>
  <c r="GQ14" i="406"/>
  <c r="GP14" i="406"/>
  <c r="GO14" i="406"/>
  <c r="GN14" i="406"/>
  <c r="GM14" i="406"/>
  <c r="GL14" i="406"/>
  <c r="GK14" i="406"/>
  <c r="GJ14" i="406"/>
  <c r="GI14" i="406"/>
  <c r="GH14" i="406"/>
  <c r="GG14" i="406"/>
  <c r="GF14" i="406"/>
  <c r="GE14" i="406"/>
  <c r="GD14" i="406"/>
  <c r="GC14" i="406"/>
  <c r="GB14" i="406"/>
  <c r="GA14" i="406"/>
  <c r="FZ14" i="406"/>
  <c r="FY14" i="406"/>
  <c r="FX14" i="406"/>
  <c r="FW14" i="406"/>
  <c r="FV14" i="406"/>
  <c r="FU14" i="406"/>
  <c r="FT14" i="406"/>
  <c r="FS14" i="406"/>
  <c r="FR14" i="406"/>
  <c r="FQ14" i="406"/>
  <c r="FP14" i="406"/>
  <c r="FO14" i="406"/>
  <c r="FN14" i="406"/>
  <c r="FM14" i="406"/>
  <c r="FL14" i="406"/>
  <c r="FK14" i="406"/>
  <c r="FJ14" i="406"/>
  <c r="FI14" i="406"/>
  <c r="FH14" i="406"/>
  <c r="FG14" i="406"/>
  <c r="FF14" i="406"/>
  <c r="FE14" i="406"/>
  <c r="FD14" i="406"/>
  <c r="FC14" i="406"/>
  <c r="FB14" i="406"/>
  <c r="FA14" i="406"/>
  <c r="EZ14" i="406"/>
  <c r="EY14" i="406"/>
  <c r="EX14" i="406"/>
  <c r="EW14" i="406"/>
  <c r="EV14" i="406"/>
  <c r="EU14" i="406"/>
  <c r="ET14" i="406"/>
  <c r="ES14" i="406"/>
  <c r="ER14" i="406"/>
  <c r="EQ14" i="406"/>
  <c r="EP14" i="406"/>
  <c r="EO14" i="406"/>
  <c r="EN14" i="406"/>
  <c r="EM14" i="406"/>
  <c r="EL14" i="406"/>
  <c r="EK14" i="406"/>
  <c r="EJ14" i="406"/>
  <c r="EI14" i="406"/>
  <c r="EH14" i="406"/>
  <c r="EG14" i="406"/>
  <c r="EF14" i="406"/>
  <c r="EE14" i="406"/>
  <c r="ED14" i="406"/>
  <c r="EC14" i="406"/>
  <c r="EB14" i="406"/>
  <c r="EA14" i="406"/>
  <c r="DZ14" i="406"/>
  <c r="DY14" i="406"/>
  <c r="DX14" i="406"/>
  <c r="DW14" i="406"/>
  <c r="DT14" i="406"/>
  <c r="DS14" i="406"/>
  <c r="DR14" i="406"/>
  <c r="DQ14" i="406"/>
  <c r="DP14" i="406"/>
  <c r="DO14" i="406"/>
  <c r="DN14" i="406"/>
  <c r="DM14" i="406"/>
  <c r="DL14" i="406"/>
  <c r="DK14" i="406"/>
  <c r="DJ14" i="406"/>
  <c r="DI14" i="406"/>
  <c r="DH14" i="406"/>
  <c r="DG14" i="406"/>
  <c r="DF14" i="406"/>
  <c r="DE14" i="406"/>
  <c r="DD14" i="406"/>
  <c r="DC14" i="406"/>
  <c r="DB14" i="406"/>
  <c r="DA14" i="406"/>
  <c r="CZ14" i="406"/>
  <c r="CY14" i="406"/>
  <c r="CX14" i="406"/>
  <c r="CW14" i="406"/>
  <c r="CV14" i="406"/>
  <c r="CU14" i="406"/>
  <c r="CT14" i="406"/>
  <c r="CS14" i="406"/>
  <c r="CR14" i="406"/>
  <c r="CQ14" i="406"/>
  <c r="CP14" i="406"/>
  <c r="CO14" i="406"/>
  <c r="CN14" i="406"/>
  <c r="CM14" i="406"/>
  <c r="CL14" i="406"/>
  <c r="CK14" i="406"/>
  <c r="CJ14" i="406"/>
  <c r="CI14" i="406"/>
  <c r="CH14" i="406"/>
  <c r="CG14" i="406"/>
  <c r="CF14" i="406"/>
  <c r="CE14" i="406"/>
  <c r="CD14" i="406"/>
  <c r="CC14" i="406"/>
  <c r="CB14" i="406"/>
  <c r="CA14" i="406"/>
  <c r="BZ14" i="406"/>
  <c r="BY14" i="406"/>
  <c r="BX14" i="406"/>
  <c r="BW14" i="406"/>
  <c r="BV14" i="406"/>
  <c r="BU14" i="406"/>
  <c r="BT14" i="406"/>
  <c r="BS14" i="406"/>
  <c r="BR14" i="406"/>
  <c r="BQ14" i="406"/>
  <c r="BP14" i="406"/>
  <c r="BO14" i="406"/>
  <c r="BN14" i="406"/>
  <c r="BM14" i="406"/>
  <c r="BL14" i="406"/>
  <c r="BK14" i="406"/>
  <c r="BJ14" i="406"/>
  <c r="BI14" i="406"/>
  <c r="BH14" i="406"/>
  <c r="BG14" i="406"/>
  <c r="BF14" i="406"/>
  <c r="BE14" i="406"/>
  <c r="BD14" i="406"/>
  <c r="BC14" i="406"/>
  <c r="BB14" i="406"/>
  <c r="BA14" i="406"/>
  <c r="AZ14" i="406"/>
  <c r="AY14" i="406"/>
  <c r="AX14" i="406"/>
  <c r="AW14" i="406"/>
  <c r="AV14" i="406"/>
  <c r="AU14" i="406"/>
  <c r="AT14" i="406"/>
  <c r="AS14" i="406"/>
  <c r="AR14" i="406"/>
  <c r="AQ14" i="406"/>
  <c r="AP14" i="406"/>
  <c r="AO14" i="406"/>
  <c r="AN14" i="406"/>
  <c r="AM14" i="406"/>
  <c r="AL14" i="406"/>
  <c r="AK14" i="406"/>
  <c r="AJ14" i="406"/>
  <c r="AI14" i="406"/>
  <c r="AH14" i="406"/>
  <c r="AG14" i="406"/>
  <c r="AF14" i="406"/>
  <c r="AE14" i="406"/>
  <c r="AD14" i="406"/>
  <c r="AC14" i="406"/>
  <c r="AB14" i="406"/>
  <c r="AA14" i="406"/>
  <c r="Z14" i="406"/>
  <c r="Y14" i="406"/>
  <c r="T14" i="406"/>
  <c r="U14" i="406" s="1"/>
  <c r="R14" i="406"/>
  <c r="Q14" i="406"/>
  <c r="O14" i="406"/>
  <c r="N14" i="406"/>
  <c r="M14" i="406"/>
  <c r="G14" i="406"/>
  <c r="C14" i="406"/>
  <c r="F10" i="406"/>
  <c r="B10" i="406"/>
  <c r="D7" i="406"/>
  <c r="S6" i="406"/>
  <c r="R4" i="406"/>
  <c r="R3" i="406"/>
  <c r="AZ13" i="406" l="1"/>
  <c r="R56" i="406"/>
  <c r="EE13" i="406"/>
  <c r="EM13" i="406"/>
  <c r="EU13" i="406"/>
  <c r="FG13" i="406"/>
  <c r="FO13" i="406"/>
  <c r="GE13" i="406"/>
  <c r="HK13" i="406"/>
  <c r="HC13" i="406"/>
  <c r="EA13" i="406"/>
  <c r="EI13" i="406"/>
  <c r="EQ13" i="406"/>
  <c r="EY13" i="406"/>
  <c r="FC13" i="406"/>
  <c r="FK13" i="406"/>
  <c r="FS13" i="406"/>
  <c r="FW13" i="406"/>
  <c r="GA13" i="406"/>
  <c r="GI13" i="406"/>
  <c r="GM13" i="406"/>
  <c r="GQ13" i="406"/>
  <c r="GU13" i="406"/>
  <c r="GY13" i="406"/>
  <c r="HG13" i="406"/>
  <c r="HO13" i="406"/>
  <c r="AF13" i="406"/>
  <c r="AV13" i="406"/>
  <c r="BL13" i="406"/>
  <c r="CB13" i="406"/>
  <c r="CR13" i="406"/>
  <c r="DL13" i="406"/>
  <c r="ED13" i="406"/>
  <c r="ET13" i="406"/>
  <c r="FJ13" i="406"/>
  <c r="FZ13" i="406"/>
  <c r="GP13" i="406"/>
  <c r="HJ13" i="406"/>
  <c r="Y13" i="406"/>
  <c r="DX13" i="406"/>
  <c r="Q20" i="406" s="1"/>
  <c r="R19" i="406" s="1"/>
  <c r="EB13" i="406"/>
  <c r="EF13" i="406"/>
  <c r="EJ13" i="406"/>
  <c r="EN13" i="406"/>
  <c r="ER13" i="406"/>
  <c r="EV13" i="406"/>
  <c r="EZ13" i="406"/>
  <c r="FD13" i="406"/>
  <c r="FH13" i="406"/>
  <c r="FL13" i="406"/>
  <c r="FP13" i="406"/>
  <c r="FT13" i="406"/>
  <c r="FX13" i="406"/>
  <c r="GB13" i="406"/>
  <c r="GF13" i="406"/>
  <c r="GJ13" i="406"/>
  <c r="GN13" i="406"/>
  <c r="GR13" i="406"/>
  <c r="GV13" i="406"/>
  <c r="GZ13" i="406"/>
  <c r="HD13" i="406"/>
  <c r="HH13" i="406"/>
  <c r="HL13" i="406"/>
  <c r="HP13" i="406"/>
  <c r="AC13" i="406"/>
  <c r="AG13" i="406"/>
  <c r="AK13" i="406"/>
  <c r="AO13" i="406"/>
  <c r="AS13" i="406"/>
  <c r="AW13" i="406"/>
  <c r="BA13" i="406"/>
  <c r="BE13" i="406"/>
  <c r="BI13" i="406"/>
  <c r="BM13" i="406"/>
  <c r="BQ13" i="406"/>
  <c r="BU13" i="406"/>
  <c r="BY13" i="406"/>
  <c r="CC13" i="406"/>
  <c r="CG13" i="406"/>
  <c r="CK13" i="406"/>
  <c r="CO13" i="406"/>
  <c r="CS13" i="406"/>
  <c r="CW13" i="406"/>
  <c r="DA13" i="406"/>
  <c r="DE13" i="406"/>
  <c r="DI13" i="406"/>
  <c r="DM13" i="406"/>
  <c r="DQ13" i="406"/>
  <c r="BZ13" i="406"/>
  <c r="CD13" i="406"/>
  <c r="CH13" i="406"/>
  <c r="CL13" i="406"/>
  <c r="CP13" i="406"/>
  <c r="CT13" i="406"/>
  <c r="CX13" i="406"/>
  <c r="DB13" i="406"/>
  <c r="DF13" i="406"/>
  <c r="DJ13" i="406"/>
  <c r="DN13" i="406"/>
  <c r="DR13" i="406"/>
  <c r="CZ13" i="406"/>
  <c r="AA13" i="406"/>
  <c r="AE13" i="406"/>
  <c r="AI13" i="406"/>
  <c r="AM13" i="406"/>
  <c r="AQ13" i="406"/>
  <c r="AU13" i="406"/>
  <c r="AY13" i="406"/>
  <c r="BC13" i="406"/>
  <c r="BG13" i="406"/>
  <c r="BK13" i="406"/>
  <c r="BO13" i="406"/>
  <c r="BS13" i="406"/>
  <c r="BW13" i="406"/>
  <c r="CA13" i="406"/>
  <c r="CE13" i="406"/>
  <c r="CI13" i="406"/>
  <c r="CM13" i="406"/>
  <c r="CQ13" i="406"/>
  <c r="CU13" i="406"/>
  <c r="CY13" i="406"/>
  <c r="DC13" i="406"/>
  <c r="DG13" i="406"/>
  <c r="DK13" i="406"/>
  <c r="DO13" i="406"/>
  <c r="DS13" i="406"/>
  <c r="DY13" i="406"/>
  <c r="EC13" i="406"/>
  <c r="EG13" i="406"/>
  <c r="EK13" i="406"/>
  <c r="EO13" i="406"/>
  <c r="ES13" i="406"/>
  <c r="EW13" i="406"/>
  <c r="FA13" i="406"/>
  <c r="FE13" i="406"/>
  <c r="FI13" i="406"/>
  <c r="FM13" i="406"/>
  <c r="FQ13" i="406"/>
  <c r="FU13" i="406"/>
  <c r="FY13" i="406"/>
  <c r="GC13" i="406"/>
  <c r="GG13" i="406"/>
  <c r="GK13" i="406"/>
  <c r="GS13" i="406"/>
  <c r="GW13" i="406"/>
  <c r="HA13" i="406"/>
  <c r="HE13" i="406"/>
  <c r="HI13" i="406"/>
  <c r="HM13" i="406"/>
  <c r="HQ13" i="406"/>
  <c r="DW13" i="406"/>
  <c r="Q16" i="406" s="1"/>
  <c r="R15" i="406" s="1"/>
  <c r="Z13" i="406"/>
  <c r="AD13" i="406"/>
  <c r="AH13" i="406"/>
  <c r="AL13" i="406"/>
  <c r="AP13" i="406"/>
  <c r="AT13" i="406"/>
  <c r="AX13" i="406"/>
  <c r="BB13" i="406"/>
  <c r="BF13" i="406"/>
  <c r="BJ13" i="406"/>
  <c r="BN13" i="406"/>
  <c r="BR13" i="406"/>
  <c r="BV13" i="406"/>
  <c r="M37" i="406"/>
  <c r="O37" i="406" s="1"/>
  <c r="GO37" i="406" s="1"/>
  <c r="M49" i="406"/>
  <c r="O49" i="406" s="1"/>
  <c r="GX49" i="406" s="1"/>
  <c r="GX13" i="406" s="1"/>
  <c r="Q49" i="406" s="1"/>
  <c r="Q56" i="406" s="1"/>
  <c r="Q44" i="406"/>
  <c r="R36" i="406"/>
  <c r="R44" i="406" s="1"/>
  <c r="GO13" i="406"/>
  <c r="Q37" i="406" s="1"/>
  <c r="R31" i="406" l="1"/>
  <c r="Q31" i="406"/>
  <c r="Q58" i="406" s="1"/>
</calcChain>
</file>

<file path=xl/sharedStrings.xml><?xml version="1.0" encoding="utf-8"?>
<sst xmlns="http://schemas.openxmlformats.org/spreadsheetml/2006/main" count="33" uniqueCount="28">
  <si>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</si>
  <si>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</si>
  <si>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</si>
  <si>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</si>
  <si>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</si>
  <si>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</si>
  <si>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</si>
  <si>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</si>
  <si>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</si>
  <si>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</si>
  <si>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</si>
  <si>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</si>
  <si>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</si>
  <si>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</si>
  <si>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</si>
  <si>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</si>
  <si>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</si>
  <si>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</si>
  <si>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</si>
  <si>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</si>
  <si>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A-003</t>
  </si>
  <si>
    <t>MANTENIMIENTO DE INSTALACIONES INDUSTRIALES</t>
  </si>
  <si>
    <t>UNIDAD NACIONAL 94, CONJUNTO RESIDENCIAL PATRIA, ZAPOPAN, JALISCO CP 45160</t>
  </si>
  <si>
    <t>Tels. 36-15-36-94</t>
  </si>
  <si>
    <t>C:\Users\rvidal.GCPI.002\Documents\Programa gallo\Destajos\AcuGen GCPI 2023.xlsm</t>
  </si>
  <si>
    <t>PERIODO 2023</t>
  </si>
  <si>
    <t>RESIDENTES, SUPERVISORES Y DESTAJISTAS DE OBRA</t>
  </si>
  <si>
    <t>SEMANA 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</si>
</sst>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medium">
        <color auto="1"/>
      </top>
      <bottom style="thick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72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0" borderId="22" xfId="0" applyFont="1" applyBorder="1" applyAlignment="1" applyProtection="1">
      <alignment horizontal="left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hidden="1"/>
    </xf>
    <xf numFmtId="15" fontId="5" fillId="0" borderId="23" xfId="0" applyNumberFormat="1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2" fillId="0" borderId="23" xfId="0" applyFont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0" fillId="0" borderId="63" xfId="0" applyBorder="1" applyProtection="1">
      <protection locked="0"/>
    </xf>
    <xf numFmtId="0" fontId="7" fillId="0" borderId="31" xfId="1" applyFont="1" applyBorder="1" applyProtection="1"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1" fillId="3" borderId="17" xfId="0" applyFont="1" applyFill="1" applyBorder="1" applyAlignment="1">
      <alignment horizontal="center"/>
    </xf>
  </cellXfs>
  <cellStyles count="5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DAFA0E-E302-4AC6-AD31-CB12FCE8E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38100</xdr:rowOff>
        </xdr:from>
        <xdr:to>
          <xdr:col>17</xdr:col>
          <xdr:colOff>228600</xdr:colOff>
          <xdr:row>5</xdr:row>
          <xdr:rowOff>222250</xdr:rowOff>
        </xdr:to>
        <xdr:sp macro="" textlink="">
          <xdr:nvSpPr>
            <xdr:cNvPr id="415745" name="Button 1" hidden="1">
              <a:extLst>
                <a:ext uri="{63B3BB69-23CF-44E3-9099-C40C66FF867C}">
                  <a14:compatExt spid="_x0000_s415745"/>
                </a:ext>
                <a:ext uri="{FF2B5EF4-FFF2-40B4-BE49-F238E27FC236}">
                  <a16:creationId xmlns:a16="http://schemas.microsoft.com/office/drawing/2014/main" id="{C2A4E932-43C9-4A37-98FB-BB190347D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</xdr:row>
          <xdr:rowOff>12700</xdr:rowOff>
        </xdr:from>
        <xdr:to>
          <xdr:col>8</xdr:col>
          <xdr:colOff>355600</xdr:colOff>
          <xdr:row>9</xdr:row>
          <xdr:rowOff>184150</xdr:rowOff>
        </xdr:to>
        <xdr:sp macro="" textlink="">
          <xdr:nvSpPr>
            <xdr:cNvPr id="415746" name="Button 2" hidden="1">
              <a:extLst>
                <a:ext uri="{63B3BB69-23CF-44E3-9099-C40C66FF867C}">
                  <a14:compatExt spid="_x0000_s415746"/>
                </a:ext>
                <a:ext uri="{FF2B5EF4-FFF2-40B4-BE49-F238E27FC236}">
                  <a16:creationId xmlns:a16="http://schemas.microsoft.com/office/drawing/2014/main" id="{5F543535-032A-4769-AEAD-92DC21E6C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12700</xdr:rowOff>
        </xdr:from>
        <xdr:to>
          <xdr:col>17</xdr:col>
          <xdr:colOff>723900</xdr:colOff>
          <xdr:row>10</xdr:row>
          <xdr:rowOff>12700</xdr:rowOff>
        </xdr:to>
        <xdr:sp macro="" textlink="">
          <xdr:nvSpPr>
            <xdr:cNvPr id="415747" name="Button 3" hidden="1">
              <a:extLst>
                <a:ext uri="{63B3BB69-23CF-44E3-9099-C40C66FF867C}">
                  <a14:compatExt spid="_x0000_s415747"/>
                </a:ext>
                <a:ext uri="{FF2B5EF4-FFF2-40B4-BE49-F238E27FC236}">
                  <a16:creationId xmlns:a16="http://schemas.microsoft.com/office/drawing/2014/main" id="{A24D54E2-13F0-440A-A976-D7DC120EF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C-321</v>
          </cell>
          <cell r="B185"/>
          <cell r="C185" t="str">
            <v>TLAJOMULCO</v>
          </cell>
          <cell r="D185" t="str">
            <v>AMPLIACIÓN DE OFICINAS DE CALIDAD EN NAVE 4 EDIFICIO A</v>
          </cell>
          <cell r="E185"/>
          <cell r="F185"/>
          <cell r="G185"/>
          <cell r="H185"/>
          <cell r="I185"/>
        </row>
        <row r="186">
          <cell r="A186" t="str">
            <v>C-322</v>
          </cell>
          <cell r="B186"/>
          <cell r="C186" t="str">
            <v>TLAJOMULCO</v>
          </cell>
          <cell r="D186" t="str">
            <v>TALLER DE MOLDES PARA HUSKY EDIFICIO A, E y C</v>
          </cell>
          <cell r="E186"/>
          <cell r="F186"/>
          <cell r="G186"/>
          <cell r="H186"/>
          <cell r="I186"/>
        </row>
        <row r="187">
          <cell r="A187" t="str">
            <v>C-325</v>
          </cell>
          <cell r="B187"/>
          <cell r="C187" t="str">
            <v>TLAJOMULCO</v>
          </cell>
          <cell r="D187" t="str">
            <v>ALMACÉN DE EQUIPOS EDF</v>
          </cell>
          <cell r="E187"/>
          <cell r="F187"/>
          <cell r="G187"/>
          <cell r="H187"/>
          <cell r="I187"/>
        </row>
        <row r="188">
          <cell r="A188" t="str">
            <v>C-326</v>
          </cell>
          <cell r="B188"/>
          <cell r="C188" t="str">
            <v>TLAJOMULCO</v>
          </cell>
          <cell r="D188" t="str">
            <v>ARCHIVO REGULATORIO EDIFICIO E</v>
          </cell>
          <cell r="E188"/>
          <cell r="F188"/>
          <cell r="G188"/>
          <cell r="H188"/>
          <cell r="I188"/>
        </row>
        <row r="189">
          <cell r="A189" t="str">
            <v>C-327</v>
          </cell>
          <cell r="B189"/>
          <cell r="C189" t="str">
            <v>TLAJOMULCO</v>
          </cell>
          <cell r="D189" t="str">
            <v>ALMACÉN DE PT4 y PT5 Y SALAS DE PESADOS</v>
          </cell>
          <cell r="E189"/>
          <cell r="F189"/>
          <cell r="G189"/>
          <cell r="H189"/>
          <cell r="I189"/>
        </row>
        <row r="190">
          <cell r="A190" t="str">
            <v>C-329</v>
          </cell>
          <cell r="B190"/>
          <cell r="C190" t="str">
            <v>TLAJOMULCO</v>
          </cell>
          <cell r="D190" t="str">
            <v>PLANTA PILOTO</v>
          </cell>
          <cell r="E190"/>
          <cell r="F190"/>
          <cell r="G190"/>
          <cell r="H190"/>
          <cell r="I190"/>
        </row>
        <row r="191">
          <cell r="A191" t="str">
            <v>C-330</v>
          </cell>
          <cell r="B191"/>
          <cell r="C191" t="str">
            <v>TLAJOMULCO</v>
          </cell>
          <cell r="D191" t="str">
            <v>ADECUACIONES OBRA CIVIL PASILLOS ISO 9 AGROPECUARIA</v>
          </cell>
          <cell r="E191"/>
          <cell r="F191"/>
          <cell r="G191"/>
          <cell r="H191"/>
          <cell r="I191"/>
        </row>
        <row r="192">
          <cell r="A192" t="str">
            <v>C-331</v>
          </cell>
          <cell r="B192"/>
          <cell r="C192" t="str">
            <v>ZONA INDUSTRIAL</v>
          </cell>
          <cell r="D192" t="str">
            <v>ACONDICIONADO AV L-2</v>
          </cell>
          <cell r="E192"/>
          <cell r="F192"/>
          <cell r="G192"/>
          <cell r="H192"/>
          <cell r="I192"/>
        </row>
        <row r="193">
          <cell r="A193" t="str">
            <v>C-332</v>
          </cell>
          <cell r="B193"/>
          <cell r="C193" t="str">
            <v>TLAJOMULCO</v>
          </cell>
          <cell r="D193" t="str">
            <v>REDUCCIÓN RIESGOS NORMATIVOS LIOFILIZADOS NO ONCOLÓGICOS</v>
          </cell>
          <cell r="E193"/>
          <cell r="F193"/>
          <cell r="G193"/>
          <cell r="H193"/>
          <cell r="I193"/>
        </row>
        <row r="194">
          <cell r="A194" t="str">
            <v>C-333</v>
          </cell>
          <cell r="B194"/>
          <cell r="C194" t="str">
            <v>ALCOLAHUAS 3467 FRACCIONAMIENTO MONRAZ, GUADALAJARA, JALISCO CP 44670</v>
          </cell>
          <cell r="D194" t="str">
            <v>CASA MONRAZ</v>
          </cell>
          <cell r="E194"/>
          <cell r="F194"/>
          <cell r="G194"/>
          <cell r="H194"/>
          <cell r="I194"/>
        </row>
        <row r="195">
          <cell r="A195" t="str">
            <v>C-334</v>
          </cell>
          <cell r="B195"/>
          <cell r="C195" t="str">
            <v>TLAJOMULCO</v>
          </cell>
          <cell r="D195" t="str">
            <v>CANCHA DE PADEL ENRIQUE PARTIDA</v>
          </cell>
          <cell r="E195"/>
          <cell r="F195"/>
          <cell r="G195"/>
          <cell r="H195"/>
          <cell r="I195"/>
        </row>
        <row r="196">
          <cell r="A196" t="str">
            <v>C-335</v>
          </cell>
          <cell r="B196"/>
          <cell r="C196" t="str">
            <v>TEJABANES</v>
          </cell>
          <cell r="D196" t="str">
            <v>OFICINAS ( NAVE A ) ÁLAMO PARK</v>
          </cell>
          <cell r="E196"/>
          <cell r="F196"/>
          <cell r="G196"/>
          <cell r="H196"/>
          <cell r="I196"/>
        </row>
        <row r="197">
          <cell r="A197" t="str">
            <v>C-336</v>
          </cell>
          <cell r="B197"/>
          <cell r="C197" t="str">
            <v>ZONA INDUSTRIAL</v>
          </cell>
          <cell r="D197" t="str">
            <v>ALMACÉN DE CALLE 6</v>
          </cell>
          <cell r="E197"/>
          <cell r="F197"/>
          <cell r="G197"/>
          <cell r="H197"/>
          <cell r="I197"/>
        </row>
        <row r="198">
          <cell r="A198" t="str">
            <v>C-339</v>
          </cell>
          <cell r="B198"/>
          <cell r="C198" t="str">
            <v>LA LLAVE L-38</v>
          </cell>
          <cell r="D198" t="str">
            <v>LA LLAVE L-38</v>
          </cell>
          <cell r="E198"/>
          <cell r="F198"/>
          <cell r="G198"/>
          <cell r="H198"/>
          <cell r="I198"/>
        </row>
        <row r="199">
          <cell r="A199" t="str">
            <v>C-340</v>
          </cell>
          <cell r="B199"/>
          <cell r="C199" t="str">
            <v>LA LLAVE L-40</v>
          </cell>
          <cell r="D199" t="str">
            <v>LA LLAVE L-40</v>
          </cell>
          <cell r="E199"/>
          <cell r="F199"/>
          <cell r="G199"/>
          <cell r="H199"/>
          <cell r="I199"/>
        </row>
        <row r="200">
          <cell r="A200" t="str">
            <v>C-341</v>
          </cell>
          <cell r="B200"/>
          <cell r="C200" t="str">
            <v>ZONA INDUSTRIAL</v>
          </cell>
          <cell r="D200" t="str">
            <v>DRENAJES TANQUES 100,000 CALLE 6</v>
          </cell>
          <cell r="E200"/>
          <cell r="F200"/>
          <cell r="G200"/>
          <cell r="H200"/>
          <cell r="I200"/>
        </row>
        <row r="201">
          <cell r="A201" t="str">
            <v>C-342</v>
          </cell>
          <cell r="B201"/>
          <cell r="C201" t="str">
            <v>TLAJOMULCO</v>
          </cell>
          <cell r="D201" t="str">
            <v>LÍNEA DE VIALES 3 EN EDIFICIO B</v>
          </cell>
          <cell r="E201"/>
          <cell r="F201"/>
          <cell r="G201"/>
          <cell r="H201"/>
          <cell r="I201"/>
        </row>
        <row r="202">
          <cell r="A202" t="str">
            <v>C-343</v>
          </cell>
          <cell r="B202"/>
          <cell r="C202" t="str">
            <v>ZONA INDUSTRIAL</v>
          </cell>
          <cell r="D202" t="str">
            <v>DEMOLICIONES AMPOLLETAS PLÁSTICO</v>
          </cell>
          <cell r="E202"/>
          <cell r="F202"/>
          <cell r="G202"/>
          <cell r="H202"/>
          <cell r="I202"/>
        </row>
        <row r="203">
          <cell r="A203" t="str">
            <v>C-344</v>
          </cell>
          <cell r="B203"/>
          <cell r="C203" t="str">
            <v>TLAJOMULCO</v>
          </cell>
          <cell r="D203" t="str">
            <v>INSUMOS 5 EN MANZANA 3</v>
          </cell>
          <cell r="E203"/>
          <cell r="F203"/>
          <cell r="G203"/>
          <cell r="H203"/>
          <cell r="I203"/>
        </row>
        <row r="204">
          <cell r="A204" t="str">
            <v>C-345</v>
          </cell>
          <cell r="B204"/>
          <cell r="C204" t="str">
            <v>TEJABANES</v>
          </cell>
          <cell r="D204" t="str">
            <v>DIVISIÓN IARE/TECNOMED CDN ÁLAMO</v>
          </cell>
          <cell r="E204"/>
          <cell r="F204"/>
          <cell r="G204"/>
          <cell r="H204"/>
          <cell r="I204"/>
        </row>
        <row r="205">
          <cell r="A205" t="str">
            <v>C-347</v>
          </cell>
          <cell r="B205"/>
          <cell r="C205" t="str">
            <v>ZONA INDUSTRIAL</v>
          </cell>
          <cell r="D205" t="str">
            <v>MEZANINNE 2DO NIVEL</v>
          </cell>
          <cell r="E205"/>
          <cell r="F205"/>
          <cell r="G205"/>
          <cell r="H205"/>
          <cell r="I205"/>
        </row>
        <row r="206">
          <cell r="A206" t="str">
            <v>C-348</v>
          </cell>
          <cell r="B206"/>
          <cell r="C206" t="str">
            <v>ZONA INDUSTRIAL</v>
          </cell>
          <cell r="D206" t="str">
            <v>PERFORACIÓN DE POZO 10 JARDÍN CENTRAL</v>
          </cell>
          <cell r="E206"/>
          <cell r="F206"/>
          <cell r="G206"/>
          <cell r="H206"/>
          <cell r="I206"/>
        </row>
        <row r="207">
          <cell r="A207" t="str">
            <v>C-349</v>
          </cell>
          <cell r="B207"/>
          <cell r="C207" t="str">
            <v>PYMPSA</v>
          </cell>
          <cell r="D207" t="str">
            <v>ACCESO TALLER DE TORNO PYMPSA</v>
          </cell>
          <cell r="E207"/>
          <cell r="F207"/>
          <cell r="G207"/>
          <cell r="H207"/>
          <cell r="I207"/>
        </row>
        <row r="208">
          <cell r="A208" t="str">
            <v>C-350</v>
          </cell>
          <cell r="B208"/>
          <cell r="C208" t="str">
            <v>TLAJOMULCO</v>
          </cell>
          <cell r="D208" t="str">
            <v>ALMACÉN DE MATERIALES 04</v>
          </cell>
          <cell r="E208"/>
          <cell r="F208"/>
          <cell r="G208"/>
          <cell r="H208"/>
          <cell r="I208"/>
        </row>
        <row r="209">
          <cell r="A209" t="str">
            <v>C-352</v>
          </cell>
          <cell r="B209"/>
          <cell r="C209" t="str">
            <v>TLAJOMULCO</v>
          </cell>
          <cell r="D209" t="str">
            <v>NAVE DE SERVICIOS 2 MZ3</v>
          </cell>
          <cell r="E209"/>
          <cell r="F209"/>
          <cell r="G209"/>
          <cell r="H209"/>
          <cell r="I209"/>
        </row>
        <row r="210">
          <cell r="A210" t="str">
            <v>C-354</v>
          </cell>
          <cell r="B210"/>
          <cell r="C210" t="str">
            <v>TLAJOMULCO</v>
          </cell>
          <cell r="D210" t="str">
            <v>AUTOCLAVES DE DESECHO DE LABORATORIOS DE MICROBIOLOGÍA EDIF A y E</v>
          </cell>
          <cell r="E210"/>
          <cell r="F210"/>
          <cell r="G210"/>
          <cell r="H210"/>
          <cell r="I210"/>
        </row>
        <row r="211">
          <cell r="A211" t="str">
            <v>C-355</v>
          </cell>
          <cell r="B211"/>
          <cell r="C211" t="str">
            <v>TLAJOMULCO</v>
          </cell>
          <cell r="D211" t="str">
            <v>PROYECTO BARDA PERIMETRAL</v>
          </cell>
          <cell r="E211"/>
          <cell r="F211"/>
          <cell r="G211"/>
          <cell r="H211"/>
          <cell r="I211"/>
        </row>
        <row r="212">
          <cell r="A212" t="str">
            <v>C-356</v>
          </cell>
          <cell r="B212"/>
          <cell r="C212" t="str">
            <v>TLAJOMULCO</v>
          </cell>
          <cell r="D212" t="str">
            <v>REVISIÓN AV3</v>
          </cell>
          <cell r="E212"/>
          <cell r="F212"/>
          <cell r="G212"/>
          <cell r="H212"/>
          <cell r="I212"/>
        </row>
        <row r="213">
          <cell r="A213" t="str">
            <v>C-357</v>
          </cell>
          <cell r="B213"/>
          <cell r="C213" t="str">
            <v>ZONA INDUSTRIAL</v>
          </cell>
          <cell r="D213" t="str">
            <v>CONTENEDORES DE SUB-ESTACIONES</v>
          </cell>
          <cell r="E213"/>
          <cell r="F213"/>
          <cell r="G213"/>
          <cell r="H213"/>
          <cell r="I213"/>
        </row>
        <row r="214">
          <cell r="A214" t="str">
            <v>C-363</v>
          </cell>
          <cell r="B214"/>
          <cell r="C214" t="str">
            <v>CORPORATIVO BELENES</v>
          </cell>
          <cell r="D214" t="str">
            <v>NAVES FLOR DE CÓRDOBA</v>
          </cell>
          <cell r="E214"/>
          <cell r="F214"/>
          <cell r="G214"/>
          <cell r="H214"/>
          <cell r="I214"/>
        </row>
        <row r="215">
          <cell r="A215" t="str">
            <v>C-364</v>
          </cell>
          <cell r="B215"/>
          <cell r="C215" t="str">
            <v>ACAPULCO</v>
          </cell>
          <cell r="D215" t="str">
            <v>RADEC ACAPULCO</v>
          </cell>
          <cell r="E215"/>
          <cell r="F215"/>
          <cell r="G215"/>
          <cell r="H215"/>
          <cell r="I215"/>
        </row>
        <row r="216">
          <cell r="A216" t="str">
            <v>C-365</v>
          </cell>
          <cell r="B216"/>
          <cell r="C216" t="str">
            <v>TLAJOMULCO</v>
          </cell>
          <cell r="D216" t="str">
            <v>PLANTA DE ACONDICIONADO FORMAS SÓLIDAS ( BAJO VOLUMEN )</v>
          </cell>
          <cell r="E216"/>
          <cell r="F216"/>
          <cell r="G216"/>
          <cell r="H216"/>
          <cell r="I216"/>
        </row>
        <row r="217">
          <cell r="A217" t="str">
            <v>C-366</v>
          </cell>
          <cell r="B217"/>
          <cell r="C217" t="str">
            <v>TLAJOMULCO</v>
          </cell>
          <cell r="D217" t="str">
            <v>NAVE DE PRODUCCIÓN 6 LÍNEA 12</v>
          </cell>
          <cell r="E217"/>
          <cell r="F217"/>
          <cell r="G217"/>
          <cell r="H217"/>
          <cell r="I217"/>
        </row>
        <row r="218">
          <cell r="A218" t="str">
            <v>C-367</v>
          </cell>
          <cell r="B218"/>
          <cell r="C218" t="str">
            <v>TESISTÁN</v>
          </cell>
          <cell r="D218" t="str">
            <v>FRACCIONAMIENTO TESISTÁN</v>
          </cell>
          <cell r="E218"/>
          <cell r="F218"/>
          <cell r="G218"/>
          <cell r="H218"/>
          <cell r="I218"/>
        </row>
        <row r="219">
          <cell r="A219" t="str">
            <v>C-368</v>
          </cell>
          <cell r="B219"/>
          <cell r="C219" t="str">
            <v>TLAJOMULCO</v>
          </cell>
          <cell r="D219" t="str">
            <v>TRABAJOS ESCLUSA MICROBIOLOGÍA EDIF A</v>
          </cell>
          <cell r="E219"/>
          <cell r="F219"/>
          <cell r="G219"/>
          <cell r="H219"/>
          <cell r="I219"/>
        </row>
        <row r="220">
          <cell r="A220" t="str">
            <v>C-370</v>
          </cell>
          <cell r="B220"/>
          <cell r="C220" t="str">
            <v>TAPALPA LOTE 30 y 31 LA QUINTA, CP 44340</v>
          </cell>
          <cell r="D220" t="str">
            <v>CASA CARRAL OCHOA</v>
          </cell>
          <cell r="E220"/>
          <cell r="F220"/>
          <cell r="G220"/>
          <cell r="H220"/>
          <cell r="I220"/>
        </row>
        <row r="221">
          <cell r="A221" t="str">
            <v>C-371</v>
          </cell>
          <cell r="B221"/>
          <cell r="C221" t="str">
            <v>TEJABANES</v>
          </cell>
          <cell r="D221" t="str">
            <v>EQUIPOS BIOMÉDICOS</v>
          </cell>
          <cell r="E221"/>
          <cell r="F221"/>
          <cell r="G221"/>
          <cell r="H221"/>
          <cell r="I221"/>
        </row>
        <row r="222">
          <cell r="A222" t="str">
            <v>C-372</v>
          </cell>
          <cell r="B222"/>
          <cell r="C222" t="str">
            <v>ZONA INDUSTRIAL</v>
          </cell>
          <cell r="D222" t="str">
            <v>RAMPA SALIDA DE DESECHOS BIOTECNOLÓGICOS</v>
          </cell>
          <cell r="E222"/>
          <cell r="F222"/>
          <cell r="G222"/>
          <cell r="H222"/>
          <cell r="I222"/>
        </row>
        <row r="223">
          <cell r="A223" t="str">
            <v>C-374</v>
          </cell>
          <cell r="B223"/>
          <cell r="C223" t="str">
            <v>AVANT</v>
          </cell>
          <cell r="D223" t="str">
            <v>NAVE 4 PARQUE AVANT</v>
          </cell>
          <cell r="E223"/>
          <cell r="F223"/>
          <cell r="G223"/>
          <cell r="H223"/>
          <cell r="I223"/>
        </row>
        <row r="224">
          <cell r="A224" t="str">
            <v>C-375</v>
          </cell>
          <cell r="B224"/>
          <cell r="C224" t="str">
            <v>RADEC ACATLÁN</v>
          </cell>
          <cell r="D224" t="str">
            <v>CEDIS RADEC 2</v>
          </cell>
          <cell r="E224"/>
          <cell r="F224"/>
          <cell r="G224"/>
          <cell r="H224"/>
          <cell r="I224"/>
        </row>
        <row r="225">
          <cell r="A225" t="str">
            <v>C-377</v>
          </cell>
          <cell r="B225"/>
          <cell r="C225" t="str">
            <v>ZONA INDUSTRIAL</v>
          </cell>
          <cell r="D225" t="str">
            <v>TRABAJOS MANTENIMIENTO PLATAFORMA TORRES DE ENFRIAMIENTO</v>
          </cell>
          <cell r="E225"/>
          <cell r="F225"/>
          <cell r="G225"/>
          <cell r="H225"/>
          <cell r="I225"/>
        </row>
        <row r="226">
          <cell r="A226" t="str">
            <v>C-378</v>
          </cell>
          <cell r="B226"/>
          <cell r="C226" t="str">
            <v>SAN JUAN DE ALIMA</v>
          </cell>
          <cell r="D226" t="str">
            <v>REPARACIÓN TEMBLOR STELLA MARIS</v>
          </cell>
          <cell r="E226"/>
          <cell r="F226"/>
          <cell r="G226"/>
          <cell r="H226"/>
          <cell r="I226"/>
        </row>
        <row r="227">
          <cell r="A227" t="str">
            <v>C-379</v>
          </cell>
          <cell r="B227"/>
          <cell r="C227" t="str">
            <v>SAN JUAN DE ALIMA</v>
          </cell>
          <cell r="D227" t="str">
            <v>REPARACIÓN TEMBLOR VILLA</v>
          </cell>
          <cell r="E227"/>
          <cell r="F227"/>
          <cell r="G227"/>
          <cell r="H227"/>
          <cell r="I227"/>
        </row>
        <row r="228">
          <cell r="A228" t="str">
            <v>C-380</v>
          </cell>
          <cell r="B228"/>
          <cell r="C228" t="str">
            <v>SAN JUAN DE ALIMA</v>
          </cell>
          <cell r="D228" t="str">
            <v>REPARACIÓN TEMBLOR JUAN CARLOS</v>
          </cell>
          <cell r="E228"/>
          <cell r="F228"/>
          <cell r="G228"/>
          <cell r="H228"/>
          <cell r="I228"/>
        </row>
        <row r="229">
          <cell r="A229" t="str">
            <v>C-381</v>
          </cell>
          <cell r="B229"/>
          <cell r="C229" t="str">
            <v>SAN JUAN DE ALIMA</v>
          </cell>
          <cell r="D229" t="str">
            <v>REPARACIÓN TEMBLOR ESTEBAN ÁLVAREZ</v>
          </cell>
          <cell r="E229"/>
          <cell r="F229"/>
          <cell r="G229"/>
          <cell r="H229"/>
          <cell r="I229"/>
        </row>
        <row r="230">
          <cell r="A230" t="str">
            <v>C-382</v>
          </cell>
          <cell r="B230"/>
          <cell r="C230" t="str">
            <v>TLAJOMULCO</v>
          </cell>
          <cell r="D230" t="str">
            <v>CDN 3 PISA TLAJOMULCO</v>
          </cell>
          <cell r="E230"/>
          <cell r="F230"/>
          <cell r="G230"/>
          <cell r="H230"/>
          <cell r="I230"/>
        </row>
        <row r="231">
          <cell r="A231" t="str">
            <v>C-383</v>
          </cell>
          <cell r="B231"/>
          <cell r="C231" t="str">
            <v>TLAJOMULCO</v>
          </cell>
          <cell r="D231" t="str">
            <v>SEGREGACIÓN PISA GLOBAL</v>
          </cell>
          <cell r="E231"/>
          <cell r="F231"/>
          <cell r="G231"/>
          <cell r="H231"/>
          <cell r="I231"/>
        </row>
        <row r="232">
          <cell r="A232" t="str">
            <v>C-384</v>
          </cell>
          <cell r="B232"/>
          <cell r="C232" t="str">
            <v>ZAPOPAN</v>
          </cell>
          <cell r="D232" t="str">
            <v>MIXTÓN 18</v>
          </cell>
          <cell r="E232"/>
          <cell r="F232"/>
          <cell r="G232"/>
          <cell r="H232"/>
          <cell r="I232"/>
        </row>
        <row r="233">
          <cell r="A233" t="str">
            <v>C-385</v>
          </cell>
          <cell r="B233"/>
          <cell r="C233" t="str">
            <v>SAN JUAN DE ALIMA</v>
          </cell>
          <cell r="D233" t="str">
            <v>BUNGALOWS STELLA MARIS TEMBLOR</v>
          </cell>
          <cell r="E233"/>
          <cell r="F233"/>
          <cell r="G233"/>
          <cell r="H233"/>
          <cell r="I233"/>
        </row>
        <row r="234">
          <cell r="A234" t="str">
            <v>C-386</v>
          </cell>
          <cell r="B234"/>
          <cell r="C234" t="str">
            <v>TLAJOMULCO</v>
          </cell>
          <cell r="D234" t="str">
            <v>ALMACÉN DE MATERIALES 5 EN MANZANA 3</v>
          </cell>
          <cell r="E234"/>
          <cell r="F234"/>
          <cell r="G234"/>
          <cell r="H234"/>
          <cell r="I234"/>
        </row>
        <row r="235">
          <cell r="A235" t="str">
            <v>C-387</v>
          </cell>
          <cell r="B235"/>
          <cell r="C235" t="str">
            <v>COLIMA</v>
          </cell>
          <cell r="D235" t="str">
            <v>AMPLIACIÓN SANEFRO COLIMA</v>
          </cell>
          <cell r="E235"/>
          <cell r="F235"/>
          <cell r="G235"/>
          <cell r="H235"/>
          <cell r="I235"/>
        </row>
        <row r="236">
          <cell r="A236" t="str">
            <v>C-388</v>
          </cell>
          <cell r="B236"/>
          <cell r="C236" t="str">
            <v>ÁLAMO INDUSTRIAL</v>
          </cell>
          <cell r="D236" t="str">
            <v xml:space="preserve">CAMBIO DE RAMPAS NIVELADORAS AMSA </v>
          </cell>
          <cell r="E236"/>
          <cell r="F236"/>
          <cell r="G236"/>
          <cell r="H236"/>
          <cell r="I236"/>
        </row>
        <row r="237">
          <cell r="A237" t="str">
            <v>C-389</v>
          </cell>
          <cell r="B237"/>
          <cell r="C237" t="str">
            <v>COLINAS DE SAN JAVIER</v>
          </cell>
          <cell r="D237" t="str">
            <v>PASEO DEL TORREÓN</v>
          </cell>
          <cell r="E237"/>
          <cell r="F237"/>
          <cell r="G237"/>
          <cell r="H237"/>
          <cell r="I237"/>
        </row>
        <row r="238">
          <cell r="A238" t="str">
            <v>C-390</v>
          </cell>
          <cell r="B238"/>
          <cell r="C238" t="str">
            <v>COUNTRY</v>
          </cell>
          <cell r="D238" t="str">
            <v>DEPARTAMENTO OTTAWA</v>
          </cell>
          <cell r="E238"/>
          <cell r="F238"/>
          <cell r="G238"/>
          <cell r="H238"/>
          <cell r="I238"/>
        </row>
        <row r="239">
          <cell r="A239" t="str">
            <v>C-391</v>
          </cell>
          <cell r="B239"/>
          <cell r="C239" t="str">
            <v>ZONA INDUSTRIAL</v>
          </cell>
          <cell r="D239" t="str">
            <v>TRABAJO DE REMODELACIÓN EN OFICINAS DE ABASTECIMIENTO</v>
          </cell>
          <cell r="E239"/>
          <cell r="F239"/>
          <cell r="G239"/>
          <cell r="H239"/>
          <cell r="I239"/>
        </row>
        <row r="240">
          <cell r="A240" t="str">
            <v>C-392</v>
          </cell>
          <cell r="B240"/>
          <cell r="C240" t="str">
            <v>TIJUANA</v>
          </cell>
          <cell r="D240" t="str">
            <v>AMPLIACIÓN SANEFRO TIJUANA 2022</v>
          </cell>
          <cell r="E240"/>
          <cell r="F240"/>
          <cell r="G240"/>
          <cell r="H240"/>
          <cell r="I240"/>
        </row>
        <row r="241">
          <cell r="A241" t="str">
            <v>C-393</v>
          </cell>
          <cell r="B241"/>
          <cell r="C241" t="str">
            <v>MANZANILLO</v>
          </cell>
          <cell r="D241" t="str">
            <v>MANTENIMIENTO SANEFRO MANZANILLO</v>
          </cell>
          <cell r="E241"/>
          <cell r="F241"/>
          <cell r="G241"/>
          <cell r="H241"/>
          <cell r="I241"/>
        </row>
        <row r="242">
          <cell r="A242" t="str">
            <v>C-395</v>
          </cell>
          <cell r="B242"/>
          <cell r="C242" t="str">
            <v>SANEFRO VENEZUELA</v>
          </cell>
          <cell r="D242" t="str">
            <v>TARJAS INOXIDABLE SANEFRO</v>
          </cell>
          <cell r="E242"/>
          <cell r="F242"/>
          <cell r="G242"/>
          <cell r="H242"/>
          <cell r="I242"/>
        </row>
        <row r="243">
          <cell r="A243" t="str">
            <v>C-396</v>
          </cell>
          <cell r="B243"/>
          <cell r="C243" t="str">
            <v>TLAJOMULCO</v>
          </cell>
          <cell r="D243" t="str">
            <v>REMEDIACIÓN DE SALAS DE PESADO EDIFICIO E</v>
          </cell>
          <cell r="E243"/>
          <cell r="F243"/>
          <cell r="G243"/>
          <cell r="H243"/>
          <cell r="I243"/>
        </row>
        <row r="244">
          <cell r="A244" t="str">
            <v>C-397</v>
          </cell>
          <cell r="B244"/>
          <cell r="C244" t="str">
            <v>ZONA INDUSTRIAL</v>
          </cell>
          <cell r="D244" t="str">
            <v>EVENTO PISA</v>
          </cell>
          <cell r="E244"/>
          <cell r="F244"/>
          <cell r="G244"/>
          <cell r="H244"/>
          <cell r="I244"/>
        </row>
        <row r="245">
          <cell r="A245" t="str">
            <v>C-398</v>
          </cell>
          <cell r="B245"/>
          <cell r="C245" t="str">
            <v>AV FRANCIA</v>
          </cell>
          <cell r="D245" t="str">
            <v>PUERTA DE EMERGENCIA PISA AGROPECUARIA</v>
          </cell>
          <cell r="E245"/>
          <cell r="F245"/>
          <cell r="G245"/>
          <cell r="H245"/>
          <cell r="I245"/>
        </row>
        <row r="246">
          <cell r="A246" t="str">
            <v>C-399</v>
          </cell>
          <cell r="B246"/>
          <cell r="C246" t="str">
            <v>ZONA INDUSTRIAL</v>
          </cell>
          <cell r="D246" t="str">
            <v>LÍNEA AV7 AMPOLLETAS</v>
          </cell>
          <cell r="E246"/>
          <cell r="F246"/>
          <cell r="G246"/>
          <cell r="H246"/>
          <cell r="I246"/>
        </row>
        <row r="247">
          <cell r="A247" t="str">
            <v>C-400</v>
          </cell>
          <cell r="B247"/>
          <cell r="C247" t="str">
            <v>TLAJOMULCO</v>
          </cell>
          <cell r="D247" t="str">
            <v>REUBICACIÓN DE RANCHO LA STELLA</v>
          </cell>
          <cell r="E247"/>
          <cell r="F247"/>
          <cell r="G247"/>
          <cell r="H247"/>
          <cell r="I247"/>
        </row>
        <row r="248">
          <cell r="A248" t="str">
            <v>C-401</v>
          </cell>
          <cell r="B248"/>
          <cell r="C248" t="str">
            <v>TLAJOMULCO</v>
          </cell>
          <cell r="D248" t="str">
            <v>PROYECTO URBANIZACIÓN</v>
          </cell>
          <cell r="E248"/>
          <cell r="F248"/>
          <cell r="G248"/>
          <cell r="H248"/>
          <cell r="I248"/>
        </row>
        <row r="249">
          <cell r="A249" t="str">
            <v>C-402</v>
          </cell>
          <cell r="B249"/>
          <cell r="C249" t="str">
            <v>PYMPSA</v>
          </cell>
          <cell r="D249" t="str">
            <v>REMEDIACIÓN ÁREAS PYMPSA</v>
          </cell>
          <cell r="E249"/>
          <cell r="F249"/>
          <cell r="G249"/>
          <cell r="H249"/>
          <cell r="I249"/>
        </row>
        <row r="250">
          <cell r="A250" t="str">
            <v>C-403</v>
          </cell>
          <cell r="B250"/>
          <cell r="C250" t="str">
            <v>PYMPSA</v>
          </cell>
          <cell r="D250" t="str">
            <v>ADECUACIONES AZOTEA SUB-ESTACIÓN PYMPSA</v>
          </cell>
          <cell r="E250"/>
          <cell r="F250"/>
          <cell r="G250"/>
          <cell r="H250"/>
          <cell r="I250"/>
        </row>
        <row r="251">
          <cell r="A251" t="str">
            <v>C-404</v>
          </cell>
          <cell r="B251"/>
          <cell r="C251" t="str">
            <v>ATOTONILCO</v>
          </cell>
          <cell r="D251" t="str">
            <v>CASA HÉCTOR GALINDO</v>
          </cell>
          <cell r="E251"/>
          <cell r="F251"/>
          <cell r="G251"/>
          <cell r="H251"/>
          <cell r="I251"/>
        </row>
        <row r="252">
          <cell r="A252" t="str">
            <v>C-405</v>
          </cell>
          <cell r="B252"/>
          <cell r="C252" t="str">
            <v>PARQUE CAB</v>
          </cell>
          <cell r="D252" t="str">
            <v>OFICINAS NAVE 5</v>
          </cell>
          <cell r="E252"/>
          <cell r="F252"/>
          <cell r="G252"/>
          <cell r="H252"/>
          <cell r="I252"/>
        </row>
        <row r="253">
          <cell r="A253" t="str">
            <v>C-406</v>
          </cell>
          <cell r="B253"/>
          <cell r="C253" t="str">
            <v>ZONA INDUSTRIAL</v>
          </cell>
          <cell r="D253" t="str">
            <v>LOSA ENTREPISO ANDÉN PENICILÍNICOS</v>
          </cell>
          <cell r="E253"/>
          <cell r="F253"/>
          <cell r="G253"/>
          <cell r="H253"/>
          <cell r="I253"/>
        </row>
        <row r="254">
          <cell r="A254" t="str">
            <v>C-407</v>
          </cell>
          <cell r="B254"/>
          <cell r="C254" t="str">
            <v>ZONA INDUSTRIAL</v>
          </cell>
          <cell r="D254" t="str">
            <v>LAVANDERÍA PENICILÍNICOS</v>
          </cell>
          <cell r="E254"/>
          <cell r="F254"/>
          <cell r="G254"/>
          <cell r="H254"/>
          <cell r="I254"/>
        </row>
        <row r="255">
          <cell r="A255" t="str">
            <v>C-408</v>
          </cell>
          <cell r="B255"/>
          <cell r="C255" t="str">
            <v>ZONA INDUSTRIAL</v>
          </cell>
          <cell r="D255" t="str">
            <v>CUARTO DE MUESTREO PLANTA BAJA PENICILÍNICOS</v>
          </cell>
          <cell r="E255"/>
          <cell r="F255"/>
          <cell r="G255"/>
          <cell r="H255"/>
          <cell r="I255"/>
        </row>
        <row r="256">
          <cell r="A256" t="str">
            <v>C-409</v>
          </cell>
          <cell r="B256"/>
          <cell r="C256" t="str">
            <v>INDUSTRIAL</v>
          </cell>
          <cell r="D256" t="str">
            <v>SALA DE PESADOS PENICILÍNICOS 1ER NIVEL</v>
          </cell>
          <cell r="E256"/>
          <cell r="F256"/>
          <cell r="G256"/>
          <cell r="H256"/>
          <cell r="I256"/>
        </row>
        <row r="257">
          <cell r="A257" t="str">
            <v>C-412</v>
          </cell>
          <cell r="B257"/>
          <cell r="C257" t="str">
            <v>TLAJOMULCO</v>
          </cell>
          <cell r="D257" t="str">
            <v>PATIO DE MANIOBRAS DE ANDÉN # 9 ASRS</v>
          </cell>
          <cell r="E257"/>
          <cell r="F257"/>
          <cell r="G257"/>
          <cell r="H257"/>
          <cell r="I257"/>
        </row>
        <row r="258">
          <cell r="A258" t="str">
            <v>C-413</v>
          </cell>
          <cell r="B258"/>
          <cell r="C258" t="str">
            <v>COAHUILA</v>
          </cell>
          <cell r="D258" t="str">
            <v>MANTENIMIENTO 2023 RANCHO EL BONITO</v>
          </cell>
          <cell r="E258"/>
          <cell r="F258"/>
          <cell r="G258"/>
          <cell r="H258"/>
          <cell r="I258"/>
        </row>
        <row r="259">
          <cell r="A259" t="str">
            <v>C-414</v>
          </cell>
          <cell r="B259"/>
          <cell r="C259" t="str">
            <v>TLAJOMULCO</v>
          </cell>
          <cell r="D259" t="str">
            <v>INCREMENTO DE CAPACIDAD NAVE 3</v>
          </cell>
          <cell r="E259"/>
          <cell r="F259"/>
          <cell r="G259"/>
          <cell r="H259"/>
          <cell r="I259"/>
        </row>
        <row r="260">
          <cell r="A260" t="str">
            <v>C-415</v>
          </cell>
          <cell r="B260"/>
          <cell r="C260" t="str">
            <v>TLAJOMULCO</v>
          </cell>
          <cell r="D260" t="str">
            <v>MEJORA DE MEZANINNE LÍNEA 9 Y LÍNEA 10</v>
          </cell>
          <cell r="E260"/>
          <cell r="F260"/>
          <cell r="G260"/>
          <cell r="H260"/>
          <cell r="I260"/>
        </row>
        <row r="261">
          <cell r="A261" t="str">
            <v>C-416</v>
          </cell>
          <cell r="B261"/>
          <cell r="C261" t="str">
            <v>ZONA INDUSTRIAL</v>
          </cell>
          <cell r="D261" t="str">
            <v>PASILLO DE SUPERVISIÓN PENICILÍNICOS</v>
          </cell>
          <cell r="E261"/>
          <cell r="F261"/>
          <cell r="G261"/>
          <cell r="H261"/>
          <cell r="I261"/>
        </row>
        <row r="262">
          <cell r="A262" t="str">
            <v>C-417</v>
          </cell>
          <cell r="B262"/>
          <cell r="C262" t="str">
            <v>AV VALLARTA ESQUINA ATENAS 1246 CP 44160 ( ANTES FUNERARIA )</v>
          </cell>
          <cell r="D262" t="str">
            <v>GALERÍA DE ARTE</v>
          </cell>
          <cell r="E262"/>
          <cell r="F262"/>
          <cell r="G262"/>
          <cell r="H262"/>
          <cell r="I262"/>
        </row>
        <row r="263">
          <cell r="A263" t="str">
            <v>C-418</v>
          </cell>
          <cell r="B263"/>
          <cell r="C263" t="str">
            <v>ZONA INDUSTRIAL</v>
          </cell>
          <cell r="D263" t="str">
            <v>LAVADORA VA4</v>
          </cell>
          <cell r="E263"/>
          <cell r="F263"/>
          <cell r="G263"/>
          <cell r="H263"/>
          <cell r="I263"/>
        </row>
        <row r="264">
          <cell r="A264" t="str">
            <v>C-422</v>
          </cell>
          <cell r="B264"/>
          <cell r="C264" t="str">
            <v>TLAJOMULCO</v>
          </cell>
          <cell r="D264" t="str">
            <v>OI LÍNEA DE PRODUCCIÓN GOMITA EDIFICIO G</v>
          </cell>
          <cell r="E264"/>
          <cell r="F264"/>
          <cell r="G264"/>
          <cell r="H264"/>
          <cell r="I264"/>
        </row>
        <row r="265">
          <cell r="A265" t="str">
            <v>C-423</v>
          </cell>
          <cell r="B265"/>
          <cell r="C265" t="str">
            <v>TAPALPA PRADERAS DEL NOGAL</v>
          </cell>
          <cell r="D265" t="str">
            <v>CABAÑA NICOLÁS PLASENCIA</v>
          </cell>
          <cell r="E265"/>
          <cell r="F265"/>
          <cell r="G265"/>
          <cell r="H265"/>
          <cell r="I265"/>
        </row>
        <row r="266">
          <cell r="A266" t="str">
            <v>C-424</v>
          </cell>
          <cell r="B266"/>
          <cell r="C266" t="str">
            <v>TLAJOMULCO</v>
          </cell>
          <cell r="D266" t="str">
            <v>URBANIZACIÓN MASTER</v>
          </cell>
          <cell r="E266"/>
          <cell r="F266"/>
          <cell r="G266"/>
          <cell r="H266"/>
          <cell r="I266"/>
        </row>
        <row r="267">
          <cell r="A267" t="str">
            <v>C-425</v>
          </cell>
          <cell r="B267"/>
          <cell r="C267" t="str">
            <v>TLAJOMULCO</v>
          </cell>
          <cell r="D267" t="str">
            <v>MANTENIMIENTO PARA EDIFICIO J</v>
          </cell>
          <cell r="E267"/>
          <cell r="F267"/>
          <cell r="G267"/>
          <cell r="H267"/>
          <cell r="I267"/>
        </row>
        <row r="268">
          <cell r="A268" t="str">
            <v>C-426</v>
          </cell>
          <cell r="B268"/>
          <cell r="C268" t="str">
            <v>ZONA INDUSTRIAL</v>
          </cell>
          <cell r="D268" t="str">
            <v>OFICINAS 2DO NIVEL CALLE 6</v>
          </cell>
          <cell r="E268"/>
          <cell r="F268"/>
          <cell r="G268"/>
          <cell r="H268"/>
          <cell r="I268"/>
        </row>
        <row r="269">
          <cell r="A269" t="str">
            <v>C-427</v>
          </cell>
          <cell r="B269"/>
          <cell r="C269" t="str">
            <v>CARRETERA EL SALTO 273 COL, LA ALAMEDA</v>
          </cell>
          <cell r="D269" t="str">
            <v>NAVE G FLEX PARK</v>
          </cell>
          <cell r="E269"/>
          <cell r="F269"/>
          <cell r="G269"/>
          <cell r="H269"/>
          <cell r="I269"/>
        </row>
        <row r="270">
          <cell r="A270" t="str">
            <v>C-428</v>
          </cell>
          <cell r="B270"/>
          <cell r="C270" t="str">
            <v>TLAJOMULCO</v>
          </cell>
          <cell r="D270" t="str">
            <v>BODEGA GCPI ARQUITECTO B</v>
          </cell>
          <cell r="E270"/>
          <cell r="F270"/>
          <cell r="G270"/>
          <cell r="H270"/>
          <cell r="I270"/>
        </row>
        <row r="271">
          <cell r="A271" t="str">
            <v>C-429</v>
          </cell>
          <cell r="B271"/>
          <cell r="C271" t="str">
            <v>TLAJOMULCO</v>
          </cell>
          <cell r="D271" t="str">
            <v>CDN 4</v>
          </cell>
          <cell r="E271"/>
          <cell r="F271"/>
          <cell r="G271"/>
          <cell r="H271"/>
          <cell r="I271"/>
        </row>
        <row r="272">
          <cell r="A272" t="str">
            <v>C-430</v>
          </cell>
          <cell r="B272"/>
          <cell r="C272" t="str">
            <v>ZONA INDUSTRIAL</v>
          </cell>
          <cell r="D272" t="str">
            <v>MANIOBRAS DE EQUIPOS CÉFALOS-BIOTEC</v>
          </cell>
          <cell r="E272"/>
          <cell r="F272"/>
          <cell r="G272"/>
          <cell r="H272"/>
          <cell r="I272"/>
        </row>
        <row r="273">
          <cell r="A273" t="str">
            <v>C-431</v>
          </cell>
          <cell r="B273"/>
          <cell r="C273" t="str">
            <v>TLAJOMULCO</v>
          </cell>
          <cell r="D273" t="str">
            <v>CIVIL PROYECTO NITROSAMINA</v>
          </cell>
          <cell r="E273"/>
          <cell r="F273"/>
          <cell r="G273"/>
          <cell r="H273"/>
          <cell r="I273"/>
        </row>
        <row r="274">
          <cell r="A274" t="str">
            <v>C-432</v>
          </cell>
          <cell r="B274"/>
          <cell r="C274" t="str">
            <v>TLAJOMULCO</v>
          </cell>
          <cell r="D274" t="str">
            <v>TRABAJOS DE REMEDIACIÓN PTAR 42 LPS</v>
          </cell>
          <cell r="E274"/>
          <cell r="F274"/>
          <cell r="G274"/>
          <cell r="H274"/>
          <cell r="I274"/>
        </row>
        <row r="275">
          <cell r="A275" t="str">
            <v>C-433</v>
          </cell>
          <cell r="B275"/>
          <cell r="C275" t="str">
            <v>TLAJOMULCO</v>
          </cell>
          <cell r="D275" t="str">
            <v>REUBICACIÓN TRASLIMA</v>
          </cell>
          <cell r="E275"/>
          <cell r="F275"/>
          <cell r="G275"/>
          <cell r="H275"/>
          <cell r="I275"/>
        </row>
        <row r="276">
          <cell r="A276" t="str">
            <v>C-434</v>
          </cell>
          <cell r="B276"/>
          <cell r="C276" t="str">
            <v>TLAJOMULCO</v>
          </cell>
          <cell r="D276" t="str">
            <v>CONSULTORIO ÁREA MÉDICA</v>
          </cell>
          <cell r="E276"/>
          <cell r="F276"/>
          <cell r="G276"/>
          <cell r="H276"/>
          <cell r="I276"/>
        </row>
        <row r="277">
          <cell r="A277" t="str">
            <v>O-001</v>
          </cell>
          <cell r="B277" t="str">
            <v>GP</v>
          </cell>
          <cell r="C277" t="str">
            <v>HIDALGO 1892 ENTRE PEREZ VERDIA Y FCO ROJAS</v>
          </cell>
          <cell r="D277" t="str">
            <v>MANTENIMIENTOS GENERALES</v>
          </cell>
          <cell r="E277"/>
          <cell r="F277" t="str">
            <v>N/A</v>
          </cell>
          <cell r="G277"/>
          <cell r="H277"/>
          <cell r="I277"/>
        </row>
        <row r="278">
          <cell r="A278" t="str">
            <v>O-002</v>
          </cell>
          <cell r="B278" t="str">
            <v>GP</v>
          </cell>
          <cell r="C278" t="str">
            <v>S/D</v>
          </cell>
          <cell r="D278" t="str">
            <v>CASA MAR AMARILLO No 1525</v>
          </cell>
          <cell r="E278"/>
          <cell r="F278" t="str">
            <v>JP</v>
          </cell>
          <cell r="G278"/>
          <cell r="H278" t="str">
            <v>ARQ</v>
          </cell>
          <cell r="I278"/>
        </row>
        <row r="279">
          <cell r="A279" t="str">
            <v>O-011</v>
          </cell>
          <cell r="B279" t="str">
            <v>GP</v>
          </cell>
          <cell r="C279" t="str">
            <v>S/D</v>
          </cell>
          <cell r="D279" t="str">
            <v>GASTOS ING. JUAN PABLO CHAVEZ</v>
          </cell>
          <cell r="E279"/>
          <cell r="F279"/>
          <cell r="G279"/>
          <cell r="H279"/>
          <cell r="I279"/>
        </row>
        <row r="280">
          <cell r="A280" t="str">
            <v>O-012</v>
          </cell>
          <cell r="B280" t="str">
            <v>GP</v>
          </cell>
          <cell r="C280" t="str">
            <v>S/D</v>
          </cell>
          <cell r="D280" t="str">
            <v>VILLA C</v>
          </cell>
          <cell r="E280"/>
          <cell r="F280" t="str">
            <v>N/A</v>
          </cell>
          <cell r="G280"/>
          <cell r="H280"/>
          <cell r="I280"/>
        </row>
        <row r="283">
          <cell r="C283"/>
        </row>
        <row r="284">
          <cell r="C284"/>
        </row>
        <row r="316">
          <cell r="D316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/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RODRIGUEZ GARZA JESUS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/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1CC3-AB7F-485A-B97C-BDC85175D161}">
  <sheetPr codeName="Hoja402">
    <pageSetUpPr fitToPage="1"/>
  </sheetPr>
  <dimension ref="A1:HR63"/>
  <sheetViews>
    <sheetView tabSelected="1" topLeftCell="A28" zoomScaleNormal="100" workbookViewId="0">
      <selection activeCell="P7" sqref="P7:Q7"/>
    </sheetView>
  </sheetViews>
  <sheetFormatPr baseColWidth="10" defaultColWidth="9.1796875" defaultRowHeight="12.5" x14ac:dyDescent="0.25"/>
  <cols>
    <col min="1" max="1" width="7.453125" customWidth="1"/>
    <col min="2" max="2" width="2.7265625" bestFit="1" customWidth="1"/>
    <col min="3" max="3" width="0.453125" customWidth="1"/>
    <col min="4" max="4" width="2.453125" customWidth="1"/>
    <col min="5" max="5" width="17.26953125" customWidth="1"/>
    <col min="6" max="6" width="17.54296875" customWidth="1"/>
    <col min="7" max="7" width="9.7265625" customWidth="1"/>
    <col min="8" max="8" width="4.1796875" bestFit="1" customWidth="1"/>
    <col min="9" max="9" width="5.453125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1" bestFit="1" customWidth="1"/>
    <col min="19" max="19" width="7.81640625" style="106" bestFit="1" customWidth="1"/>
    <col min="20" max="22" width="9.1796875" customWidth="1"/>
    <col min="23" max="23" width="2.7265625" bestFit="1" customWidth="1"/>
    <col min="24" max="24" width="2.54296875" bestFit="1" customWidth="1"/>
    <col min="25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35" width="1.6328125" bestFit="1" customWidth="1"/>
    <col min="136" max="225" width="2.453125" bestFit="1" customWidth="1"/>
    <col min="226" max="226" width="3.26953125" bestFit="1" customWidth="1"/>
  </cols>
  <sheetData>
    <row r="1" spans="1:226" ht="18" x14ac:dyDescent="0.4">
      <c r="A1" s="1"/>
      <c r="B1" s="2"/>
      <c r="C1" s="3"/>
      <c r="D1" s="4"/>
      <c r="E1" s="147" t="s">
        <v>0</v>
      </c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9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4">
      <c r="A2" s="150"/>
      <c r="B2" s="151"/>
      <c r="C2" s="152"/>
      <c r="D2" s="4"/>
      <c r="E2" s="153" t="s">
        <v>22</v>
      </c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5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x14ac:dyDescent="0.35">
      <c r="A3" s="7"/>
      <c r="B3" s="4"/>
      <c r="C3" s="8"/>
      <c r="D3" s="4"/>
      <c r="E3" s="153" t="s">
        <v>23</v>
      </c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5"/>
      <c r="R3" s="126" t="str">
        <f>LEFT(D6,1)</f>
        <v>A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7" t="str">
        <f>RIGHT(D6,3)</f>
        <v>003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thickBot="1" x14ac:dyDescent="0.3">
      <c r="A6" s="156" t="s">
        <v>2</v>
      </c>
      <c r="B6" s="157"/>
      <c r="C6" s="158"/>
      <c r="D6" s="165" t="s">
        <v>20</v>
      </c>
      <c r="E6" s="165"/>
      <c r="F6" s="140"/>
      <c r="G6" s="141"/>
      <c r="H6" s="141"/>
      <c r="I6" s="141"/>
      <c r="J6" s="141"/>
      <c r="K6" s="141"/>
      <c r="L6" s="141"/>
      <c r="M6" s="141"/>
      <c r="N6" s="141"/>
      <c r="O6" s="141"/>
      <c r="P6" s="166" t="s">
        <v>27</v>
      </c>
      <c r="Q6" s="167"/>
      <c r="R6" s="142"/>
      <c r="S6" s="72" t="str">
        <f>RIGHT(P6,3)</f>
        <v>015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5" x14ac:dyDescent="0.5">
      <c r="A7" s="159"/>
      <c r="B7" s="160"/>
      <c r="C7" s="161"/>
      <c r="D7" s="168" t="str">
        <f>VLOOKUP($D$6,[1]OB!$A$2:$I$2047,4,FALSE)</f>
        <v>CENTRO NACIONAL DE DISTRIBUCION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9" t="s">
        <v>25</v>
      </c>
      <c r="Q7" s="170"/>
      <c r="R7" s="143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thickBot="1" x14ac:dyDescent="0.4">
      <c r="A8" s="162"/>
      <c r="B8" s="163"/>
      <c r="C8" s="164"/>
      <c r="D8" s="171" t="s">
        <v>21</v>
      </c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44"/>
      <c r="Q8" s="145"/>
      <c r="R8" s="146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15" customHeight="1" x14ac:dyDescent="0.25">
      <c r="A10" s="15" t="s">
        <v>3</v>
      </c>
      <c r="B10" s="128">
        <f>VLOOKUP(E10,[2]FECHAS!$AB$2:$AE$53,4,0)</f>
        <v>15</v>
      </c>
      <c r="C10" s="128"/>
      <c r="D10" s="128"/>
      <c r="E10" s="16">
        <v>45026</v>
      </c>
      <c r="F10" s="17">
        <f>+E10+6</f>
        <v>45032</v>
      </c>
      <c r="G10" s="18"/>
      <c r="H10" s="19"/>
      <c r="I10" s="19"/>
      <c r="J10" s="129"/>
      <c r="K10" s="19"/>
      <c r="L10" s="19"/>
      <c r="M10" s="19"/>
      <c r="N10" s="19"/>
      <c r="O10" s="19"/>
      <c r="P10" s="19"/>
      <c r="Q10" s="20"/>
      <c r="R10" s="5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30" t="s">
        <v>24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21" t="s">
        <v>1</v>
      </c>
      <c r="B12" s="22"/>
      <c r="C12" s="23" t="s">
        <v>4</v>
      </c>
      <c r="D12" s="23"/>
      <c r="E12" s="24"/>
      <c r="F12" s="24"/>
      <c r="G12" s="22" t="s">
        <v>5</v>
      </c>
      <c r="H12" s="22" t="s">
        <v>6</v>
      </c>
      <c r="I12" s="23" t="s">
        <v>7</v>
      </c>
      <c r="J12" s="22" t="s">
        <v>8</v>
      </c>
      <c r="K12" s="22" t="s">
        <v>9</v>
      </c>
      <c r="L12" s="22" t="s">
        <v>10</v>
      </c>
      <c r="M12" s="22" t="s">
        <v>11</v>
      </c>
      <c r="N12" s="22" t="s">
        <v>12</v>
      </c>
      <c r="O12" s="22" t="s">
        <v>13</v>
      </c>
      <c r="P12" s="22"/>
      <c r="Q12" s="22" t="s">
        <v>14</v>
      </c>
      <c r="R12" s="25" t="s">
        <v>15</v>
      </c>
      <c r="S12" s="26" t="s">
        <v>6</v>
      </c>
      <c r="T12" s="27"/>
      <c r="U12" s="27"/>
      <c r="V12" s="27"/>
      <c r="W12" s="27"/>
      <c r="X12" s="27"/>
      <c r="Y12" s="58">
        <v>1</v>
      </c>
      <c r="Z12" s="59">
        <v>2</v>
      </c>
      <c r="AA12" s="59">
        <v>3</v>
      </c>
      <c r="AB12" s="59">
        <v>4</v>
      </c>
      <c r="AC12" s="59">
        <v>5</v>
      </c>
      <c r="AD12" s="59">
        <v>6</v>
      </c>
      <c r="AE12" s="59">
        <v>7</v>
      </c>
      <c r="AF12" s="59">
        <v>8</v>
      </c>
      <c r="AG12" s="59">
        <v>9</v>
      </c>
      <c r="AH12" s="59">
        <v>10</v>
      </c>
      <c r="AI12" s="59">
        <v>11</v>
      </c>
      <c r="AJ12" s="59">
        <v>12</v>
      </c>
      <c r="AK12" s="59">
        <v>13</v>
      </c>
      <c r="AL12" s="59">
        <v>14</v>
      </c>
      <c r="AM12" s="59">
        <v>15</v>
      </c>
      <c r="AN12" s="59">
        <v>16</v>
      </c>
      <c r="AO12" s="59">
        <v>17</v>
      </c>
      <c r="AP12" s="59">
        <v>18</v>
      </c>
      <c r="AQ12" s="59">
        <v>19</v>
      </c>
      <c r="AR12" s="59">
        <v>20</v>
      </c>
      <c r="AS12" s="59">
        <v>21</v>
      </c>
      <c r="AT12" s="59">
        <v>22</v>
      </c>
      <c r="AU12" s="59">
        <v>23</v>
      </c>
      <c r="AV12" s="59">
        <v>24</v>
      </c>
      <c r="AW12" s="59">
        <v>25</v>
      </c>
      <c r="AX12" s="59">
        <v>26</v>
      </c>
      <c r="AY12" s="59">
        <v>27</v>
      </c>
      <c r="AZ12" s="59">
        <v>28</v>
      </c>
      <c r="BA12" s="59">
        <v>29</v>
      </c>
      <c r="BB12" s="59">
        <v>30</v>
      </c>
      <c r="BC12" s="59">
        <v>31</v>
      </c>
      <c r="BD12" s="59">
        <v>32</v>
      </c>
      <c r="BE12" s="59">
        <v>33</v>
      </c>
      <c r="BF12" s="59">
        <v>34</v>
      </c>
      <c r="BG12" s="59">
        <v>35</v>
      </c>
      <c r="BH12" s="59">
        <v>36</v>
      </c>
      <c r="BI12" s="59">
        <v>37</v>
      </c>
      <c r="BJ12" s="59">
        <v>38</v>
      </c>
      <c r="BK12" s="59">
        <v>39</v>
      </c>
      <c r="BL12" s="59">
        <v>40</v>
      </c>
      <c r="BM12" s="59">
        <v>41</v>
      </c>
      <c r="BN12" s="59">
        <v>42</v>
      </c>
      <c r="BO12" s="59">
        <v>43</v>
      </c>
      <c r="BP12" s="59">
        <v>44</v>
      </c>
      <c r="BQ12" s="59">
        <v>45</v>
      </c>
      <c r="BR12" s="59">
        <v>46</v>
      </c>
      <c r="BS12" s="59">
        <v>47</v>
      </c>
      <c r="BT12" s="59">
        <v>48</v>
      </c>
      <c r="BU12" s="59">
        <v>49</v>
      </c>
      <c r="BV12" s="59">
        <v>50</v>
      </c>
      <c r="BW12" s="59">
        <v>51</v>
      </c>
      <c r="BX12" s="59">
        <v>52</v>
      </c>
      <c r="BY12" s="59">
        <v>53</v>
      </c>
      <c r="BZ12" s="59">
        <v>54</v>
      </c>
      <c r="CA12" s="59">
        <v>55</v>
      </c>
      <c r="CB12" s="59">
        <v>56</v>
      </c>
      <c r="CC12" s="59">
        <v>57</v>
      </c>
      <c r="CD12" s="59">
        <v>58</v>
      </c>
      <c r="CE12" s="59">
        <v>59</v>
      </c>
      <c r="CF12" s="59">
        <v>60</v>
      </c>
      <c r="CG12" s="59">
        <v>61</v>
      </c>
      <c r="CH12" s="59">
        <v>62</v>
      </c>
      <c r="CI12" s="59">
        <v>63</v>
      </c>
      <c r="CJ12" s="59">
        <v>64</v>
      </c>
      <c r="CK12" s="59">
        <v>65</v>
      </c>
      <c r="CL12" s="59">
        <v>66</v>
      </c>
      <c r="CM12" s="59">
        <v>67</v>
      </c>
      <c r="CN12" s="59">
        <v>68</v>
      </c>
      <c r="CO12" s="59">
        <v>69</v>
      </c>
      <c r="CP12" s="59">
        <v>70</v>
      </c>
      <c r="CQ12" s="59">
        <v>71</v>
      </c>
      <c r="CR12" s="59">
        <v>72</v>
      </c>
      <c r="CS12" s="59">
        <v>73</v>
      </c>
      <c r="CT12" s="59">
        <v>74</v>
      </c>
      <c r="CU12" s="59">
        <v>75</v>
      </c>
      <c r="CV12" s="59">
        <v>76</v>
      </c>
      <c r="CW12" s="59">
        <v>77</v>
      </c>
      <c r="CX12" s="59">
        <v>78</v>
      </c>
      <c r="CY12" s="59">
        <v>79</v>
      </c>
      <c r="CZ12" s="59">
        <v>80</v>
      </c>
      <c r="DA12" s="59">
        <v>81</v>
      </c>
      <c r="DB12" s="59">
        <v>82</v>
      </c>
      <c r="DC12" s="59">
        <v>83</v>
      </c>
      <c r="DD12" s="59">
        <v>84</v>
      </c>
      <c r="DE12" s="59">
        <v>85</v>
      </c>
      <c r="DF12" s="59">
        <v>86</v>
      </c>
      <c r="DG12" s="59">
        <v>87</v>
      </c>
      <c r="DH12" s="59">
        <v>88</v>
      </c>
      <c r="DI12" s="59">
        <v>89</v>
      </c>
      <c r="DJ12" s="59">
        <v>90</v>
      </c>
      <c r="DK12" s="59">
        <v>91</v>
      </c>
      <c r="DL12" s="59">
        <v>92</v>
      </c>
      <c r="DM12" s="59">
        <v>93</v>
      </c>
      <c r="DN12" s="59">
        <v>94</v>
      </c>
      <c r="DO12" s="59">
        <v>95</v>
      </c>
      <c r="DP12" s="59">
        <v>96</v>
      </c>
      <c r="DQ12" s="59">
        <v>97</v>
      </c>
      <c r="DR12" s="59">
        <v>98</v>
      </c>
      <c r="DS12" s="59">
        <v>99</v>
      </c>
      <c r="DT12" s="119">
        <v>100</v>
      </c>
      <c r="DU12" s="27"/>
      <c r="DV12" s="27"/>
      <c r="DW12" s="58">
        <v>1</v>
      </c>
      <c r="DX12" s="59">
        <v>2</v>
      </c>
      <c r="DY12" s="59">
        <v>3</v>
      </c>
      <c r="DZ12" s="59">
        <v>4</v>
      </c>
      <c r="EA12" s="59">
        <v>5</v>
      </c>
      <c r="EB12" s="59">
        <v>6</v>
      </c>
      <c r="EC12" s="59">
        <v>7</v>
      </c>
      <c r="ED12" s="59">
        <v>8</v>
      </c>
      <c r="EE12" s="59">
        <v>9</v>
      </c>
      <c r="EF12" s="59">
        <v>10</v>
      </c>
      <c r="EG12" s="59">
        <v>11</v>
      </c>
      <c r="EH12" s="59">
        <v>12</v>
      </c>
      <c r="EI12" s="59">
        <v>13</v>
      </c>
      <c r="EJ12" s="59">
        <v>14</v>
      </c>
      <c r="EK12" s="59">
        <v>15</v>
      </c>
      <c r="EL12" s="59">
        <v>16</v>
      </c>
      <c r="EM12" s="59">
        <v>17</v>
      </c>
      <c r="EN12" s="59">
        <v>18</v>
      </c>
      <c r="EO12" s="59">
        <v>19</v>
      </c>
      <c r="EP12" s="59">
        <v>20</v>
      </c>
      <c r="EQ12" s="59">
        <v>21</v>
      </c>
      <c r="ER12" s="59">
        <v>22</v>
      </c>
      <c r="ES12" s="59">
        <v>23</v>
      </c>
      <c r="ET12" s="59">
        <v>24</v>
      </c>
      <c r="EU12" s="59">
        <v>25</v>
      </c>
      <c r="EV12" s="59">
        <v>26</v>
      </c>
      <c r="EW12" s="59">
        <v>27</v>
      </c>
      <c r="EX12" s="59">
        <v>28</v>
      </c>
      <c r="EY12" s="59">
        <v>29</v>
      </c>
      <c r="EZ12" s="59">
        <v>30</v>
      </c>
      <c r="FA12" s="59">
        <v>31</v>
      </c>
      <c r="FB12" s="59">
        <v>32</v>
      </c>
      <c r="FC12" s="59">
        <v>33</v>
      </c>
      <c r="FD12" s="59">
        <v>34</v>
      </c>
      <c r="FE12" s="59">
        <v>35</v>
      </c>
      <c r="FF12" s="59">
        <v>36</v>
      </c>
      <c r="FG12" s="59">
        <v>37</v>
      </c>
      <c r="FH12" s="59">
        <v>38</v>
      </c>
      <c r="FI12" s="59">
        <v>39</v>
      </c>
      <c r="FJ12" s="59">
        <v>40</v>
      </c>
      <c r="FK12" s="59">
        <v>41</v>
      </c>
      <c r="FL12" s="59">
        <v>42</v>
      </c>
      <c r="FM12" s="59">
        <v>43</v>
      </c>
      <c r="FN12" s="59">
        <v>44</v>
      </c>
      <c r="FO12" s="59">
        <v>45</v>
      </c>
      <c r="FP12" s="59">
        <v>46</v>
      </c>
      <c r="FQ12" s="59">
        <v>47</v>
      </c>
      <c r="FR12" s="59">
        <v>48</v>
      </c>
      <c r="FS12" s="59">
        <v>49</v>
      </c>
      <c r="FT12" s="59">
        <v>50</v>
      </c>
      <c r="FU12" s="59">
        <v>51</v>
      </c>
      <c r="FV12" s="59">
        <v>52</v>
      </c>
      <c r="FW12" s="59">
        <v>53</v>
      </c>
      <c r="FX12" s="59">
        <v>54</v>
      </c>
      <c r="FY12" s="59">
        <v>55</v>
      </c>
      <c r="FZ12" s="59">
        <v>56</v>
      </c>
      <c r="GA12" s="59">
        <v>57</v>
      </c>
      <c r="GB12" s="59">
        <v>58</v>
      </c>
      <c r="GC12" s="59">
        <v>59</v>
      </c>
      <c r="GD12" s="59">
        <v>60</v>
      </c>
      <c r="GE12" s="59">
        <v>61</v>
      </c>
      <c r="GF12" s="59">
        <v>62</v>
      </c>
      <c r="GG12" s="59">
        <v>63</v>
      </c>
      <c r="GH12" s="59">
        <v>64</v>
      </c>
      <c r="GI12" s="59">
        <v>65</v>
      </c>
      <c r="GJ12" s="59">
        <v>66</v>
      </c>
      <c r="GK12" s="59">
        <v>67</v>
      </c>
      <c r="GL12" s="59">
        <v>68</v>
      </c>
      <c r="GM12" s="59">
        <v>69</v>
      </c>
      <c r="GN12" s="59">
        <v>70</v>
      </c>
      <c r="GO12" s="59">
        <v>71</v>
      </c>
      <c r="GP12" s="59">
        <v>72</v>
      </c>
      <c r="GQ12" s="59">
        <v>73</v>
      </c>
      <c r="GR12" s="59">
        <v>74</v>
      </c>
      <c r="GS12" s="59">
        <v>75</v>
      </c>
      <c r="GT12" s="59">
        <v>76</v>
      </c>
      <c r="GU12" s="59">
        <v>77</v>
      </c>
      <c r="GV12" s="59">
        <v>78</v>
      </c>
      <c r="GW12" s="59">
        <v>79</v>
      </c>
      <c r="GX12" s="59">
        <v>80</v>
      </c>
      <c r="GY12" s="59">
        <v>81</v>
      </c>
      <c r="GZ12" s="59">
        <v>82</v>
      </c>
      <c r="HA12" s="59">
        <v>83</v>
      </c>
      <c r="HB12" s="59">
        <v>84</v>
      </c>
      <c r="HC12" s="59">
        <v>85</v>
      </c>
      <c r="HD12" s="59">
        <v>86</v>
      </c>
      <c r="HE12" s="59">
        <v>87</v>
      </c>
      <c r="HF12" s="59">
        <v>88</v>
      </c>
      <c r="HG12" s="59">
        <v>89</v>
      </c>
      <c r="HH12" s="59">
        <v>90</v>
      </c>
      <c r="HI12" s="59">
        <v>91</v>
      </c>
      <c r="HJ12" s="59">
        <v>92</v>
      </c>
      <c r="HK12" s="59">
        <v>93</v>
      </c>
      <c r="HL12" s="59">
        <v>94</v>
      </c>
      <c r="HM12" s="59">
        <v>95</v>
      </c>
      <c r="HN12" s="59">
        <v>96</v>
      </c>
      <c r="HO12" s="59">
        <v>97</v>
      </c>
      <c r="HP12" s="59">
        <v>98</v>
      </c>
      <c r="HQ12" s="59">
        <v>99</v>
      </c>
      <c r="HR12" s="119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38"/>
      <c r="P13" s="4"/>
      <c r="Q13" s="4"/>
      <c r="R13" s="4"/>
      <c r="S13" s="105"/>
      <c r="T13" s="27"/>
      <c r="U13" s="27"/>
      <c r="V13" s="27"/>
      <c r="W13" s="27"/>
      <c r="X13" s="65" t="s">
        <v>16</v>
      </c>
      <c r="Y13" s="63">
        <f t="shared" ref="Y13:CJ13" si="0">SUM(Y14:Y54)</f>
        <v>0</v>
      </c>
      <c r="Z13" s="64">
        <f t="shared" si="0"/>
        <v>0</v>
      </c>
      <c r="AA13" s="64">
        <f t="shared" si="0"/>
        <v>0</v>
      </c>
      <c r="AB13" s="64">
        <f t="shared" si="0"/>
        <v>0</v>
      </c>
      <c r="AC13" s="64">
        <f t="shared" si="0"/>
        <v>0</v>
      </c>
      <c r="AD13" s="64">
        <f t="shared" si="0"/>
        <v>0</v>
      </c>
      <c r="AE13" s="64">
        <f t="shared" si="0"/>
        <v>0</v>
      </c>
      <c r="AF13" s="64">
        <f t="shared" si="0"/>
        <v>0</v>
      </c>
      <c r="AG13" s="64">
        <f t="shared" si="0"/>
        <v>0</v>
      </c>
      <c r="AH13" s="64">
        <f t="shared" si="0"/>
        <v>0</v>
      </c>
      <c r="AI13" s="64">
        <f t="shared" si="0"/>
        <v>0</v>
      </c>
      <c r="AJ13" s="64">
        <f t="shared" si="0"/>
        <v>0</v>
      </c>
      <c r="AK13" s="64">
        <f t="shared" si="0"/>
        <v>0</v>
      </c>
      <c r="AL13" s="64">
        <f t="shared" si="0"/>
        <v>0</v>
      </c>
      <c r="AM13" s="64">
        <f t="shared" si="0"/>
        <v>0</v>
      </c>
      <c r="AN13" s="64">
        <f t="shared" si="0"/>
        <v>0</v>
      </c>
      <c r="AO13" s="64">
        <f t="shared" si="0"/>
        <v>0</v>
      </c>
      <c r="AP13" s="64">
        <f t="shared" si="0"/>
        <v>0</v>
      </c>
      <c r="AQ13" s="64">
        <f t="shared" si="0"/>
        <v>0</v>
      </c>
      <c r="AR13" s="64">
        <f t="shared" si="0"/>
        <v>0</v>
      </c>
      <c r="AS13" s="64">
        <f t="shared" si="0"/>
        <v>0</v>
      </c>
      <c r="AT13" s="64">
        <f t="shared" si="0"/>
        <v>0</v>
      </c>
      <c r="AU13" s="64">
        <f t="shared" si="0"/>
        <v>0</v>
      </c>
      <c r="AV13" s="64">
        <f t="shared" si="0"/>
        <v>0</v>
      </c>
      <c r="AW13" s="64">
        <f t="shared" si="0"/>
        <v>0</v>
      </c>
      <c r="AX13" s="64">
        <f t="shared" si="0"/>
        <v>0</v>
      </c>
      <c r="AY13" s="64">
        <f t="shared" si="0"/>
        <v>0</v>
      </c>
      <c r="AZ13" s="64">
        <f t="shared" si="0"/>
        <v>0</v>
      </c>
      <c r="BA13" s="64">
        <f t="shared" si="0"/>
        <v>0</v>
      </c>
      <c r="BB13" s="64">
        <f t="shared" si="0"/>
        <v>0</v>
      </c>
      <c r="BC13" s="64">
        <f t="shared" si="0"/>
        <v>0</v>
      </c>
      <c r="BD13" s="64">
        <f t="shared" si="0"/>
        <v>0</v>
      </c>
      <c r="BE13" s="64">
        <f t="shared" si="0"/>
        <v>0</v>
      </c>
      <c r="BF13" s="64">
        <f t="shared" si="0"/>
        <v>0</v>
      </c>
      <c r="BG13" s="64">
        <f t="shared" si="0"/>
        <v>0</v>
      </c>
      <c r="BH13" s="64">
        <f t="shared" si="0"/>
        <v>0</v>
      </c>
      <c r="BI13" s="64">
        <f t="shared" si="0"/>
        <v>0</v>
      </c>
      <c r="BJ13" s="64">
        <f t="shared" si="0"/>
        <v>0</v>
      </c>
      <c r="BK13" s="64">
        <f t="shared" si="0"/>
        <v>0</v>
      </c>
      <c r="BL13" s="64">
        <f t="shared" si="0"/>
        <v>0</v>
      </c>
      <c r="BM13" s="64">
        <f t="shared" si="0"/>
        <v>0</v>
      </c>
      <c r="BN13" s="64">
        <f t="shared" si="0"/>
        <v>0</v>
      </c>
      <c r="BO13" s="64">
        <f t="shared" si="0"/>
        <v>0</v>
      </c>
      <c r="BP13" s="64">
        <f t="shared" si="0"/>
        <v>0</v>
      </c>
      <c r="BQ13" s="64">
        <f t="shared" si="0"/>
        <v>0</v>
      </c>
      <c r="BR13" s="64">
        <f t="shared" si="0"/>
        <v>0</v>
      </c>
      <c r="BS13" s="64">
        <f t="shared" si="0"/>
        <v>0</v>
      </c>
      <c r="BT13" s="64">
        <f t="shared" si="0"/>
        <v>0</v>
      </c>
      <c r="BU13" s="64">
        <f t="shared" si="0"/>
        <v>0</v>
      </c>
      <c r="BV13" s="64">
        <f t="shared" si="0"/>
        <v>0</v>
      </c>
      <c r="BW13" s="64">
        <f t="shared" si="0"/>
        <v>0</v>
      </c>
      <c r="BX13" s="64">
        <f t="shared" si="0"/>
        <v>0</v>
      </c>
      <c r="BY13" s="64">
        <f t="shared" si="0"/>
        <v>0</v>
      </c>
      <c r="BZ13" s="64">
        <f t="shared" si="0"/>
        <v>0</v>
      </c>
      <c r="CA13" s="64">
        <f t="shared" si="0"/>
        <v>0</v>
      </c>
      <c r="CB13" s="64">
        <f t="shared" si="0"/>
        <v>0</v>
      </c>
      <c r="CC13" s="64">
        <f t="shared" si="0"/>
        <v>0</v>
      </c>
      <c r="CD13" s="64">
        <f t="shared" si="0"/>
        <v>0</v>
      </c>
      <c r="CE13" s="64">
        <f t="shared" si="0"/>
        <v>0</v>
      </c>
      <c r="CF13" s="64">
        <f t="shared" si="0"/>
        <v>0</v>
      </c>
      <c r="CG13" s="64">
        <f t="shared" si="0"/>
        <v>0</v>
      </c>
      <c r="CH13" s="64">
        <f t="shared" si="0"/>
        <v>0</v>
      </c>
      <c r="CI13" s="64">
        <f t="shared" si="0"/>
        <v>0</v>
      </c>
      <c r="CJ13" s="64">
        <f t="shared" si="0"/>
        <v>0</v>
      </c>
      <c r="CK13" s="64">
        <f t="shared" ref="CK13:DT13" si="1">SUM(CK14:CK54)</f>
        <v>0</v>
      </c>
      <c r="CL13" s="64">
        <f t="shared" si="1"/>
        <v>0</v>
      </c>
      <c r="CM13" s="64">
        <f t="shared" si="1"/>
        <v>0</v>
      </c>
      <c r="CN13" s="64">
        <f t="shared" si="1"/>
        <v>0</v>
      </c>
      <c r="CO13" s="64">
        <f t="shared" si="1"/>
        <v>0</v>
      </c>
      <c r="CP13" s="64">
        <f t="shared" si="1"/>
        <v>0</v>
      </c>
      <c r="CQ13" s="64">
        <f t="shared" si="1"/>
        <v>0</v>
      </c>
      <c r="CR13" s="64">
        <f t="shared" si="1"/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 t="shared" si="1"/>
        <v>0</v>
      </c>
      <c r="CX13" s="64">
        <f t="shared" si="1"/>
        <v>0</v>
      </c>
      <c r="CY13" s="64">
        <f t="shared" si="1"/>
        <v>0</v>
      </c>
      <c r="CZ13" s="64">
        <f t="shared" si="1"/>
        <v>0</v>
      </c>
      <c r="DA13" s="64">
        <f t="shared" si="1"/>
        <v>0</v>
      </c>
      <c r="DB13" s="64">
        <f t="shared" si="1"/>
        <v>0</v>
      </c>
      <c r="DC13" s="64">
        <f t="shared" si="1"/>
        <v>0</v>
      </c>
      <c r="DD13" s="64">
        <f t="shared" si="1"/>
        <v>0</v>
      </c>
      <c r="DE13" s="64">
        <f t="shared" si="1"/>
        <v>0</v>
      </c>
      <c r="DF13" s="64">
        <f t="shared" si="1"/>
        <v>0</v>
      </c>
      <c r="DG13" s="64">
        <f t="shared" si="1"/>
        <v>0</v>
      </c>
      <c r="DH13" s="64">
        <f t="shared" si="1"/>
        <v>0</v>
      </c>
      <c r="DI13" s="64">
        <f t="shared" si="1"/>
        <v>0</v>
      </c>
      <c r="DJ13" s="64">
        <f t="shared" si="1"/>
        <v>0</v>
      </c>
      <c r="DK13" s="64">
        <f t="shared" si="1"/>
        <v>0</v>
      </c>
      <c r="DL13" s="64">
        <f t="shared" si="1"/>
        <v>0</v>
      </c>
      <c r="DM13" s="64">
        <f t="shared" si="1"/>
        <v>0</v>
      </c>
      <c r="DN13" s="64">
        <f t="shared" si="1"/>
        <v>0</v>
      </c>
      <c r="DO13" s="64">
        <f t="shared" si="1"/>
        <v>0</v>
      </c>
      <c r="DP13" s="64">
        <f t="shared" si="1"/>
        <v>0</v>
      </c>
      <c r="DQ13" s="64">
        <f t="shared" si="1"/>
        <v>0</v>
      </c>
      <c r="DR13" s="64">
        <f t="shared" si="1"/>
        <v>0</v>
      </c>
      <c r="DS13" s="64">
        <f t="shared" si="1"/>
        <v>0</v>
      </c>
      <c r="DT13" s="120">
        <f t="shared" si="1"/>
        <v>0</v>
      </c>
      <c r="DU13" s="61"/>
      <c r="DV13" s="65" t="s">
        <v>16</v>
      </c>
      <c r="DW13" s="63">
        <f t="shared" ref="DW13:GH13" si="2">SUM(DW14:DW54)</f>
        <v>0</v>
      </c>
      <c r="DX13" s="64">
        <f t="shared" si="2"/>
        <v>0</v>
      </c>
      <c r="DY13" s="64">
        <f t="shared" si="2"/>
        <v>0</v>
      </c>
      <c r="DZ13" s="64">
        <f t="shared" si="2"/>
        <v>0</v>
      </c>
      <c r="EA13" s="64">
        <f t="shared" si="2"/>
        <v>0</v>
      </c>
      <c r="EB13" s="64">
        <f t="shared" si="2"/>
        <v>0</v>
      </c>
      <c r="EC13" s="64">
        <f t="shared" si="2"/>
        <v>0</v>
      </c>
      <c r="ED13" s="64">
        <f t="shared" si="2"/>
        <v>0</v>
      </c>
      <c r="EE13" s="64">
        <f t="shared" si="2"/>
        <v>0</v>
      </c>
      <c r="EF13" s="64">
        <f t="shared" si="2"/>
        <v>0</v>
      </c>
      <c r="EG13" s="64">
        <f t="shared" si="2"/>
        <v>0</v>
      </c>
      <c r="EH13" s="64">
        <f t="shared" si="2"/>
        <v>0</v>
      </c>
      <c r="EI13" s="64">
        <f t="shared" si="2"/>
        <v>0</v>
      </c>
      <c r="EJ13" s="64">
        <f t="shared" si="2"/>
        <v>0</v>
      </c>
      <c r="EK13" s="64">
        <f t="shared" si="2"/>
        <v>0</v>
      </c>
      <c r="EL13" s="64">
        <f t="shared" si="2"/>
        <v>0</v>
      </c>
      <c r="EM13" s="64">
        <f t="shared" si="2"/>
        <v>0</v>
      </c>
      <c r="EN13" s="64">
        <f t="shared" si="2"/>
        <v>0</v>
      </c>
      <c r="EO13" s="64">
        <f t="shared" si="2"/>
        <v>0</v>
      </c>
      <c r="EP13" s="64">
        <f t="shared" si="2"/>
        <v>0</v>
      </c>
      <c r="EQ13" s="64">
        <f t="shared" si="2"/>
        <v>0</v>
      </c>
      <c r="ER13" s="64">
        <f t="shared" si="2"/>
        <v>0</v>
      </c>
      <c r="ES13" s="64">
        <f t="shared" si="2"/>
        <v>0</v>
      </c>
      <c r="ET13" s="64">
        <f t="shared" si="2"/>
        <v>0</v>
      </c>
      <c r="EU13" s="64">
        <f t="shared" si="2"/>
        <v>0</v>
      </c>
      <c r="EV13" s="64">
        <f t="shared" si="2"/>
        <v>0</v>
      </c>
      <c r="EW13" s="64">
        <f t="shared" si="2"/>
        <v>0</v>
      </c>
      <c r="EX13" s="64">
        <f t="shared" si="2"/>
        <v>0</v>
      </c>
      <c r="EY13" s="64">
        <f t="shared" si="2"/>
        <v>0</v>
      </c>
      <c r="EZ13" s="64">
        <f t="shared" si="2"/>
        <v>0</v>
      </c>
      <c r="FA13" s="64">
        <f t="shared" si="2"/>
        <v>0</v>
      </c>
      <c r="FB13" s="64">
        <f t="shared" si="2"/>
        <v>0</v>
      </c>
      <c r="FC13" s="64">
        <f t="shared" si="2"/>
        <v>0</v>
      </c>
      <c r="FD13" s="64">
        <f t="shared" si="2"/>
        <v>0</v>
      </c>
      <c r="FE13" s="64">
        <f t="shared" si="2"/>
        <v>0</v>
      </c>
      <c r="FF13" s="64">
        <f t="shared" si="2"/>
        <v>0</v>
      </c>
      <c r="FG13" s="64">
        <f t="shared" si="2"/>
        <v>0</v>
      </c>
      <c r="FH13" s="64">
        <f t="shared" si="2"/>
        <v>0</v>
      </c>
      <c r="FI13" s="64">
        <f t="shared" si="2"/>
        <v>0</v>
      </c>
      <c r="FJ13" s="64">
        <f t="shared" si="2"/>
        <v>0</v>
      </c>
      <c r="FK13" s="64">
        <f t="shared" si="2"/>
        <v>0</v>
      </c>
      <c r="FL13" s="64">
        <f t="shared" si="2"/>
        <v>0</v>
      </c>
      <c r="FM13" s="64">
        <f t="shared" si="2"/>
        <v>0</v>
      </c>
      <c r="FN13" s="64">
        <f t="shared" si="2"/>
        <v>0</v>
      </c>
      <c r="FO13" s="64">
        <f t="shared" si="2"/>
        <v>0</v>
      </c>
      <c r="FP13" s="64">
        <f t="shared" si="2"/>
        <v>0</v>
      </c>
      <c r="FQ13" s="64">
        <f t="shared" si="2"/>
        <v>0</v>
      </c>
      <c r="FR13" s="64">
        <f t="shared" si="2"/>
        <v>0</v>
      </c>
      <c r="FS13" s="64">
        <f t="shared" si="2"/>
        <v>0</v>
      </c>
      <c r="FT13" s="64">
        <f t="shared" si="2"/>
        <v>0</v>
      </c>
      <c r="FU13" s="64">
        <f t="shared" si="2"/>
        <v>0</v>
      </c>
      <c r="FV13" s="64">
        <f t="shared" si="2"/>
        <v>0</v>
      </c>
      <c r="FW13" s="64">
        <f t="shared" si="2"/>
        <v>0</v>
      </c>
      <c r="FX13" s="64">
        <f t="shared" si="2"/>
        <v>0</v>
      </c>
      <c r="FY13" s="64">
        <f t="shared" si="2"/>
        <v>0</v>
      </c>
      <c r="FZ13" s="64">
        <f t="shared" si="2"/>
        <v>0</v>
      </c>
      <c r="GA13" s="64">
        <f t="shared" si="2"/>
        <v>0</v>
      </c>
      <c r="GB13" s="64">
        <f t="shared" si="2"/>
        <v>0</v>
      </c>
      <c r="GC13" s="64">
        <f t="shared" si="2"/>
        <v>0</v>
      </c>
      <c r="GD13" s="64">
        <f t="shared" si="2"/>
        <v>0</v>
      </c>
      <c r="GE13" s="64">
        <f t="shared" si="2"/>
        <v>0</v>
      </c>
      <c r="GF13" s="64">
        <f t="shared" si="2"/>
        <v>0</v>
      </c>
      <c r="GG13" s="64">
        <f t="shared" si="2"/>
        <v>0</v>
      </c>
      <c r="GH13" s="64">
        <f t="shared" si="2"/>
        <v>0</v>
      </c>
      <c r="GI13" s="64">
        <f t="shared" ref="GI13:HR13" si="3">SUM(GI14:GI54)</f>
        <v>0</v>
      </c>
      <c r="GJ13" s="64">
        <f t="shared" si="3"/>
        <v>0</v>
      </c>
      <c r="GK13" s="64">
        <f t="shared" si="3"/>
        <v>0</v>
      </c>
      <c r="GL13" s="64">
        <f t="shared" si="3"/>
        <v>0</v>
      </c>
      <c r="GM13" s="64">
        <f t="shared" si="3"/>
        <v>0</v>
      </c>
      <c r="GN13" s="64">
        <f t="shared" si="3"/>
        <v>0</v>
      </c>
      <c r="GO13" s="64">
        <f t="shared" si="3"/>
        <v>0</v>
      </c>
      <c r="GP13" s="64">
        <f t="shared" si="3"/>
        <v>0</v>
      </c>
      <c r="GQ13" s="64">
        <f t="shared" si="3"/>
        <v>0</v>
      </c>
      <c r="GR13" s="64">
        <f t="shared" si="3"/>
        <v>0</v>
      </c>
      <c r="GS13" s="64">
        <f t="shared" si="3"/>
        <v>0</v>
      </c>
      <c r="GT13" s="64">
        <f t="shared" si="3"/>
        <v>0</v>
      </c>
      <c r="GU13" s="64">
        <f t="shared" si="3"/>
        <v>0</v>
      </c>
      <c r="GV13" s="64">
        <f t="shared" si="3"/>
        <v>0</v>
      </c>
      <c r="GW13" s="64">
        <f t="shared" si="3"/>
        <v>0</v>
      </c>
      <c r="GX13" s="64">
        <f t="shared" si="3"/>
        <v>0</v>
      </c>
      <c r="GY13" s="64">
        <f t="shared" si="3"/>
        <v>0</v>
      </c>
      <c r="GZ13" s="64">
        <f t="shared" si="3"/>
        <v>0</v>
      </c>
      <c r="HA13" s="64">
        <f t="shared" si="3"/>
        <v>0</v>
      </c>
      <c r="HB13" s="64">
        <f t="shared" si="3"/>
        <v>0</v>
      </c>
      <c r="HC13" s="64">
        <f t="shared" si="3"/>
        <v>0</v>
      </c>
      <c r="HD13" s="64">
        <f t="shared" si="3"/>
        <v>0</v>
      </c>
      <c r="HE13" s="64">
        <f t="shared" si="3"/>
        <v>0</v>
      </c>
      <c r="HF13" s="64">
        <f t="shared" si="3"/>
        <v>0</v>
      </c>
      <c r="HG13" s="64">
        <f t="shared" si="3"/>
        <v>0</v>
      </c>
      <c r="HH13" s="64">
        <f t="shared" si="3"/>
        <v>0</v>
      </c>
      <c r="HI13" s="64">
        <f t="shared" si="3"/>
        <v>0</v>
      </c>
      <c r="HJ13" s="64">
        <f t="shared" si="3"/>
        <v>0</v>
      </c>
      <c r="HK13" s="64">
        <f t="shared" si="3"/>
        <v>0</v>
      </c>
      <c r="HL13" s="64">
        <f t="shared" si="3"/>
        <v>0</v>
      </c>
      <c r="HM13" s="64">
        <f t="shared" si="3"/>
        <v>0</v>
      </c>
      <c r="HN13" s="64">
        <f t="shared" si="3"/>
        <v>0</v>
      </c>
      <c r="HO13" s="64">
        <f t="shared" si="3"/>
        <v>0</v>
      </c>
      <c r="HP13" s="64">
        <f t="shared" si="3"/>
        <v>0</v>
      </c>
      <c r="HQ13" s="64">
        <f t="shared" si="3"/>
        <v>0</v>
      </c>
      <c r="HR13" s="120">
        <f t="shared" si="3"/>
        <v>0</v>
      </c>
    </row>
    <row r="14" spans="1:226" ht="11.15" customHeight="1" thickTop="1" x14ac:dyDescent="0.25">
      <c r="A14" s="87"/>
      <c r="B14" s="94"/>
      <c r="C14" s="133" t="str">
        <f>IF(A14=0,"",VLOOKUP(A14,[3]CO!$A$3:$F$5311,2,0))</f>
        <v/>
      </c>
      <c r="D14" s="134"/>
      <c r="E14" s="134"/>
      <c r="F14" s="134"/>
      <c r="G14" s="135" t="str">
        <f>IF(A14=0,"",VLOOKUP(A14,[3]CO!$A$3:$F$5311,3,0))</f>
        <v/>
      </c>
      <c r="H14" s="134"/>
      <c r="I14" s="136"/>
      <c r="J14" s="136"/>
      <c r="K14" s="136"/>
      <c r="L14" s="136"/>
      <c r="M14" s="137" t="str">
        <f t="shared" ref="M14:M29" si="4">IF(L14=0,"",PRODUCT(I14:L14))</f>
        <v/>
      </c>
      <c r="N14" s="137" t="str">
        <f>IF(B14=0,"",IF(H14="M",HLOOKUP(B14,$Y$12:$DT$13,2),IF(A14=0,"",VLOOKUP(A14,[3]CO!$A$3:$F$5311,4,0))))</f>
        <v/>
      </c>
      <c r="O14" s="30" t="str">
        <f>IF(L14=0,"",PRODUCT(M14:N14))</f>
        <v/>
      </c>
      <c r="P14" s="94"/>
      <c r="Q14" s="95" t="str">
        <f t="shared" ref="Q14:Q29" si="5">IF(P14=0,"",(HLOOKUP(P14,$DW$12:$HR$13,2)))</f>
        <v/>
      </c>
      <c r="R14" s="96" t="str">
        <f t="shared" ref="R14:R29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RESIDENTE"),VLOOKUP(B14,P$14:Q$54,2),"")*S14)</f>
        <v/>
      </c>
      <c r="S14" s="131"/>
      <c r="T14" s="60" t="str">
        <f>IF(A14=0,"",VLOOKUP(A14,[3]CO!$A$3:$F$5302,5,0))</f>
        <v/>
      </c>
      <c r="U14" s="61">
        <f>IF(T14=1,O14*0.1,)</f>
        <v>0</v>
      </c>
      <c r="V14" s="30"/>
      <c r="Y14" s="69" t="str">
        <f t="shared" ref="Y14:CJ17" si="7">IF($B14=Y$12,$U14,"")</f>
        <v/>
      </c>
      <c r="Z14" s="70" t="str">
        <f t="shared" si="7"/>
        <v/>
      </c>
      <c r="AA14" s="70" t="str">
        <f t="shared" si="7"/>
        <v/>
      </c>
      <c r="AB14" s="70" t="str">
        <f t="shared" si="7"/>
        <v/>
      </c>
      <c r="AC14" s="70" t="str">
        <f t="shared" si="7"/>
        <v/>
      </c>
      <c r="AD14" s="70" t="str">
        <f t="shared" si="7"/>
        <v/>
      </c>
      <c r="AE14" s="70" t="str">
        <f t="shared" si="7"/>
        <v/>
      </c>
      <c r="AF14" s="70" t="str">
        <f t="shared" si="7"/>
        <v/>
      </c>
      <c r="AG14" s="70" t="str">
        <f t="shared" si="7"/>
        <v/>
      </c>
      <c r="AH14" s="70" t="str">
        <f t="shared" si="7"/>
        <v/>
      </c>
      <c r="AI14" s="70" t="str">
        <f t="shared" si="7"/>
        <v/>
      </c>
      <c r="AJ14" s="70" t="str">
        <f t="shared" si="7"/>
        <v/>
      </c>
      <c r="AK14" s="70" t="str">
        <f t="shared" si="7"/>
        <v/>
      </c>
      <c r="AL14" s="70" t="str">
        <f t="shared" si="7"/>
        <v/>
      </c>
      <c r="AM14" s="70" t="str">
        <f t="shared" si="7"/>
        <v/>
      </c>
      <c r="AN14" s="70" t="str">
        <f t="shared" si="7"/>
        <v/>
      </c>
      <c r="AO14" s="70" t="str">
        <f t="shared" si="7"/>
        <v/>
      </c>
      <c r="AP14" s="70" t="str">
        <f t="shared" si="7"/>
        <v/>
      </c>
      <c r="AQ14" s="70" t="str">
        <f t="shared" si="7"/>
        <v/>
      </c>
      <c r="AR14" s="70" t="str">
        <f t="shared" si="7"/>
        <v/>
      </c>
      <c r="AS14" s="70" t="str">
        <f t="shared" si="7"/>
        <v/>
      </c>
      <c r="AT14" s="70" t="str">
        <f t="shared" si="7"/>
        <v/>
      </c>
      <c r="AU14" s="70" t="str">
        <f t="shared" si="7"/>
        <v/>
      </c>
      <c r="AV14" s="70" t="str">
        <f t="shared" si="7"/>
        <v/>
      </c>
      <c r="AW14" s="70" t="str">
        <f t="shared" si="7"/>
        <v/>
      </c>
      <c r="AX14" s="70" t="str">
        <f t="shared" si="7"/>
        <v/>
      </c>
      <c r="AY14" s="70" t="str">
        <f t="shared" si="7"/>
        <v/>
      </c>
      <c r="AZ14" s="70" t="str">
        <f t="shared" si="7"/>
        <v/>
      </c>
      <c r="BA14" s="70" t="str">
        <f t="shared" si="7"/>
        <v/>
      </c>
      <c r="BB14" s="70" t="str">
        <f t="shared" si="7"/>
        <v/>
      </c>
      <c r="BC14" s="70" t="str">
        <f t="shared" si="7"/>
        <v/>
      </c>
      <c r="BD14" s="70" t="str">
        <f t="shared" si="7"/>
        <v/>
      </c>
      <c r="BE14" s="70" t="str">
        <f t="shared" si="7"/>
        <v/>
      </c>
      <c r="BF14" s="70" t="str">
        <f t="shared" si="7"/>
        <v/>
      </c>
      <c r="BG14" s="70" t="str">
        <f t="shared" si="7"/>
        <v/>
      </c>
      <c r="BH14" s="70" t="str">
        <f t="shared" si="7"/>
        <v/>
      </c>
      <c r="BI14" s="70" t="str">
        <f t="shared" si="7"/>
        <v/>
      </c>
      <c r="BJ14" s="70" t="str">
        <f t="shared" si="7"/>
        <v/>
      </c>
      <c r="BK14" s="70" t="str">
        <f t="shared" si="7"/>
        <v/>
      </c>
      <c r="BL14" s="70" t="str">
        <f t="shared" si="7"/>
        <v/>
      </c>
      <c r="BM14" s="70" t="str">
        <f t="shared" si="7"/>
        <v/>
      </c>
      <c r="BN14" s="70" t="str">
        <f t="shared" si="7"/>
        <v/>
      </c>
      <c r="BO14" s="70" t="str">
        <f t="shared" si="7"/>
        <v/>
      </c>
      <c r="BP14" s="70" t="str">
        <f t="shared" si="7"/>
        <v/>
      </c>
      <c r="BQ14" s="70" t="str">
        <f t="shared" si="7"/>
        <v/>
      </c>
      <c r="BR14" s="70" t="str">
        <f t="shared" si="7"/>
        <v/>
      </c>
      <c r="BS14" s="70" t="str">
        <f t="shared" si="7"/>
        <v/>
      </c>
      <c r="BT14" s="70" t="str">
        <f t="shared" si="7"/>
        <v/>
      </c>
      <c r="BU14" s="70" t="str">
        <f t="shared" si="7"/>
        <v/>
      </c>
      <c r="BV14" s="70" t="str">
        <f t="shared" si="7"/>
        <v/>
      </c>
      <c r="BW14" s="70" t="str">
        <f t="shared" si="7"/>
        <v/>
      </c>
      <c r="BX14" s="70" t="str">
        <f t="shared" si="7"/>
        <v/>
      </c>
      <c r="BY14" s="70" t="str">
        <f t="shared" si="7"/>
        <v/>
      </c>
      <c r="BZ14" s="70" t="str">
        <f t="shared" si="7"/>
        <v/>
      </c>
      <c r="CA14" s="70" t="str">
        <f t="shared" si="7"/>
        <v/>
      </c>
      <c r="CB14" s="70" t="str">
        <f t="shared" si="7"/>
        <v/>
      </c>
      <c r="CC14" s="70" t="str">
        <f t="shared" si="7"/>
        <v/>
      </c>
      <c r="CD14" s="70" t="str">
        <f t="shared" si="7"/>
        <v/>
      </c>
      <c r="CE14" s="70" t="str">
        <f t="shared" si="7"/>
        <v/>
      </c>
      <c r="CF14" s="70" t="str">
        <f t="shared" si="7"/>
        <v/>
      </c>
      <c r="CG14" s="70" t="str">
        <f t="shared" si="7"/>
        <v/>
      </c>
      <c r="CH14" s="70" t="str">
        <f t="shared" si="7"/>
        <v/>
      </c>
      <c r="CI14" s="70" t="str">
        <f t="shared" si="7"/>
        <v/>
      </c>
      <c r="CJ14" s="70" t="str">
        <f t="shared" si="7"/>
        <v/>
      </c>
      <c r="CK14" s="70" t="str">
        <f t="shared" ref="CK14:DT23" si="8">IF($B14=CK$12,$U14,"")</f>
        <v/>
      </c>
      <c r="CL14" s="70" t="str">
        <f t="shared" si="8"/>
        <v/>
      </c>
      <c r="CM14" s="70" t="str">
        <f t="shared" si="8"/>
        <v/>
      </c>
      <c r="CN14" s="70" t="str">
        <f t="shared" si="8"/>
        <v/>
      </c>
      <c r="CO14" s="70" t="str">
        <f t="shared" si="8"/>
        <v/>
      </c>
      <c r="CP14" s="70" t="str">
        <f t="shared" si="8"/>
        <v/>
      </c>
      <c r="CQ14" s="70" t="str">
        <f t="shared" si="8"/>
        <v/>
      </c>
      <c r="CR14" s="70" t="str">
        <f t="shared" si="8"/>
        <v/>
      </c>
      <c r="CS14" s="70" t="str">
        <f t="shared" si="8"/>
        <v/>
      </c>
      <c r="CT14" s="70" t="str">
        <f t="shared" si="8"/>
        <v/>
      </c>
      <c r="CU14" s="70" t="str">
        <f t="shared" si="8"/>
        <v/>
      </c>
      <c r="CV14" s="70" t="str">
        <f t="shared" si="8"/>
        <v/>
      </c>
      <c r="CW14" s="70" t="str">
        <f t="shared" si="8"/>
        <v/>
      </c>
      <c r="CX14" s="70" t="str">
        <f t="shared" si="8"/>
        <v/>
      </c>
      <c r="CY14" s="70" t="str">
        <f t="shared" si="8"/>
        <v/>
      </c>
      <c r="CZ14" s="70" t="str">
        <f t="shared" si="8"/>
        <v/>
      </c>
      <c r="DA14" s="70" t="str">
        <f t="shared" si="8"/>
        <v/>
      </c>
      <c r="DB14" s="70" t="str">
        <f t="shared" si="8"/>
        <v/>
      </c>
      <c r="DC14" s="70" t="str">
        <f t="shared" si="8"/>
        <v/>
      </c>
      <c r="DD14" s="70" t="str">
        <f t="shared" si="8"/>
        <v/>
      </c>
      <c r="DE14" s="70" t="str">
        <f t="shared" si="8"/>
        <v/>
      </c>
      <c r="DF14" s="70" t="str">
        <f t="shared" si="8"/>
        <v/>
      </c>
      <c r="DG14" s="70" t="str">
        <f t="shared" si="8"/>
        <v/>
      </c>
      <c r="DH14" s="70" t="str">
        <f t="shared" si="8"/>
        <v/>
      </c>
      <c r="DI14" s="70" t="str">
        <f t="shared" si="8"/>
        <v/>
      </c>
      <c r="DJ14" s="70" t="str">
        <f t="shared" si="8"/>
        <v/>
      </c>
      <c r="DK14" s="70" t="str">
        <f t="shared" si="8"/>
        <v/>
      </c>
      <c r="DL14" s="70" t="str">
        <f t="shared" si="8"/>
        <v/>
      </c>
      <c r="DM14" s="70" t="str">
        <f t="shared" si="8"/>
        <v/>
      </c>
      <c r="DN14" s="70" t="str">
        <f t="shared" si="8"/>
        <v/>
      </c>
      <c r="DO14" s="70" t="str">
        <f t="shared" si="8"/>
        <v/>
      </c>
      <c r="DP14" s="70" t="str">
        <f t="shared" si="8"/>
        <v/>
      </c>
      <c r="DQ14" s="70" t="str">
        <f t="shared" si="8"/>
        <v/>
      </c>
      <c r="DR14" s="70" t="str">
        <f t="shared" si="8"/>
        <v/>
      </c>
      <c r="DS14" s="70" t="str">
        <f t="shared" si="8"/>
        <v/>
      </c>
      <c r="DT14" s="121" t="str">
        <f t="shared" si="8"/>
        <v/>
      </c>
      <c r="DU14" s="61"/>
      <c r="DW14" s="66" t="str">
        <f t="shared" ref="DW14:GH17" si="9">IF($B14=DW$12,$O14,"")</f>
        <v/>
      </c>
      <c r="DX14" s="67" t="str">
        <f t="shared" si="9"/>
        <v/>
      </c>
      <c r="DY14" s="67" t="str">
        <f t="shared" si="9"/>
        <v/>
      </c>
      <c r="DZ14" s="67" t="str">
        <f t="shared" si="9"/>
        <v/>
      </c>
      <c r="EA14" s="67" t="str">
        <f t="shared" si="9"/>
        <v/>
      </c>
      <c r="EB14" s="67" t="str">
        <f t="shared" si="9"/>
        <v/>
      </c>
      <c r="EC14" s="67" t="str">
        <f t="shared" si="9"/>
        <v/>
      </c>
      <c r="ED14" s="67" t="str">
        <f t="shared" si="9"/>
        <v/>
      </c>
      <c r="EE14" s="67" t="str">
        <f t="shared" si="9"/>
        <v/>
      </c>
      <c r="EF14" s="67" t="str">
        <f t="shared" si="9"/>
        <v/>
      </c>
      <c r="EG14" s="67" t="str">
        <f t="shared" si="9"/>
        <v/>
      </c>
      <c r="EH14" s="67" t="str">
        <f t="shared" si="9"/>
        <v/>
      </c>
      <c r="EI14" s="67" t="str">
        <f t="shared" si="9"/>
        <v/>
      </c>
      <c r="EJ14" s="67" t="str">
        <f t="shared" si="9"/>
        <v/>
      </c>
      <c r="EK14" s="67" t="str">
        <f t="shared" si="9"/>
        <v/>
      </c>
      <c r="EL14" s="67" t="str">
        <f t="shared" si="9"/>
        <v/>
      </c>
      <c r="EM14" s="67" t="str">
        <f t="shared" si="9"/>
        <v/>
      </c>
      <c r="EN14" s="67" t="str">
        <f t="shared" si="9"/>
        <v/>
      </c>
      <c r="EO14" s="67" t="str">
        <f t="shared" si="9"/>
        <v/>
      </c>
      <c r="EP14" s="67" t="str">
        <f t="shared" si="9"/>
        <v/>
      </c>
      <c r="EQ14" s="67" t="str">
        <f t="shared" si="9"/>
        <v/>
      </c>
      <c r="ER14" s="67" t="str">
        <f t="shared" si="9"/>
        <v/>
      </c>
      <c r="ES14" s="67" t="str">
        <f t="shared" si="9"/>
        <v/>
      </c>
      <c r="ET14" s="67" t="str">
        <f t="shared" si="9"/>
        <v/>
      </c>
      <c r="EU14" s="67" t="str">
        <f t="shared" si="9"/>
        <v/>
      </c>
      <c r="EV14" s="67" t="str">
        <f t="shared" si="9"/>
        <v/>
      </c>
      <c r="EW14" s="67" t="str">
        <f t="shared" si="9"/>
        <v/>
      </c>
      <c r="EX14" s="67" t="str">
        <f t="shared" si="9"/>
        <v/>
      </c>
      <c r="EY14" s="67" t="str">
        <f t="shared" si="9"/>
        <v/>
      </c>
      <c r="EZ14" s="67" t="str">
        <f t="shared" si="9"/>
        <v/>
      </c>
      <c r="FA14" s="67" t="str">
        <f t="shared" si="9"/>
        <v/>
      </c>
      <c r="FB14" s="67" t="str">
        <f t="shared" si="9"/>
        <v/>
      </c>
      <c r="FC14" s="67" t="str">
        <f t="shared" si="9"/>
        <v/>
      </c>
      <c r="FD14" s="67" t="str">
        <f t="shared" si="9"/>
        <v/>
      </c>
      <c r="FE14" s="67" t="str">
        <f t="shared" si="9"/>
        <v/>
      </c>
      <c r="FF14" s="67" t="str">
        <f t="shared" si="9"/>
        <v/>
      </c>
      <c r="FG14" s="67" t="str">
        <f t="shared" si="9"/>
        <v/>
      </c>
      <c r="FH14" s="67" t="str">
        <f t="shared" si="9"/>
        <v/>
      </c>
      <c r="FI14" s="67" t="str">
        <f t="shared" si="9"/>
        <v/>
      </c>
      <c r="FJ14" s="67" t="str">
        <f t="shared" si="9"/>
        <v/>
      </c>
      <c r="FK14" s="67" t="str">
        <f t="shared" si="9"/>
        <v/>
      </c>
      <c r="FL14" s="67" t="str">
        <f t="shared" si="9"/>
        <v/>
      </c>
      <c r="FM14" s="67" t="str">
        <f t="shared" si="9"/>
        <v/>
      </c>
      <c r="FN14" s="67" t="str">
        <f t="shared" si="9"/>
        <v/>
      </c>
      <c r="FO14" s="67" t="str">
        <f t="shared" si="9"/>
        <v/>
      </c>
      <c r="FP14" s="67" t="str">
        <f t="shared" si="9"/>
        <v/>
      </c>
      <c r="FQ14" s="67" t="str">
        <f t="shared" si="9"/>
        <v/>
      </c>
      <c r="FR14" s="67" t="str">
        <f t="shared" si="9"/>
        <v/>
      </c>
      <c r="FS14" s="67" t="str">
        <f t="shared" si="9"/>
        <v/>
      </c>
      <c r="FT14" s="67" t="str">
        <f t="shared" si="9"/>
        <v/>
      </c>
      <c r="FU14" s="67" t="str">
        <f t="shared" si="9"/>
        <v/>
      </c>
      <c r="FV14" s="67" t="str">
        <f t="shared" si="9"/>
        <v/>
      </c>
      <c r="FW14" s="67" t="str">
        <f t="shared" si="9"/>
        <v/>
      </c>
      <c r="FX14" s="67" t="str">
        <f t="shared" si="9"/>
        <v/>
      </c>
      <c r="FY14" s="67" t="str">
        <f t="shared" si="9"/>
        <v/>
      </c>
      <c r="FZ14" s="67" t="str">
        <f t="shared" si="9"/>
        <v/>
      </c>
      <c r="GA14" s="67" t="str">
        <f t="shared" si="9"/>
        <v/>
      </c>
      <c r="GB14" s="67" t="str">
        <f t="shared" si="9"/>
        <v/>
      </c>
      <c r="GC14" s="67" t="str">
        <f t="shared" si="9"/>
        <v/>
      </c>
      <c r="GD14" s="67" t="str">
        <f t="shared" si="9"/>
        <v/>
      </c>
      <c r="GE14" s="67" t="str">
        <f t="shared" si="9"/>
        <v/>
      </c>
      <c r="GF14" s="67" t="str">
        <f t="shared" si="9"/>
        <v/>
      </c>
      <c r="GG14" s="67" t="str">
        <f t="shared" si="9"/>
        <v/>
      </c>
      <c r="GH14" s="67" t="str">
        <f t="shared" si="9"/>
        <v/>
      </c>
      <c r="GI14" s="67" t="str">
        <f t="shared" ref="GI14:HR21" si="10">IF($B14=GI$12,$O14,"")</f>
        <v/>
      </c>
      <c r="GJ14" s="67" t="str">
        <f t="shared" si="10"/>
        <v/>
      </c>
      <c r="GK14" s="67" t="str">
        <f t="shared" si="10"/>
        <v/>
      </c>
      <c r="GL14" s="67" t="str">
        <f t="shared" si="10"/>
        <v/>
      </c>
      <c r="GM14" s="67" t="str">
        <f t="shared" si="10"/>
        <v/>
      </c>
      <c r="GN14" s="67" t="str">
        <f t="shared" si="10"/>
        <v/>
      </c>
      <c r="GO14" s="67" t="str">
        <f t="shared" si="10"/>
        <v/>
      </c>
      <c r="GP14" s="67" t="str">
        <f t="shared" si="10"/>
        <v/>
      </c>
      <c r="GQ14" s="67" t="str">
        <f t="shared" si="10"/>
        <v/>
      </c>
      <c r="GR14" s="67" t="str">
        <f t="shared" si="10"/>
        <v/>
      </c>
      <c r="GS14" s="67" t="str">
        <f t="shared" si="10"/>
        <v/>
      </c>
      <c r="GT14" s="67" t="str">
        <f t="shared" si="10"/>
        <v/>
      </c>
      <c r="GU14" s="67" t="str">
        <f t="shared" si="10"/>
        <v/>
      </c>
      <c r="GV14" s="67" t="str">
        <f t="shared" si="10"/>
        <v/>
      </c>
      <c r="GW14" s="67" t="str">
        <f t="shared" si="10"/>
        <v/>
      </c>
      <c r="GX14" s="67" t="str">
        <f t="shared" si="10"/>
        <v/>
      </c>
      <c r="GY14" s="67" t="str">
        <f t="shared" si="10"/>
        <v/>
      </c>
      <c r="GZ14" s="67" t="str">
        <f t="shared" si="10"/>
        <v/>
      </c>
      <c r="HA14" s="67" t="str">
        <f t="shared" si="10"/>
        <v/>
      </c>
      <c r="HB14" s="67" t="str">
        <f t="shared" si="10"/>
        <v/>
      </c>
      <c r="HC14" s="67" t="str">
        <f t="shared" si="10"/>
        <v/>
      </c>
      <c r="HD14" s="67" t="str">
        <f t="shared" si="10"/>
        <v/>
      </c>
      <c r="HE14" s="67" t="str">
        <f t="shared" si="10"/>
        <v/>
      </c>
      <c r="HF14" s="67" t="str">
        <f t="shared" si="10"/>
        <v/>
      </c>
      <c r="HG14" s="67" t="str">
        <f t="shared" si="10"/>
        <v/>
      </c>
      <c r="HH14" s="67" t="str">
        <f t="shared" si="10"/>
        <v/>
      </c>
      <c r="HI14" s="67" t="str">
        <f t="shared" si="10"/>
        <v/>
      </c>
      <c r="HJ14" s="67" t="str">
        <f t="shared" si="10"/>
        <v/>
      </c>
      <c r="HK14" s="67" t="str">
        <f t="shared" si="10"/>
        <v/>
      </c>
      <c r="HL14" s="67" t="str">
        <f t="shared" si="10"/>
        <v/>
      </c>
      <c r="HM14" s="67" t="str">
        <f t="shared" si="10"/>
        <v/>
      </c>
      <c r="HN14" s="67" t="str">
        <f t="shared" si="10"/>
        <v/>
      </c>
      <c r="HO14" s="67" t="str">
        <f t="shared" si="10"/>
        <v/>
      </c>
      <c r="HP14" s="67" t="str">
        <f t="shared" si="10"/>
        <v/>
      </c>
      <c r="HQ14" s="67" t="str">
        <f t="shared" si="10"/>
        <v/>
      </c>
      <c r="HR14" s="125" t="str">
        <f t="shared" si="10"/>
        <v/>
      </c>
    </row>
    <row r="15" spans="1:226" ht="11.15" customHeight="1" x14ac:dyDescent="0.25">
      <c r="A15" s="32"/>
      <c r="B15" s="33"/>
      <c r="C15" s="34" t="str">
        <f>IF(A15=0,"",VLOOKUP(A15,[3]CO!$A$3:$F$5311,2,0))</f>
        <v/>
      </c>
      <c r="D15" s="35"/>
      <c r="E15" s="35"/>
      <c r="F15" s="35"/>
      <c r="G15" s="36" t="str">
        <f>IF(A15=0,"",VLOOKUP(A15,[3]CO!$A$3:$F$5311,3,0))</f>
        <v/>
      </c>
      <c r="H15" s="35"/>
      <c r="I15" s="37"/>
      <c r="J15" s="37"/>
      <c r="K15" s="37"/>
      <c r="L15" s="37"/>
      <c r="M15" s="38" t="str">
        <f t="shared" si="4"/>
        <v/>
      </c>
      <c r="N15" s="38" t="str">
        <f>IF(B15=0,"",IF(H15="M",HLOOKUP(B15,$Y$12:$DT$13,2),IF(A15=0,"",VLOOKUP(A15,[3]CO!$A$3:$F$5311,4,0))))</f>
        <v/>
      </c>
      <c r="O15" s="38" t="str">
        <f t="shared" ref="O15:O54" si="11">IF(L15=0,"",PRODUCT(M15:N15))</f>
        <v/>
      </c>
      <c r="P15" s="39"/>
      <c r="Q15" s="40" t="str">
        <f t="shared" si="5"/>
        <v/>
      </c>
      <c r="R15" s="41" t="str">
        <f t="shared" si="6"/>
        <v/>
      </c>
      <c r="S15" s="131"/>
      <c r="T15" s="60" t="str">
        <f>IF(A15=0,"",VLOOKUP(A15,[3]CO!$A$3:$F$5302,5,0))</f>
        <v/>
      </c>
      <c r="U15" s="61">
        <f t="shared" ref="U15:U54" si="12">IF(T15=1,O15*0.1,)</f>
        <v>0</v>
      </c>
      <c r="V15" s="30"/>
      <c r="W15" s="31"/>
      <c r="X15" s="31"/>
      <c r="Y15" s="71" t="str">
        <f t="shared" si="7"/>
        <v/>
      </c>
      <c r="Z15" s="62" t="str">
        <f t="shared" si="7"/>
        <v/>
      </c>
      <c r="AA15" s="62" t="str">
        <f t="shared" si="7"/>
        <v/>
      </c>
      <c r="AB15" s="62" t="str">
        <f t="shared" si="7"/>
        <v/>
      </c>
      <c r="AC15" s="62" t="str">
        <f t="shared" si="7"/>
        <v/>
      </c>
      <c r="AD15" s="62" t="str">
        <f t="shared" si="7"/>
        <v/>
      </c>
      <c r="AE15" s="62" t="str">
        <f t="shared" si="7"/>
        <v/>
      </c>
      <c r="AF15" s="62" t="str">
        <f t="shared" si="7"/>
        <v/>
      </c>
      <c r="AG15" s="62" t="str">
        <f t="shared" si="7"/>
        <v/>
      </c>
      <c r="AH15" s="62" t="str">
        <f t="shared" si="7"/>
        <v/>
      </c>
      <c r="AI15" s="62" t="str">
        <f t="shared" si="7"/>
        <v/>
      </c>
      <c r="AJ15" s="62" t="str">
        <f t="shared" si="7"/>
        <v/>
      </c>
      <c r="AK15" s="62" t="str">
        <f t="shared" si="7"/>
        <v/>
      </c>
      <c r="AL15" s="62" t="str">
        <f t="shared" si="7"/>
        <v/>
      </c>
      <c r="AM15" s="62" t="str">
        <f t="shared" si="7"/>
        <v/>
      </c>
      <c r="AN15" s="62" t="str">
        <f t="shared" si="7"/>
        <v/>
      </c>
      <c r="AO15" s="62" t="str">
        <f t="shared" si="7"/>
        <v/>
      </c>
      <c r="AP15" s="62" t="str">
        <f t="shared" si="7"/>
        <v/>
      </c>
      <c r="AQ15" s="62" t="str">
        <f t="shared" si="7"/>
        <v/>
      </c>
      <c r="AR15" s="62" t="str">
        <f t="shared" si="7"/>
        <v/>
      </c>
      <c r="AS15" s="62" t="str">
        <f t="shared" si="7"/>
        <v/>
      </c>
      <c r="AT15" s="62" t="str">
        <f t="shared" si="7"/>
        <v/>
      </c>
      <c r="AU15" s="62" t="str">
        <f t="shared" si="7"/>
        <v/>
      </c>
      <c r="AV15" s="62" t="str">
        <f t="shared" si="7"/>
        <v/>
      </c>
      <c r="AW15" s="62" t="str">
        <f t="shared" si="7"/>
        <v/>
      </c>
      <c r="AX15" s="62" t="str">
        <f t="shared" si="7"/>
        <v/>
      </c>
      <c r="AY15" s="62" t="str">
        <f t="shared" si="7"/>
        <v/>
      </c>
      <c r="AZ15" s="62" t="str">
        <f t="shared" si="7"/>
        <v/>
      </c>
      <c r="BA15" s="62" t="str">
        <f t="shared" si="7"/>
        <v/>
      </c>
      <c r="BB15" s="62" t="str">
        <f t="shared" si="7"/>
        <v/>
      </c>
      <c r="BC15" s="62" t="str">
        <f t="shared" si="7"/>
        <v/>
      </c>
      <c r="BD15" s="62" t="str">
        <f t="shared" si="7"/>
        <v/>
      </c>
      <c r="BE15" s="62" t="str">
        <f t="shared" si="7"/>
        <v/>
      </c>
      <c r="BF15" s="62" t="str">
        <f t="shared" si="7"/>
        <v/>
      </c>
      <c r="BG15" s="62" t="str">
        <f t="shared" si="7"/>
        <v/>
      </c>
      <c r="BH15" s="62" t="str">
        <f t="shared" si="7"/>
        <v/>
      </c>
      <c r="BI15" s="62" t="str">
        <f t="shared" si="7"/>
        <v/>
      </c>
      <c r="BJ15" s="62" t="str">
        <f t="shared" si="7"/>
        <v/>
      </c>
      <c r="BK15" s="62" t="str">
        <f t="shared" si="7"/>
        <v/>
      </c>
      <c r="BL15" s="62" t="str">
        <f t="shared" si="7"/>
        <v/>
      </c>
      <c r="BM15" s="62" t="str">
        <f t="shared" si="7"/>
        <v/>
      </c>
      <c r="BN15" s="62" t="str">
        <f t="shared" si="7"/>
        <v/>
      </c>
      <c r="BO15" s="62" t="str">
        <f t="shared" si="7"/>
        <v/>
      </c>
      <c r="BP15" s="62" t="str">
        <f t="shared" si="7"/>
        <v/>
      </c>
      <c r="BQ15" s="62" t="str">
        <f t="shared" si="7"/>
        <v/>
      </c>
      <c r="BR15" s="62" t="str">
        <f t="shared" si="7"/>
        <v/>
      </c>
      <c r="BS15" s="62" t="str">
        <f t="shared" si="7"/>
        <v/>
      </c>
      <c r="BT15" s="62" t="str">
        <f t="shared" si="7"/>
        <v/>
      </c>
      <c r="BU15" s="62" t="str">
        <f t="shared" si="7"/>
        <v/>
      </c>
      <c r="BV15" s="62" t="str">
        <f t="shared" si="7"/>
        <v/>
      </c>
      <c r="BW15" s="62" t="str">
        <f t="shared" si="7"/>
        <v/>
      </c>
      <c r="BX15" s="62" t="str">
        <f t="shared" si="7"/>
        <v/>
      </c>
      <c r="BY15" s="62" t="str">
        <f t="shared" si="7"/>
        <v/>
      </c>
      <c r="BZ15" s="62" t="str">
        <f t="shared" si="7"/>
        <v/>
      </c>
      <c r="CA15" s="62" t="str">
        <f t="shared" si="7"/>
        <v/>
      </c>
      <c r="CB15" s="62" t="str">
        <f t="shared" si="7"/>
        <v/>
      </c>
      <c r="CC15" s="62" t="str">
        <f t="shared" si="7"/>
        <v/>
      </c>
      <c r="CD15" s="62" t="str">
        <f t="shared" si="7"/>
        <v/>
      </c>
      <c r="CE15" s="62" t="str">
        <f t="shared" si="7"/>
        <v/>
      </c>
      <c r="CF15" s="62" t="str">
        <f t="shared" si="7"/>
        <v/>
      </c>
      <c r="CG15" s="62" t="str">
        <f t="shared" si="7"/>
        <v/>
      </c>
      <c r="CH15" s="62" t="str">
        <f t="shared" si="7"/>
        <v/>
      </c>
      <c r="CI15" s="62" t="str">
        <f t="shared" si="7"/>
        <v/>
      </c>
      <c r="CJ15" s="62" t="str">
        <f t="shared" si="7"/>
        <v/>
      </c>
      <c r="CK15" s="62" t="str">
        <f t="shared" si="8"/>
        <v/>
      </c>
      <c r="CL15" s="62" t="str">
        <f t="shared" si="8"/>
        <v/>
      </c>
      <c r="CM15" s="62" t="str">
        <f t="shared" si="8"/>
        <v/>
      </c>
      <c r="CN15" s="62" t="str">
        <f t="shared" si="8"/>
        <v/>
      </c>
      <c r="CO15" s="62" t="str">
        <f t="shared" si="8"/>
        <v/>
      </c>
      <c r="CP15" s="62" t="str">
        <f t="shared" si="8"/>
        <v/>
      </c>
      <c r="CQ15" s="62" t="str">
        <f t="shared" si="8"/>
        <v/>
      </c>
      <c r="CR15" s="62" t="str">
        <f t="shared" si="8"/>
        <v/>
      </c>
      <c r="CS15" s="62" t="str">
        <f t="shared" si="8"/>
        <v/>
      </c>
      <c r="CT15" s="62" t="str">
        <f t="shared" si="8"/>
        <v/>
      </c>
      <c r="CU15" s="62" t="str">
        <f t="shared" si="8"/>
        <v/>
      </c>
      <c r="CV15" s="62" t="str">
        <f t="shared" si="8"/>
        <v/>
      </c>
      <c r="CW15" s="62" t="str">
        <f t="shared" si="8"/>
        <v/>
      </c>
      <c r="CX15" s="62" t="str">
        <f t="shared" si="8"/>
        <v/>
      </c>
      <c r="CY15" s="62" t="str">
        <f t="shared" si="8"/>
        <v/>
      </c>
      <c r="CZ15" s="62" t="str">
        <f t="shared" si="8"/>
        <v/>
      </c>
      <c r="DA15" s="62" t="str">
        <f t="shared" si="8"/>
        <v/>
      </c>
      <c r="DB15" s="62" t="str">
        <f t="shared" si="8"/>
        <v/>
      </c>
      <c r="DC15" s="62" t="str">
        <f t="shared" si="8"/>
        <v/>
      </c>
      <c r="DD15" s="62" t="str">
        <f t="shared" si="8"/>
        <v/>
      </c>
      <c r="DE15" s="62" t="str">
        <f t="shared" si="8"/>
        <v/>
      </c>
      <c r="DF15" s="62" t="str">
        <f t="shared" si="8"/>
        <v/>
      </c>
      <c r="DG15" s="62" t="str">
        <f t="shared" si="8"/>
        <v/>
      </c>
      <c r="DH15" s="62" t="str">
        <f t="shared" si="8"/>
        <v/>
      </c>
      <c r="DI15" s="62" t="str">
        <f t="shared" si="8"/>
        <v/>
      </c>
      <c r="DJ15" s="62" t="str">
        <f t="shared" si="8"/>
        <v/>
      </c>
      <c r="DK15" s="62" t="str">
        <f t="shared" si="8"/>
        <v/>
      </c>
      <c r="DL15" s="62" t="str">
        <f t="shared" si="8"/>
        <v/>
      </c>
      <c r="DM15" s="62" t="str">
        <f t="shared" si="8"/>
        <v/>
      </c>
      <c r="DN15" s="62" t="str">
        <f t="shared" si="8"/>
        <v/>
      </c>
      <c r="DO15" s="62" t="str">
        <f t="shared" si="8"/>
        <v/>
      </c>
      <c r="DP15" s="62" t="str">
        <f t="shared" si="8"/>
        <v/>
      </c>
      <c r="DQ15" s="62" t="str">
        <f t="shared" si="8"/>
        <v/>
      </c>
      <c r="DR15" s="62" t="str">
        <f t="shared" si="8"/>
        <v/>
      </c>
      <c r="DS15" s="62" t="str">
        <f t="shared" si="8"/>
        <v/>
      </c>
      <c r="DT15" s="117" t="str">
        <f t="shared" si="8"/>
        <v/>
      </c>
      <c r="DU15" s="61"/>
      <c r="DV15" s="31"/>
      <c r="DW15" s="68" t="str">
        <f t="shared" si="9"/>
        <v/>
      </c>
      <c r="DX15" s="57" t="str">
        <f t="shared" si="9"/>
        <v/>
      </c>
      <c r="DY15" s="57" t="str">
        <f t="shared" si="9"/>
        <v/>
      </c>
      <c r="DZ15" s="57" t="str">
        <f t="shared" si="9"/>
        <v/>
      </c>
      <c r="EA15" s="57" t="str">
        <f t="shared" si="9"/>
        <v/>
      </c>
      <c r="EB15" s="57" t="str">
        <f t="shared" si="9"/>
        <v/>
      </c>
      <c r="EC15" s="57" t="str">
        <f t="shared" si="9"/>
        <v/>
      </c>
      <c r="ED15" s="57" t="str">
        <f t="shared" si="9"/>
        <v/>
      </c>
      <c r="EE15" s="57" t="str">
        <f t="shared" si="9"/>
        <v/>
      </c>
      <c r="EF15" s="57" t="str">
        <f t="shared" si="9"/>
        <v/>
      </c>
      <c r="EG15" s="57" t="str">
        <f t="shared" si="9"/>
        <v/>
      </c>
      <c r="EH15" s="57" t="str">
        <f t="shared" si="9"/>
        <v/>
      </c>
      <c r="EI15" s="57" t="str">
        <f t="shared" si="9"/>
        <v/>
      </c>
      <c r="EJ15" s="57" t="str">
        <f t="shared" si="9"/>
        <v/>
      </c>
      <c r="EK15" s="57" t="str">
        <f t="shared" si="9"/>
        <v/>
      </c>
      <c r="EL15" s="57" t="str">
        <f t="shared" si="9"/>
        <v/>
      </c>
      <c r="EM15" s="57" t="str">
        <f t="shared" si="9"/>
        <v/>
      </c>
      <c r="EN15" s="57" t="str">
        <f t="shared" si="9"/>
        <v/>
      </c>
      <c r="EO15" s="57" t="str">
        <f t="shared" si="9"/>
        <v/>
      </c>
      <c r="EP15" s="57" t="str">
        <f t="shared" si="9"/>
        <v/>
      </c>
      <c r="EQ15" s="57" t="str">
        <f t="shared" si="9"/>
        <v/>
      </c>
      <c r="ER15" s="57" t="str">
        <f t="shared" si="9"/>
        <v/>
      </c>
      <c r="ES15" s="57" t="str">
        <f t="shared" si="9"/>
        <v/>
      </c>
      <c r="ET15" s="57" t="str">
        <f t="shared" si="9"/>
        <v/>
      </c>
      <c r="EU15" s="57" t="str">
        <f t="shared" si="9"/>
        <v/>
      </c>
      <c r="EV15" s="57" t="str">
        <f t="shared" si="9"/>
        <v/>
      </c>
      <c r="EW15" s="57" t="str">
        <f t="shared" si="9"/>
        <v/>
      </c>
      <c r="EX15" s="57" t="str">
        <f t="shared" si="9"/>
        <v/>
      </c>
      <c r="EY15" s="57" t="str">
        <f t="shared" si="9"/>
        <v/>
      </c>
      <c r="EZ15" s="57" t="str">
        <f t="shared" si="9"/>
        <v/>
      </c>
      <c r="FA15" s="57" t="str">
        <f t="shared" si="9"/>
        <v/>
      </c>
      <c r="FB15" s="57" t="str">
        <f t="shared" si="9"/>
        <v/>
      </c>
      <c r="FC15" s="57" t="str">
        <f t="shared" si="9"/>
        <v/>
      </c>
      <c r="FD15" s="57" t="str">
        <f t="shared" si="9"/>
        <v/>
      </c>
      <c r="FE15" s="57" t="str">
        <f t="shared" si="9"/>
        <v/>
      </c>
      <c r="FF15" s="57" t="str">
        <f t="shared" si="9"/>
        <v/>
      </c>
      <c r="FG15" s="57" t="str">
        <f t="shared" si="9"/>
        <v/>
      </c>
      <c r="FH15" s="57" t="str">
        <f t="shared" si="9"/>
        <v/>
      </c>
      <c r="FI15" s="57" t="str">
        <f t="shared" si="9"/>
        <v/>
      </c>
      <c r="FJ15" s="57" t="str">
        <f t="shared" si="9"/>
        <v/>
      </c>
      <c r="FK15" s="57" t="str">
        <f t="shared" si="9"/>
        <v/>
      </c>
      <c r="FL15" s="57" t="str">
        <f t="shared" si="9"/>
        <v/>
      </c>
      <c r="FM15" s="57" t="str">
        <f t="shared" si="9"/>
        <v/>
      </c>
      <c r="FN15" s="57" t="str">
        <f t="shared" si="9"/>
        <v/>
      </c>
      <c r="FO15" s="57" t="str">
        <f t="shared" si="9"/>
        <v/>
      </c>
      <c r="FP15" s="57" t="str">
        <f t="shared" si="9"/>
        <v/>
      </c>
      <c r="FQ15" s="57" t="str">
        <f t="shared" si="9"/>
        <v/>
      </c>
      <c r="FR15" s="57" t="str">
        <f t="shared" si="9"/>
        <v/>
      </c>
      <c r="FS15" s="57" t="str">
        <f t="shared" si="9"/>
        <v/>
      </c>
      <c r="FT15" s="57" t="str">
        <f t="shared" si="9"/>
        <v/>
      </c>
      <c r="FU15" s="57" t="str">
        <f t="shared" si="9"/>
        <v/>
      </c>
      <c r="FV15" s="57" t="str">
        <f t="shared" si="9"/>
        <v/>
      </c>
      <c r="FW15" s="57" t="str">
        <f t="shared" si="9"/>
        <v/>
      </c>
      <c r="FX15" s="57" t="str">
        <f t="shared" si="9"/>
        <v/>
      </c>
      <c r="FY15" s="57" t="str">
        <f t="shared" si="9"/>
        <v/>
      </c>
      <c r="FZ15" s="57" t="str">
        <f t="shared" si="9"/>
        <v/>
      </c>
      <c r="GA15" s="57" t="str">
        <f t="shared" si="9"/>
        <v/>
      </c>
      <c r="GB15" s="57" t="str">
        <f t="shared" si="9"/>
        <v/>
      </c>
      <c r="GC15" s="57" t="str">
        <f t="shared" si="9"/>
        <v/>
      </c>
      <c r="GD15" s="57" t="str">
        <f t="shared" si="9"/>
        <v/>
      </c>
      <c r="GE15" s="57" t="str">
        <f t="shared" si="9"/>
        <v/>
      </c>
      <c r="GF15" s="57" t="str">
        <f t="shared" si="9"/>
        <v/>
      </c>
      <c r="GG15" s="57" t="str">
        <f t="shared" si="9"/>
        <v/>
      </c>
      <c r="GH15" s="57" t="str">
        <f t="shared" si="9"/>
        <v/>
      </c>
      <c r="GI15" s="57" t="str">
        <f t="shared" si="10"/>
        <v/>
      </c>
      <c r="GJ15" s="57" t="str">
        <f t="shared" si="10"/>
        <v/>
      </c>
      <c r="GK15" s="57" t="str">
        <f t="shared" si="10"/>
        <v/>
      </c>
      <c r="GL15" s="57" t="str">
        <f t="shared" si="10"/>
        <v/>
      </c>
      <c r="GM15" s="57" t="str">
        <f t="shared" si="10"/>
        <v/>
      </c>
      <c r="GN15" s="57" t="str">
        <f t="shared" si="10"/>
        <v/>
      </c>
      <c r="GO15" s="57" t="str">
        <f t="shared" si="10"/>
        <v/>
      </c>
      <c r="GP15" s="57" t="str">
        <f t="shared" si="10"/>
        <v/>
      </c>
      <c r="GQ15" s="57" t="str">
        <f t="shared" si="10"/>
        <v/>
      </c>
      <c r="GR15" s="57" t="str">
        <f t="shared" si="10"/>
        <v/>
      </c>
      <c r="GS15" s="57" t="str">
        <f t="shared" si="10"/>
        <v/>
      </c>
      <c r="GT15" s="57" t="str">
        <f t="shared" si="10"/>
        <v/>
      </c>
      <c r="GU15" s="57" t="str">
        <f t="shared" si="10"/>
        <v/>
      </c>
      <c r="GV15" s="57" t="str">
        <f t="shared" si="10"/>
        <v/>
      </c>
      <c r="GW15" s="57" t="str">
        <f t="shared" si="10"/>
        <v/>
      </c>
      <c r="GX15" s="57" t="str">
        <f t="shared" si="10"/>
        <v/>
      </c>
      <c r="GY15" s="57" t="str">
        <f t="shared" si="10"/>
        <v/>
      </c>
      <c r="GZ15" s="57" t="str">
        <f t="shared" si="10"/>
        <v/>
      </c>
      <c r="HA15" s="57" t="str">
        <f t="shared" si="10"/>
        <v/>
      </c>
      <c r="HB15" s="57" t="str">
        <f t="shared" si="10"/>
        <v/>
      </c>
      <c r="HC15" s="57" t="str">
        <f t="shared" si="10"/>
        <v/>
      </c>
      <c r="HD15" s="57" t="str">
        <f t="shared" si="10"/>
        <v/>
      </c>
      <c r="HE15" s="57" t="str">
        <f t="shared" si="10"/>
        <v/>
      </c>
      <c r="HF15" s="57" t="str">
        <f t="shared" si="10"/>
        <v/>
      </c>
      <c r="HG15" s="57" t="str">
        <f t="shared" si="10"/>
        <v/>
      </c>
      <c r="HH15" s="57" t="str">
        <f t="shared" si="10"/>
        <v/>
      </c>
      <c r="HI15" s="57" t="str">
        <f t="shared" si="10"/>
        <v/>
      </c>
      <c r="HJ15" s="57" t="str">
        <f t="shared" si="10"/>
        <v/>
      </c>
      <c r="HK15" s="57" t="str">
        <f t="shared" si="10"/>
        <v/>
      </c>
      <c r="HL15" s="57" t="str">
        <f t="shared" si="10"/>
        <v/>
      </c>
      <c r="HM15" s="57" t="str">
        <f t="shared" si="10"/>
        <v/>
      </c>
      <c r="HN15" s="57" t="str">
        <f t="shared" si="10"/>
        <v/>
      </c>
      <c r="HO15" s="57" t="str">
        <f t="shared" si="10"/>
        <v/>
      </c>
      <c r="HP15" s="57" t="str">
        <f t="shared" si="10"/>
        <v/>
      </c>
      <c r="HQ15" s="57" t="str">
        <f t="shared" si="10"/>
        <v/>
      </c>
      <c r="HR15" s="123" t="str">
        <f t="shared" si="10"/>
        <v/>
      </c>
    </row>
    <row r="16" spans="1:226" ht="11.15" customHeight="1" x14ac:dyDescent="0.25">
      <c r="A16" s="32"/>
      <c r="B16" s="33"/>
      <c r="C16" s="34" t="str">
        <f>IF(A16=0,"",VLOOKUP(A16,[3]CO!$A$3:$F$5311,2,0))</f>
        <v/>
      </c>
      <c r="D16" s="35"/>
      <c r="E16" s="35"/>
      <c r="F16" s="35"/>
      <c r="G16" s="36" t="str">
        <f>IF(A16=0,"",VLOOKUP(A16,[3]CO!$A$3:$F$5311,3,0))</f>
        <v/>
      </c>
      <c r="H16" s="35"/>
      <c r="I16" s="37"/>
      <c r="J16" s="37"/>
      <c r="K16" s="37"/>
      <c r="L16" s="37"/>
      <c r="M16" s="38" t="str">
        <f t="shared" si="4"/>
        <v/>
      </c>
      <c r="N16" s="38" t="str">
        <f>IF(B16=0,"",IF(H16="M",HLOOKUP(B16,$Y$12:$DT$13,2),IF(A16=0,"",VLOOKUP(A16,[3]CO!$A$3:$F$5311,4,0))))</f>
        <v/>
      </c>
      <c r="O16" s="38" t="str">
        <f t="shared" si="11"/>
        <v/>
      </c>
      <c r="P16" s="39"/>
      <c r="Q16" s="40" t="str">
        <f t="shared" si="5"/>
        <v/>
      </c>
      <c r="R16" s="41" t="str">
        <f t="shared" si="6"/>
        <v/>
      </c>
      <c r="S16" s="131"/>
      <c r="T16" s="60" t="str">
        <f>IF(A16=0,"",VLOOKUP(A16,[3]CO!$A$3:$F$5302,5,0))</f>
        <v/>
      </c>
      <c r="U16" s="61">
        <f t="shared" si="12"/>
        <v>0</v>
      </c>
      <c r="V16" s="30"/>
      <c r="W16" s="31"/>
      <c r="X16" s="31"/>
      <c r="Y16" s="71" t="str">
        <f t="shared" si="7"/>
        <v/>
      </c>
      <c r="Z16" s="62" t="str">
        <f t="shared" si="7"/>
        <v/>
      </c>
      <c r="AA16" s="62" t="str">
        <f t="shared" si="7"/>
        <v/>
      </c>
      <c r="AB16" s="62" t="str">
        <f t="shared" si="7"/>
        <v/>
      </c>
      <c r="AC16" s="62" t="str">
        <f t="shared" si="7"/>
        <v/>
      </c>
      <c r="AD16" s="62" t="str">
        <f t="shared" si="7"/>
        <v/>
      </c>
      <c r="AE16" s="62" t="str">
        <f t="shared" si="7"/>
        <v/>
      </c>
      <c r="AF16" s="62" t="str">
        <f t="shared" si="7"/>
        <v/>
      </c>
      <c r="AG16" s="62" t="str">
        <f t="shared" si="7"/>
        <v/>
      </c>
      <c r="AH16" s="62" t="str">
        <f t="shared" si="7"/>
        <v/>
      </c>
      <c r="AI16" s="62" t="str">
        <f t="shared" si="7"/>
        <v/>
      </c>
      <c r="AJ16" s="62" t="str">
        <f t="shared" si="7"/>
        <v/>
      </c>
      <c r="AK16" s="62" t="str">
        <f t="shared" si="7"/>
        <v/>
      </c>
      <c r="AL16" s="62" t="str">
        <f t="shared" si="7"/>
        <v/>
      </c>
      <c r="AM16" s="62" t="str">
        <f t="shared" si="7"/>
        <v/>
      </c>
      <c r="AN16" s="62" t="str">
        <f t="shared" si="7"/>
        <v/>
      </c>
      <c r="AO16" s="62" t="str">
        <f t="shared" si="7"/>
        <v/>
      </c>
      <c r="AP16" s="62" t="str">
        <f t="shared" si="7"/>
        <v/>
      </c>
      <c r="AQ16" s="62" t="str">
        <f t="shared" si="7"/>
        <v/>
      </c>
      <c r="AR16" s="62" t="str">
        <f t="shared" si="7"/>
        <v/>
      </c>
      <c r="AS16" s="62" t="str">
        <f t="shared" si="7"/>
        <v/>
      </c>
      <c r="AT16" s="62" t="str">
        <f t="shared" si="7"/>
        <v/>
      </c>
      <c r="AU16" s="62" t="str">
        <f t="shared" si="7"/>
        <v/>
      </c>
      <c r="AV16" s="62" t="str">
        <f t="shared" si="7"/>
        <v/>
      </c>
      <c r="AW16" s="62" t="str">
        <f t="shared" si="7"/>
        <v/>
      </c>
      <c r="AX16" s="62" t="str">
        <f t="shared" si="7"/>
        <v/>
      </c>
      <c r="AY16" s="62" t="str">
        <f t="shared" si="7"/>
        <v/>
      </c>
      <c r="AZ16" s="62" t="str">
        <f t="shared" si="7"/>
        <v/>
      </c>
      <c r="BA16" s="62" t="str">
        <f t="shared" si="7"/>
        <v/>
      </c>
      <c r="BB16" s="62" t="str">
        <f t="shared" si="7"/>
        <v/>
      </c>
      <c r="BC16" s="62" t="str">
        <f t="shared" si="7"/>
        <v/>
      </c>
      <c r="BD16" s="62" t="str">
        <f t="shared" si="7"/>
        <v/>
      </c>
      <c r="BE16" s="62" t="str">
        <f t="shared" si="7"/>
        <v/>
      </c>
      <c r="BF16" s="62" t="str">
        <f t="shared" si="7"/>
        <v/>
      </c>
      <c r="BG16" s="62" t="str">
        <f t="shared" si="7"/>
        <v/>
      </c>
      <c r="BH16" s="62" t="str">
        <f t="shared" si="7"/>
        <v/>
      </c>
      <c r="BI16" s="62" t="str">
        <f t="shared" si="7"/>
        <v/>
      </c>
      <c r="BJ16" s="62" t="str">
        <f t="shared" si="7"/>
        <v/>
      </c>
      <c r="BK16" s="62" t="str">
        <f t="shared" si="7"/>
        <v/>
      </c>
      <c r="BL16" s="62" t="str">
        <f t="shared" si="7"/>
        <v/>
      </c>
      <c r="BM16" s="62" t="str">
        <f t="shared" si="7"/>
        <v/>
      </c>
      <c r="BN16" s="62" t="str">
        <f t="shared" si="7"/>
        <v/>
      </c>
      <c r="BO16" s="62" t="str">
        <f t="shared" si="7"/>
        <v/>
      </c>
      <c r="BP16" s="62" t="str">
        <f t="shared" si="7"/>
        <v/>
      </c>
      <c r="BQ16" s="62" t="str">
        <f t="shared" si="7"/>
        <v/>
      </c>
      <c r="BR16" s="62" t="str">
        <f t="shared" si="7"/>
        <v/>
      </c>
      <c r="BS16" s="62" t="str">
        <f t="shared" si="7"/>
        <v/>
      </c>
      <c r="BT16" s="62" t="str">
        <f t="shared" si="7"/>
        <v/>
      </c>
      <c r="BU16" s="62" t="str">
        <f t="shared" si="7"/>
        <v/>
      </c>
      <c r="BV16" s="62" t="str">
        <f t="shared" si="7"/>
        <v/>
      </c>
      <c r="BW16" s="62" t="str">
        <f t="shared" si="7"/>
        <v/>
      </c>
      <c r="BX16" s="62" t="str">
        <f t="shared" si="7"/>
        <v/>
      </c>
      <c r="BY16" s="62" t="str">
        <f t="shared" si="7"/>
        <v/>
      </c>
      <c r="BZ16" s="62" t="str">
        <f t="shared" si="7"/>
        <v/>
      </c>
      <c r="CA16" s="62" t="str">
        <f t="shared" si="7"/>
        <v/>
      </c>
      <c r="CB16" s="62" t="str">
        <f t="shared" si="7"/>
        <v/>
      </c>
      <c r="CC16" s="62" t="str">
        <f t="shared" si="7"/>
        <v/>
      </c>
      <c r="CD16" s="62" t="str">
        <f t="shared" si="7"/>
        <v/>
      </c>
      <c r="CE16" s="62" t="str">
        <f t="shared" si="7"/>
        <v/>
      </c>
      <c r="CF16" s="62" t="str">
        <f t="shared" si="7"/>
        <v/>
      </c>
      <c r="CG16" s="62" t="str">
        <f t="shared" si="7"/>
        <v/>
      </c>
      <c r="CH16" s="62" t="str">
        <f t="shared" si="7"/>
        <v/>
      </c>
      <c r="CI16" s="62" t="str">
        <f t="shared" si="7"/>
        <v/>
      </c>
      <c r="CJ16" s="62" t="str">
        <f t="shared" si="7"/>
        <v/>
      </c>
      <c r="CK16" s="62" t="str">
        <f t="shared" si="8"/>
        <v/>
      </c>
      <c r="CL16" s="62" t="str">
        <f t="shared" si="8"/>
        <v/>
      </c>
      <c r="CM16" s="62" t="str">
        <f t="shared" si="8"/>
        <v/>
      </c>
      <c r="CN16" s="62" t="str">
        <f t="shared" si="8"/>
        <v/>
      </c>
      <c r="CO16" s="62" t="str">
        <f t="shared" si="8"/>
        <v/>
      </c>
      <c r="CP16" s="62" t="str">
        <f t="shared" si="8"/>
        <v/>
      </c>
      <c r="CQ16" s="62" t="str">
        <f t="shared" si="8"/>
        <v/>
      </c>
      <c r="CR16" s="62" t="str">
        <f t="shared" si="8"/>
        <v/>
      </c>
      <c r="CS16" s="62" t="str">
        <f t="shared" si="8"/>
        <v/>
      </c>
      <c r="CT16" s="62" t="str">
        <f t="shared" si="8"/>
        <v/>
      </c>
      <c r="CU16" s="62" t="str">
        <f t="shared" si="8"/>
        <v/>
      </c>
      <c r="CV16" s="62" t="str">
        <f t="shared" si="8"/>
        <v/>
      </c>
      <c r="CW16" s="62" t="str">
        <f t="shared" si="8"/>
        <v/>
      </c>
      <c r="CX16" s="62" t="str">
        <f t="shared" si="8"/>
        <v/>
      </c>
      <c r="CY16" s="62" t="str">
        <f t="shared" si="8"/>
        <v/>
      </c>
      <c r="CZ16" s="62" t="str">
        <f t="shared" si="8"/>
        <v/>
      </c>
      <c r="DA16" s="62" t="str">
        <f t="shared" si="8"/>
        <v/>
      </c>
      <c r="DB16" s="62" t="str">
        <f t="shared" si="8"/>
        <v/>
      </c>
      <c r="DC16" s="62" t="str">
        <f t="shared" si="8"/>
        <v/>
      </c>
      <c r="DD16" s="62" t="str">
        <f t="shared" si="8"/>
        <v/>
      </c>
      <c r="DE16" s="62" t="str">
        <f t="shared" si="8"/>
        <v/>
      </c>
      <c r="DF16" s="62" t="str">
        <f t="shared" si="8"/>
        <v/>
      </c>
      <c r="DG16" s="62" t="str">
        <f t="shared" si="8"/>
        <v/>
      </c>
      <c r="DH16" s="62" t="str">
        <f t="shared" si="8"/>
        <v/>
      </c>
      <c r="DI16" s="62" t="str">
        <f t="shared" si="8"/>
        <v/>
      </c>
      <c r="DJ16" s="62" t="str">
        <f t="shared" si="8"/>
        <v/>
      </c>
      <c r="DK16" s="62" t="str">
        <f t="shared" si="8"/>
        <v/>
      </c>
      <c r="DL16" s="62" t="str">
        <f t="shared" si="8"/>
        <v/>
      </c>
      <c r="DM16" s="62" t="str">
        <f t="shared" si="8"/>
        <v/>
      </c>
      <c r="DN16" s="62" t="str">
        <f t="shared" si="8"/>
        <v/>
      </c>
      <c r="DO16" s="62" t="str">
        <f t="shared" si="8"/>
        <v/>
      </c>
      <c r="DP16" s="62" t="str">
        <f t="shared" si="8"/>
        <v/>
      </c>
      <c r="DQ16" s="62" t="str">
        <f t="shared" si="8"/>
        <v/>
      </c>
      <c r="DR16" s="62" t="str">
        <f t="shared" si="8"/>
        <v/>
      </c>
      <c r="DS16" s="62" t="str">
        <f t="shared" si="8"/>
        <v/>
      </c>
      <c r="DT16" s="117" t="str">
        <f t="shared" si="8"/>
        <v/>
      </c>
      <c r="DU16" s="61"/>
      <c r="DV16" s="31"/>
      <c r="DW16" s="68" t="str">
        <f t="shared" si="9"/>
        <v/>
      </c>
      <c r="DX16" s="57" t="str">
        <f t="shared" si="9"/>
        <v/>
      </c>
      <c r="DY16" s="57" t="str">
        <f t="shared" si="9"/>
        <v/>
      </c>
      <c r="DZ16" s="57" t="str">
        <f t="shared" si="9"/>
        <v/>
      </c>
      <c r="EA16" s="57" t="str">
        <f t="shared" si="9"/>
        <v/>
      </c>
      <c r="EB16" s="57" t="str">
        <f t="shared" si="9"/>
        <v/>
      </c>
      <c r="EC16" s="57" t="str">
        <f t="shared" si="9"/>
        <v/>
      </c>
      <c r="ED16" s="57" t="str">
        <f t="shared" si="9"/>
        <v/>
      </c>
      <c r="EE16" s="57" t="str">
        <f t="shared" si="9"/>
        <v/>
      </c>
      <c r="EF16" s="57" t="str">
        <f t="shared" si="9"/>
        <v/>
      </c>
      <c r="EG16" s="57" t="str">
        <f t="shared" si="9"/>
        <v/>
      </c>
      <c r="EH16" s="57" t="str">
        <f t="shared" si="9"/>
        <v/>
      </c>
      <c r="EI16" s="57" t="str">
        <f t="shared" si="9"/>
        <v/>
      </c>
      <c r="EJ16" s="57" t="str">
        <f t="shared" si="9"/>
        <v/>
      </c>
      <c r="EK16" s="57" t="str">
        <f t="shared" si="9"/>
        <v/>
      </c>
      <c r="EL16" s="57" t="str">
        <f t="shared" si="9"/>
        <v/>
      </c>
      <c r="EM16" s="57" t="str">
        <f t="shared" si="9"/>
        <v/>
      </c>
      <c r="EN16" s="57" t="str">
        <f t="shared" si="9"/>
        <v/>
      </c>
      <c r="EO16" s="57" t="str">
        <f t="shared" si="9"/>
        <v/>
      </c>
      <c r="EP16" s="57" t="str">
        <f t="shared" si="9"/>
        <v/>
      </c>
      <c r="EQ16" s="57" t="str">
        <f t="shared" si="9"/>
        <v/>
      </c>
      <c r="ER16" s="57" t="str">
        <f t="shared" si="9"/>
        <v/>
      </c>
      <c r="ES16" s="57" t="str">
        <f t="shared" si="9"/>
        <v/>
      </c>
      <c r="ET16" s="57" t="str">
        <f t="shared" si="9"/>
        <v/>
      </c>
      <c r="EU16" s="57" t="str">
        <f t="shared" si="9"/>
        <v/>
      </c>
      <c r="EV16" s="57" t="str">
        <f t="shared" si="9"/>
        <v/>
      </c>
      <c r="EW16" s="57" t="str">
        <f t="shared" si="9"/>
        <v/>
      </c>
      <c r="EX16" s="57" t="str">
        <f t="shared" si="9"/>
        <v/>
      </c>
      <c r="EY16" s="57" t="str">
        <f t="shared" si="9"/>
        <v/>
      </c>
      <c r="EZ16" s="57" t="str">
        <f t="shared" si="9"/>
        <v/>
      </c>
      <c r="FA16" s="57" t="str">
        <f t="shared" si="9"/>
        <v/>
      </c>
      <c r="FB16" s="57" t="str">
        <f t="shared" si="9"/>
        <v/>
      </c>
      <c r="FC16" s="57" t="str">
        <f t="shared" si="9"/>
        <v/>
      </c>
      <c r="FD16" s="57" t="str">
        <f t="shared" si="9"/>
        <v/>
      </c>
      <c r="FE16" s="57" t="str">
        <f t="shared" si="9"/>
        <v/>
      </c>
      <c r="FF16" s="57" t="str">
        <f t="shared" si="9"/>
        <v/>
      </c>
      <c r="FG16" s="57" t="str">
        <f t="shared" si="9"/>
        <v/>
      </c>
      <c r="FH16" s="57" t="str">
        <f t="shared" si="9"/>
        <v/>
      </c>
      <c r="FI16" s="57" t="str">
        <f t="shared" si="9"/>
        <v/>
      </c>
      <c r="FJ16" s="57" t="str">
        <f t="shared" si="9"/>
        <v/>
      </c>
      <c r="FK16" s="57" t="str">
        <f t="shared" si="9"/>
        <v/>
      </c>
      <c r="FL16" s="57" t="str">
        <f t="shared" si="9"/>
        <v/>
      </c>
      <c r="FM16" s="57" t="str">
        <f t="shared" si="9"/>
        <v/>
      </c>
      <c r="FN16" s="57" t="str">
        <f t="shared" si="9"/>
        <v/>
      </c>
      <c r="FO16" s="57" t="str">
        <f t="shared" si="9"/>
        <v/>
      </c>
      <c r="FP16" s="57" t="str">
        <f t="shared" si="9"/>
        <v/>
      </c>
      <c r="FQ16" s="57" t="str">
        <f t="shared" si="9"/>
        <v/>
      </c>
      <c r="FR16" s="57" t="str">
        <f t="shared" si="9"/>
        <v/>
      </c>
      <c r="FS16" s="57" t="str">
        <f t="shared" si="9"/>
        <v/>
      </c>
      <c r="FT16" s="57" t="str">
        <f t="shared" si="9"/>
        <v/>
      </c>
      <c r="FU16" s="57" t="str">
        <f t="shared" si="9"/>
        <v/>
      </c>
      <c r="FV16" s="57" t="str">
        <f t="shared" si="9"/>
        <v/>
      </c>
      <c r="FW16" s="57" t="str">
        <f t="shared" si="9"/>
        <v/>
      </c>
      <c r="FX16" s="57" t="str">
        <f t="shared" si="9"/>
        <v/>
      </c>
      <c r="FY16" s="57" t="str">
        <f t="shared" si="9"/>
        <v/>
      </c>
      <c r="FZ16" s="57" t="str">
        <f t="shared" si="9"/>
        <v/>
      </c>
      <c r="GA16" s="57" t="str">
        <f t="shared" si="9"/>
        <v/>
      </c>
      <c r="GB16" s="57" t="str">
        <f t="shared" si="9"/>
        <v/>
      </c>
      <c r="GC16" s="57" t="str">
        <f t="shared" si="9"/>
        <v/>
      </c>
      <c r="GD16" s="57" t="str">
        <f t="shared" si="9"/>
        <v/>
      </c>
      <c r="GE16" s="57" t="str">
        <f t="shared" si="9"/>
        <v/>
      </c>
      <c r="GF16" s="57" t="str">
        <f t="shared" si="9"/>
        <v/>
      </c>
      <c r="GG16" s="57" t="str">
        <f t="shared" si="9"/>
        <v/>
      </c>
      <c r="GH16" s="57" t="str">
        <f t="shared" si="9"/>
        <v/>
      </c>
      <c r="GI16" s="57" t="str">
        <f t="shared" si="10"/>
        <v/>
      </c>
      <c r="GJ16" s="57" t="str">
        <f t="shared" si="10"/>
        <v/>
      </c>
      <c r="GK16" s="57" t="str">
        <f t="shared" si="10"/>
        <v/>
      </c>
      <c r="GL16" s="57" t="str">
        <f t="shared" si="10"/>
        <v/>
      </c>
      <c r="GM16" s="57" t="str">
        <f t="shared" si="10"/>
        <v/>
      </c>
      <c r="GN16" s="57" t="str">
        <f t="shared" si="10"/>
        <v/>
      </c>
      <c r="GO16" s="57" t="str">
        <f t="shared" si="10"/>
        <v/>
      </c>
      <c r="GP16" s="57" t="str">
        <f t="shared" si="10"/>
        <v/>
      </c>
      <c r="GQ16" s="57" t="str">
        <f t="shared" si="10"/>
        <v/>
      </c>
      <c r="GR16" s="57" t="str">
        <f t="shared" si="10"/>
        <v/>
      </c>
      <c r="GS16" s="57" t="str">
        <f t="shared" si="10"/>
        <v/>
      </c>
      <c r="GT16" s="57" t="str">
        <f t="shared" si="10"/>
        <v/>
      </c>
      <c r="GU16" s="57" t="str">
        <f t="shared" si="10"/>
        <v/>
      </c>
      <c r="GV16" s="57" t="str">
        <f t="shared" si="10"/>
        <v/>
      </c>
      <c r="GW16" s="57" t="str">
        <f t="shared" si="10"/>
        <v/>
      </c>
      <c r="GX16" s="57" t="str">
        <f t="shared" si="10"/>
        <v/>
      </c>
      <c r="GY16" s="57" t="str">
        <f t="shared" si="10"/>
        <v/>
      </c>
      <c r="GZ16" s="57" t="str">
        <f t="shared" si="10"/>
        <v/>
      </c>
      <c r="HA16" s="57" t="str">
        <f t="shared" si="10"/>
        <v/>
      </c>
      <c r="HB16" s="57" t="str">
        <f t="shared" si="10"/>
        <v/>
      </c>
      <c r="HC16" s="57" t="str">
        <f t="shared" si="10"/>
        <v/>
      </c>
      <c r="HD16" s="57" t="str">
        <f t="shared" si="10"/>
        <v/>
      </c>
      <c r="HE16" s="57" t="str">
        <f t="shared" si="10"/>
        <v/>
      </c>
      <c r="HF16" s="57" t="str">
        <f t="shared" si="10"/>
        <v/>
      </c>
      <c r="HG16" s="57" t="str">
        <f t="shared" si="10"/>
        <v/>
      </c>
      <c r="HH16" s="57" t="str">
        <f t="shared" si="10"/>
        <v/>
      </c>
      <c r="HI16" s="57" t="str">
        <f t="shared" si="10"/>
        <v/>
      </c>
      <c r="HJ16" s="57" t="str">
        <f t="shared" si="10"/>
        <v/>
      </c>
      <c r="HK16" s="57" t="str">
        <f t="shared" si="10"/>
        <v/>
      </c>
      <c r="HL16" s="57" t="str">
        <f t="shared" si="10"/>
        <v/>
      </c>
      <c r="HM16" s="57" t="str">
        <f t="shared" si="10"/>
        <v/>
      </c>
      <c r="HN16" s="57" t="str">
        <f t="shared" si="10"/>
        <v/>
      </c>
      <c r="HO16" s="57" t="str">
        <f t="shared" si="10"/>
        <v/>
      </c>
      <c r="HP16" s="57" t="str">
        <f t="shared" si="10"/>
        <v/>
      </c>
      <c r="HQ16" s="57" t="str">
        <f t="shared" si="10"/>
        <v/>
      </c>
      <c r="HR16" s="123" t="str">
        <f t="shared" si="10"/>
        <v/>
      </c>
    </row>
    <row r="17" spans="1:226" ht="11.15" customHeight="1" x14ac:dyDescent="0.25">
      <c r="A17" s="32"/>
      <c r="B17" s="33"/>
      <c r="C17" s="34" t="str">
        <f>IF(A17=0,"",VLOOKUP(A17,[3]CO!$A$3:$F$5311,2,0))</f>
        <v/>
      </c>
      <c r="D17" s="35"/>
      <c r="E17" s="35"/>
      <c r="F17" s="35"/>
      <c r="G17" s="36" t="str">
        <f>IF(A17=0,"",VLOOKUP(A17,[3]CO!$A$3:$F$5311,3,0))</f>
        <v/>
      </c>
      <c r="H17" s="35"/>
      <c r="I17" s="37"/>
      <c r="J17" s="37"/>
      <c r="K17" s="37"/>
      <c r="L17" s="37"/>
      <c r="M17" s="38" t="str">
        <f t="shared" si="4"/>
        <v/>
      </c>
      <c r="N17" s="38" t="str">
        <f>IF(B17=0,"",IF(H17="M",HLOOKUP(B17,$Y$12:$DT$13,2),IF(A17=0,"",VLOOKUP(A17,[3]CO!$A$3:$F$5311,4,0))))</f>
        <v/>
      </c>
      <c r="O17" s="38" t="str">
        <f t="shared" si="11"/>
        <v/>
      </c>
      <c r="P17" s="39"/>
      <c r="Q17" s="40" t="str">
        <f t="shared" si="5"/>
        <v/>
      </c>
      <c r="R17" s="41" t="str">
        <f t="shared" si="6"/>
        <v/>
      </c>
      <c r="S17" s="131"/>
      <c r="T17" s="60" t="str">
        <f>IF(A17=0,"",VLOOKUP(A17,[3]CO!$A$3:$F$5302,5,0))</f>
        <v/>
      </c>
      <c r="U17" s="61">
        <f t="shared" si="12"/>
        <v>0</v>
      </c>
      <c r="V17" s="30"/>
      <c r="W17" s="31"/>
      <c r="X17" s="31"/>
      <c r="Y17" s="71" t="str">
        <f t="shared" si="7"/>
        <v/>
      </c>
      <c r="Z17" s="62" t="str">
        <f t="shared" si="7"/>
        <v/>
      </c>
      <c r="AA17" s="62" t="str">
        <f t="shared" si="7"/>
        <v/>
      </c>
      <c r="AB17" s="62" t="str">
        <f t="shared" si="7"/>
        <v/>
      </c>
      <c r="AC17" s="62" t="str">
        <f t="shared" si="7"/>
        <v/>
      </c>
      <c r="AD17" s="62" t="str">
        <f t="shared" si="7"/>
        <v/>
      </c>
      <c r="AE17" s="62" t="str">
        <f t="shared" si="7"/>
        <v/>
      </c>
      <c r="AF17" s="62" t="str">
        <f t="shared" si="7"/>
        <v/>
      </c>
      <c r="AG17" s="62" t="str">
        <f t="shared" si="7"/>
        <v/>
      </c>
      <c r="AH17" s="62" t="str">
        <f t="shared" si="7"/>
        <v/>
      </c>
      <c r="AI17" s="62" t="str">
        <f t="shared" si="7"/>
        <v/>
      </c>
      <c r="AJ17" s="62" t="str">
        <f t="shared" si="7"/>
        <v/>
      </c>
      <c r="AK17" s="62" t="str">
        <f t="shared" si="7"/>
        <v/>
      </c>
      <c r="AL17" s="62" t="str">
        <f t="shared" si="7"/>
        <v/>
      </c>
      <c r="AM17" s="62" t="str">
        <f t="shared" si="7"/>
        <v/>
      </c>
      <c r="AN17" s="62" t="str">
        <f t="shared" si="7"/>
        <v/>
      </c>
      <c r="AO17" s="62" t="str">
        <f t="shared" si="7"/>
        <v/>
      </c>
      <c r="AP17" s="62" t="str">
        <f t="shared" si="7"/>
        <v/>
      </c>
      <c r="AQ17" s="62" t="str">
        <f t="shared" si="7"/>
        <v/>
      </c>
      <c r="AR17" s="62" t="str">
        <f t="shared" si="7"/>
        <v/>
      </c>
      <c r="AS17" s="62" t="str">
        <f t="shared" si="7"/>
        <v/>
      </c>
      <c r="AT17" s="62" t="str">
        <f t="shared" si="7"/>
        <v/>
      </c>
      <c r="AU17" s="62" t="str">
        <f t="shared" si="7"/>
        <v/>
      </c>
      <c r="AV17" s="62" t="str">
        <f t="shared" si="7"/>
        <v/>
      </c>
      <c r="AW17" s="62" t="str">
        <f t="shared" si="7"/>
        <v/>
      </c>
      <c r="AX17" s="62" t="str">
        <f t="shared" si="7"/>
        <v/>
      </c>
      <c r="AY17" s="62" t="str">
        <f t="shared" si="7"/>
        <v/>
      </c>
      <c r="AZ17" s="62" t="str">
        <f t="shared" si="7"/>
        <v/>
      </c>
      <c r="BA17" s="62" t="str">
        <f t="shared" si="7"/>
        <v/>
      </c>
      <c r="BB17" s="62" t="str">
        <f t="shared" si="7"/>
        <v/>
      </c>
      <c r="BC17" s="62" t="str">
        <f t="shared" si="7"/>
        <v/>
      </c>
      <c r="BD17" s="62" t="str">
        <f t="shared" si="7"/>
        <v/>
      </c>
      <c r="BE17" s="62" t="str">
        <f t="shared" si="7"/>
        <v/>
      </c>
      <c r="BF17" s="62" t="str">
        <f t="shared" si="7"/>
        <v/>
      </c>
      <c r="BG17" s="62" t="str">
        <f t="shared" si="7"/>
        <v/>
      </c>
      <c r="BH17" s="62" t="str">
        <f t="shared" si="7"/>
        <v/>
      </c>
      <c r="BI17" s="62" t="str">
        <f t="shared" si="7"/>
        <v/>
      </c>
      <c r="BJ17" s="62" t="str">
        <f t="shared" si="7"/>
        <v/>
      </c>
      <c r="BK17" s="62" t="str">
        <f t="shared" si="7"/>
        <v/>
      </c>
      <c r="BL17" s="62" t="str">
        <f t="shared" si="7"/>
        <v/>
      </c>
      <c r="BM17" s="62" t="str">
        <f t="shared" si="7"/>
        <v/>
      </c>
      <c r="BN17" s="62" t="str">
        <f t="shared" si="7"/>
        <v/>
      </c>
      <c r="BO17" s="62" t="str">
        <f t="shared" si="7"/>
        <v/>
      </c>
      <c r="BP17" s="62" t="str">
        <f t="shared" si="7"/>
        <v/>
      </c>
      <c r="BQ17" s="62" t="str">
        <f t="shared" si="7"/>
        <v/>
      </c>
      <c r="BR17" s="62" t="str">
        <f t="shared" si="7"/>
        <v/>
      </c>
      <c r="BS17" s="62" t="str">
        <f t="shared" si="7"/>
        <v/>
      </c>
      <c r="BT17" s="62" t="str">
        <f t="shared" si="7"/>
        <v/>
      </c>
      <c r="BU17" s="62" t="str">
        <f t="shared" si="7"/>
        <v/>
      </c>
      <c r="BV17" s="62" t="str">
        <f t="shared" si="7"/>
        <v/>
      </c>
      <c r="BW17" s="62" t="str">
        <f t="shared" si="7"/>
        <v/>
      </c>
      <c r="BX17" s="62" t="str">
        <f t="shared" si="7"/>
        <v/>
      </c>
      <c r="BY17" s="62" t="str">
        <f t="shared" si="7"/>
        <v/>
      </c>
      <c r="BZ17" s="62" t="str">
        <f t="shared" si="7"/>
        <v/>
      </c>
      <c r="CA17" s="62" t="str">
        <f t="shared" si="7"/>
        <v/>
      </c>
      <c r="CB17" s="62" t="str">
        <f t="shared" si="7"/>
        <v/>
      </c>
      <c r="CC17" s="62" t="str">
        <f t="shared" si="7"/>
        <v/>
      </c>
      <c r="CD17" s="62" t="str">
        <f t="shared" si="7"/>
        <v/>
      </c>
      <c r="CE17" s="62" t="str">
        <f t="shared" si="7"/>
        <v/>
      </c>
      <c r="CF17" s="62" t="str">
        <f t="shared" si="7"/>
        <v/>
      </c>
      <c r="CG17" s="62" t="str">
        <f t="shared" si="7"/>
        <v/>
      </c>
      <c r="CH17" s="62" t="str">
        <f t="shared" si="7"/>
        <v/>
      </c>
      <c r="CI17" s="62" t="str">
        <f t="shared" si="7"/>
        <v/>
      </c>
      <c r="CJ17" s="62" t="str">
        <f t="shared" ref="CJ17:CY29" si="13">IF($B17=CJ$12,$U17,"")</f>
        <v/>
      </c>
      <c r="CK17" s="62" t="str">
        <f t="shared" si="13"/>
        <v/>
      </c>
      <c r="CL17" s="62" t="str">
        <f t="shared" si="13"/>
        <v/>
      </c>
      <c r="CM17" s="62" t="str">
        <f t="shared" si="13"/>
        <v/>
      </c>
      <c r="CN17" s="62" t="str">
        <f t="shared" si="13"/>
        <v/>
      </c>
      <c r="CO17" s="62" t="str">
        <f t="shared" si="13"/>
        <v/>
      </c>
      <c r="CP17" s="62" t="str">
        <f t="shared" si="13"/>
        <v/>
      </c>
      <c r="CQ17" s="62" t="str">
        <f t="shared" si="13"/>
        <v/>
      </c>
      <c r="CR17" s="62" t="str">
        <f t="shared" si="13"/>
        <v/>
      </c>
      <c r="CS17" s="62" t="str">
        <f t="shared" si="13"/>
        <v/>
      </c>
      <c r="CT17" s="62" t="str">
        <f t="shared" si="13"/>
        <v/>
      </c>
      <c r="CU17" s="62" t="str">
        <f t="shared" si="13"/>
        <v/>
      </c>
      <c r="CV17" s="62" t="str">
        <f t="shared" si="13"/>
        <v/>
      </c>
      <c r="CW17" s="62" t="str">
        <f t="shared" si="13"/>
        <v/>
      </c>
      <c r="CX17" s="62" t="str">
        <f t="shared" si="13"/>
        <v/>
      </c>
      <c r="CY17" s="62" t="str">
        <f t="shared" si="13"/>
        <v/>
      </c>
      <c r="CZ17" s="62" t="str">
        <f t="shared" si="8"/>
        <v/>
      </c>
      <c r="DA17" s="62" t="str">
        <f t="shared" si="8"/>
        <v/>
      </c>
      <c r="DB17" s="62" t="str">
        <f t="shared" si="8"/>
        <v/>
      </c>
      <c r="DC17" s="62" t="str">
        <f t="shared" si="8"/>
        <v/>
      </c>
      <c r="DD17" s="62" t="str">
        <f t="shared" si="8"/>
        <v/>
      </c>
      <c r="DE17" s="62" t="str">
        <f t="shared" si="8"/>
        <v/>
      </c>
      <c r="DF17" s="62" t="str">
        <f t="shared" si="8"/>
        <v/>
      </c>
      <c r="DG17" s="62" t="str">
        <f t="shared" si="8"/>
        <v/>
      </c>
      <c r="DH17" s="62" t="str">
        <f t="shared" si="8"/>
        <v/>
      </c>
      <c r="DI17" s="62" t="str">
        <f t="shared" si="8"/>
        <v/>
      </c>
      <c r="DJ17" s="62" t="str">
        <f t="shared" si="8"/>
        <v/>
      </c>
      <c r="DK17" s="62" t="str">
        <f t="shared" si="8"/>
        <v/>
      </c>
      <c r="DL17" s="62" t="str">
        <f t="shared" si="8"/>
        <v/>
      </c>
      <c r="DM17" s="62" t="str">
        <f t="shared" si="8"/>
        <v/>
      </c>
      <c r="DN17" s="62" t="str">
        <f t="shared" si="8"/>
        <v/>
      </c>
      <c r="DO17" s="62" t="str">
        <f t="shared" si="8"/>
        <v/>
      </c>
      <c r="DP17" s="62" t="str">
        <f t="shared" si="8"/>
        <v/>
      </c>
      <c r="DQ17" s="62" t="str">
        <f t="shared" si="8"/>
        <v/>
      </c>
      <c r="DR17" s="62" t="str">
        <f t="shared" si="8"/>
        <v/>
      </c>
      <c r="DS17" s="62" t="str">
        <f t="shared" si="8"/>
        <v/>
      </c>
      <c r="DT17" s="117" t="str">
        <f t="shared" si="8"/>
        <v/>
      </c>
      <c r="DU17" s="61"/>
      <c r="DV17" s="31"/>
      <c r="DW17" s="68" t="str">
        <f t="shared" si="9"/>
        <v/>
      </c>
      <c r="DX17" s="57" t="str">
        <f t="shared" si="9"/>
        <v/>
      </c>
      <c r="DY17" s="57" t="str">
        <f t="shared" si="9"/>
        <v/>
      </c>
      <c r="DZ17" s="57" t="str">
        <f t="shared" si="9"/>
        <v/>
      </c>
      <c r="EA17" s="57" t="str">
        <f t="shared" si="9"/>
        <v/>
      </c>
      <c r="EB17" s="57" t="str">
        <f t="shared" si="9"/>
        <v/>
      </c>
      <c r="EC17" s="57" t="str">
        <f t="shared" si="9"/>
        <v/>
      </c>
      <c r="ED17" s="57" t="str">
        <f t="shared" si="9"/>
        <v/>
      </c>
      <c r="EE17" s="57" t="str">
        <f t="shared" si="9"/>
        <v/>
      </c>
      <c r="EF17" s="57" t="str">
        <f t="shared" si="9"/>
        <v/>
      </c>
      <c r="EG17" s="57" t="str">
        <f t="shared" si="9"/>
        <v/>
      </c>
      <c r="EH17" s="57" t="str">
        <f t="shared" si="9"/>
        <v/>
      </c>
      <c r="EI17" s="57" t="str">
        <f t="shared" si="9"/>
        <v/>
      </c>
      <c r="EJ17" s="57" t="str">
        <f t="shared" si="9"/>
        <v/>
      </c>
      <c r="EK17" s="57" t="str">
        <f t="shared" si="9"/>
        <v/>
      </c>
      <c r="EL17" s="57" t="str">
        <f t="shared" si="9"/>
        <v/>
      </c>
      <c r="EM17" s="57" t="str">
        <f t="shared" si="9"/>
        <v/>
      </c>
      <c r="EN17" s="57" t="str">
        <f t="shared" si="9"/>
        <v/>
      </c>
      <c r="EO17" s="57" t="str">
        <f t="shared" si="9"/>
        <v/>
      </c>
      <c r="EP17" s="57" t="str">
        <f t="shared" si="9"/>
        <v/>
      </c>
      <c r="EQ17" s="57" t="str">
        <f t="shared" si="9"/>
        <v/>
      </c>
      <c r="ER17" s="57" t="str">
        <f t="shared" si="9"/>
        <v/>
      </c>
      <c r="ES17" s="57" t="str">
        <f t="shared" si="9"/>
        <v/>
      </c>
      <c r="ET17" s="57" t="str">
        <f t="shared" si="9"/>
        <v/>
      </c>
      <c r="EU17" s="57" t="str">
        <f t="shared" si="9"/>
        <v/>
      </c>
      <c r="EV17" s="57" t="str">
        <f t="shared" si="9"/>
        <v/>
      </c>
      <c r="EW17" s="57" t="str">
        <f t="shared" si="9"/>
        <v/>
      </c>
      <c r="EX17" s="57" t="str">
        <f t="shared" si="9"/>
        <v/>
      </c>
      <c r="EY17" s="57" t="str">
        <f t="shared" si="9"/>
        <v/>
      </c>
      <c r="EZ17" s="57" t="str">
        <f t="shared" si="9"/>
        <v/>
      </c>
      <c r="FA17" s="57" t="str">
        <f t="shared" si="9"/>
        <v/>
      </c>
      <c r="FB17" s="57" t="str">
        <f t="shared" si="9"/>
        <v/>
      </c>
      <c r="FC17" s="57" t="str">
        <f t="shared" si="9"/>
        <v/>
      </c>
      <c r="FD17" s="57" t="str">
        <f t="shared" si="9"/>
        <v/>
      </c>
      <c r="FE17" s="57" t="str">
        <f t="shared" si="9"/>
        <v/>
      </c>
      <c r="FF17" s="57" t="str">
        <f t="shared" si="9"/>
        <v/>
      </c>
      <c r="FG17" s="57" t="str">
        <f t="shared" si="9"/>
        <v/>
      </c>
      <c r="FH17" s="57" t="str">
        <f t="shared" si="9"/>
        <v/>
      </c>
      <c r="FI17" s="57" t="str">
        <f t="shared" si="9"/>
        <v/>
      </c>
      <c r="FJ17" s="57" t="str">
        <f t="shared" si="9"/>
        <v/>
      </c>
      <c r="FK17" s="57" t="str">
        <f t="shared" si="9"/>
        <v/>
      </c>
      <c r="FL17" s="57" t="str">
        <f t="shared" si="9"/>
        <v/>
      </c>
      <c r="FM17" s="57" t="str">
        <f t="shared" si="9"/>
        <v/>
      </c>
      <c r="FN17" s="57" t="str">
        <f t="shared" si="9"/>
        <v/>
      </c>
      <c r="FO17" s="57" t="str">
        <f t="shared" si="9"/>
        <v/>
      </c>
      <c r="FP17" s="57" t="str">
        <f t="shared" si="9"/>
        <v/>
      </c>
      <c r="FQ17" s="57" t="str">
        <f t="shared" si="9"/>
        <v/>
      </c>
      <c r="FR17" s="57" t="str">
        <f t="shared" si="9"/>
        <v/>
      </c>
      <c r="FS17" s="57" t="str">
        <f t="shared" si="9"/>
        <v/>
      </c>
      <c r="FT17" s="57" t="str">
        <f t="shared" si="9"/>
        <v/>
      </c>
      <c r="FU17" s="57" t="str">
        <f t="shared" si="9"/>
        <v/>
      </c>
      <c r="FV17" s="57" t="str">
        <f t="shared" si="9"/>
        <v/>
      </c>
      <c r="FW17" s="57" t="str">
        <f t="shared" si="9"/>
        <v/>
      </c>
      <c r="FX17" s="57" t="str">
        <f t="shared" si="9"/>
        <v/>
      </c>
      <c r="FY17" s="57" t="str">
        <f t="shared" si="9"/>
        <v/>
      </c>
      <c r="FZ17" s="57" t="str">
        <f t="shared" si="9"/>
        <v/>
      </c>
      <c r="GA17" s="57" t="str">
        <f t="shared" si="9"/>
        <v/>
      </c>
      <c r="GB17" s="57" t="str">
        <f t="shared" si="9"/>
        <v/>
      </c>
      <c r="GC17" s="57" t="str">
        <f t="shared" si="9"/>
        <v/>
      </c>
      <c r="GD17" s="57" t="str">
        <f t="shared" si="9"/>
        <v/>
      </c>
      <c r="GE17" s="57" t="str">
        <f t="shared" si="9"/>
        <v/>
      </c>
      <c r="GF17" s="57" t="str">
        <f t="shared" si="9"/>
        <v/>
      </c>
      <c r="GG17" s="57" t="str">
        <f t="shared" si="9"/>
        <v/>
      </c>
      <c r="GH17" s="57" t="str">
        <f t="shared" ref="GH17:GK17" si="14">IF($B17=GH$12,$O17,"")</f>
        <v/>
      </c>
      <c r="GI17" s="57" t="str">
        <f t="shared" si="14"/>
        <v/>
      </c>
      <c r="GJ17" s="57" t="str">
        <f t="shared" si="14"/>
        <v/>
      </c>
      <c r="GK17" s="57" t="str">
        <f t="shared" si="14"/>
        <v/>
      </c>
      <c r="GL17" s="57" t="str">
        <f t="shared" si="10"/>
        <v/>
      </c>
      <c r="GM17" s="57" t="str">
        <f t="shared" si="10"/>
        <v/>
      </c>
      <c r="GN17" s="57" t="str">
        <f t="shared" si="10"/>
        <v/>
      </c>
      <c r="GO17" s="57" t="str">
        <f t="shared" si="10"/>
        <v/>
      </c>
      <c r="GP17" s="57" t="str">
        <f t="shared" si="10"/>
        <v/>
      </c>
      <c r="GQ17" s="57" t="str">
        <f t="shared" si="10"/>
        <v/>
      </c>
      <c r="GR17" s="57" t="str">
        <f t="shared" si="10"/>
        <v/>
      </c>
      <c r="GS17" s="57" t="str">
        <f t="shared" si="10"/>
        <v/>
      </c>
      <c r="GT17" s="57" t="str">
        <f t="shared" si="10"/>
        <v/>
      </c>
      <c r="GU17" s="57" t="str">
        <f t="shared" si="10"/>
        <v/>
      </c>
      <c r="GV17" s="57" t="str">
        <f t="shared" si="10"/>
        <v/>
      </c>
      <c r="GW17" s="57" t="str">
        <f t="shared" si="10"/>
        <v/>
      </c>
      <c r="GX17" s="57" t="str">
        <f t="shared" si="10"/>
        <v/>
      </c>
      <c r="GY17" s="57" t="str">
        <f t="shared" si="10"/>
        <v/>
      </c>
      <c r="GZ17" s="57" t="str">
        <f t="shared" si="10"/>
        <v/>
      </c>
      <c r="HA17" s="57" t="str">
        <f t="shared" si="10"/>
        <v/>
      </c>
      <c r="HB17" s="57" t="str">
        <f t="shared" si="10"/>
        <v/>
      </c>
      <c r="HC17" s="57" t="str">
        <f t="shared" si="10"/>
        <v/>
      </c>
      <c r="HD17" s="57" t="str">
        <f t="shared" si="10"/>
        <v/>
      </c>
      <c r="HE17" s="57" t="str">
        <f t="shared" si="10"/>
        <v/>
      </c>
      <c r="HF17" s="57" t="str">
        <f t="shared" si="10"/>
        <v/>
      </c>
      <c r="HG17" s="57" t="str">
        <f t="shared" si="10"/>
        <v/>
      </c>
      <c r="HH17" s="57" t="str">
        <f t="shared" si="10"/>
        <v/>
      </c>
      <c r="HI17" s="57" t="str">
        <f t="shared" si="10"/>
        <v/>
      </c>
      <c r="HJ17" s="57" t="str">
        <f t="shared" si="10"/>
        <v/>
      </c>
      <c r="HK17" s="57" t="str">
        <f t="shared" si="10"/>
        <v/>
      </c>
      <c r="HL17" s="57" t="str">
        <f t="shared" si="10"/>
        <v/>
      </c>
      <c r="HM17" s="57" t="str">
        <f t="shared" si="10"/>
        <v/>
      </c>
      <c r="HN17" s="57" t="str">
        <f t="shared" si="10"/>
        <v/>
      </c>
      <c r="HO17" s="57" t="str">
        <f t="shared" si="10"/>
        <v/>
      </c>
      <c r="HP17" s="57" t="str">
        <f t="shared" si="10"/>
        <v/>
      </c>
      <c r="HQ17" s="57" t="str">
        <f t="shared" si="10"/>
        <v/>
      </c>
      <c r="HR17" s="123" t="str">
        <f t="shared" si="10"/>
        <v/>
      </c>
    </row>
    <row r="18" spans="1:226" ht="11.15" customHeight="1" x14ac:dyDescent="0.25">
      <c r="A18" s="32"/>
      <c r="B18" s="33"/>
      <c r="C18" s="34" t="str">
        <f>IF(A18=0,"",VLOOKUP(A18,[3]CO!$A$3:$F$5311,2,0))</f>
        <v/>
      </c>
      <c r="D18" s="35"/>
      <c r="E18" s="35"/>
      <c r="F18" s="35"/>
      <c r="G18" s="36" t="str">
        <f>IF(A18=0,"",VLOOKUP(A18,[3]CO!$A$3:$F$5311,3,0))</f>
        <v/>
      </c>
      <c r="H18" s="35"/>
      <c r="I18" s="37"/>
      <c r="J18" s="37"/>
      <c r="K18" s="37"/>
      <c r="L18" s="37"/>
      <c r="M18" s="38" t="str">
        <f t="shared" si="4"/>
        <v/>
      </c>
      <c r="N18" s="38" t="str">
        <f>IF(B18=0,"",IF(H18="M",HLOOKUP(B18,$Y$12:$DT$13,2),IF(A18=0,"",VLOOKUP(A18,[3]CO!$A$3:$F$5311,4,0))))</f>
        <v/>
      </c>
      <c r="O18" s="38" t="str">
        <f t="shared" si="11"/>
        <v/>
      </c>
      <c r="P18" s="39"/>
      <c r="Q18" s="40" t="str">
        <f t="shared" si="5"/>
        <v/>
      </c>
      <c r="R18" s="41" t="str">
        <f t="shared" si="6"/>
        <v/>
      </c>
      <c r="S18" s="131"/>
      <c r="T18" s="60" t="str">
        <f>IF(A18=0,"",VLOOKUP(A18,[3]CO!$A$3:$F$5302,5,0))</f>
        <v/>
      </c>
      <c r="U18" s="61">
        <f t="shared" si="12"/>
        <v>0</v>
      </c>
      <c r="V18" s="30"/>
      <c r="W18" s="31"/>
      <c r="X18" s="31"/>
      <c r="Y18" s="71" t="str">
        <f t="shared" ref="Y18:AN29" si="15">IF($B18=Y$12,$U18,"")</f>
        <v/>
      </c>
      <c r="Z18" s="62" t="str">
        <f t="shared" si="15"/>
        <v/>
      </c>
      <c r="AA18" s="62" t="str">
        <f t="shared" si="15"/>
        <v/>
      </c>
      <c r="AB18" s="62" t="str">
        <f t="shared" si="15"/>
        <v/>
      </c>
      <c r="AC18" s="62" t="str">
        <f t="shared" si="15"/>
        <v/>
      </c>
      <c r="AD18" s="62" t="str">
        <f t="shared" si="15"/>
        <v/>
      </c>
      <c r="AE18" s="62" t="str">
        <f t="shared" si="15"/>
        <v/>
      </c>
      <c r="AF18" s="62" t="str">
        <f t="shared" si="15"/>
        <v/>
      </c>
      <c r="AG18" s="62" t="str">
        <f t="shared" si="15"/>
        <v/>
      </c>
      <c r="AH18" s="62" t="str">
        <f t="shared" si="15"/>
        <v/>
      </c>
      <c r="AI18" s="62" t="str">
        <f t="shared" si="15"/>
        <v/>
      </c>
      <c r="AJ18" s="62" t="str">
        <f t="shared" si="15"/>
        <v/>
      </c>
      <c r="AK18" s="62" t="str">
        <f t="shared" si="15"/>
        <v/>
      </c>
      <c r="AL18" s="62" t="str">
        <f t="shared" si="15"/>
        <v/>
      </c>
      <c r="AM18" s="62" t="str">
        <f t="shared" si="15"/>
        <v/>
      </c>
      <c r="AN18" s="62" t="str">
        <f t="shared" si="15"/>
        <v/>
      </c>
      <c r="AO18" s="62" t="str">
        <f t="shared" ref="AO18:BH29" si="16">IF($B18=AO$12,$U18,"")</f>
        <v/>
      </c>
      <c r="AP18" s="62" t="str">
        <f t="shared" si="16"/>
        <v/>
      </c>
      <c r="AQ18" s="62" t="str">
        <f t="shared" si="16"/>
        <v/>
      </c>
      <c r="AR18" s="62" t="str">
        <f t="shared" si="16"/>
        <v/>
      </c>
      <c r="AS18" s="62" t="str">
        <f t="shared" si="16"/>
        <v/>
      </c>
      <c r="AT18" s="62" t="str">
        <f t="shared" si="16"/>
        <v/>
      </c>
      <c r="AU18" s="62" t="str">
        <f t="shared" si="16"/>
        <v/>
      </c>
      <c r="AV18" s="62" t="str">
        <f t="shared" si="16"/>
        <v/>
      </c>
      <c r="AW18" s="62" t="str">
        <f t="shared" si="16"/>
        <v/>
      </c>
      <c r="AX18" s="62" t="str">
        <f t="shared" si="16"/>
        <v/>
      </c>
      <c r="AY18" s="62" t="str">
        <f t="shared" si="16"/>
        <v/>
      </c>
      <c r="AZ18" s="62" t="str">
        <f t="shared" si="16"/>
        <v/>
      </c>
      <c r="BA18" s="62" t="str">
        <f t="shared" si="16"/>
        <v/>
      </c>
      <c r="BB18" s="62" t="str">
        <f t="shared" si="16"/>
        <v/>
      </c>
      <c r="BC18" s="62" t="str">
        <f t="shared" si="16"/>
        <v/>
      </c>
      <c r="BD18" s="62" t="str">
        <f t="shared" si="16"/>
        <v/>
      </c>
      <c r="BE18" s="62" t="str">
        <f t="shared" si="16"/>
        <v/>
      </c>
      <c r="BF18" s="62" t="str">
        <f t="shared" si="16"/>
        <v/>
      </c>
      <c r="BG18" s="62" t="str">
        <f t="shared" si="16"/>
        <v/>
      </c>
      <c r="BH18" s="62" t="str">
        <f t="shared" si="16"/>
        <v/>
      </c>
      <c r="BI18" s="62" t="str">
        <f t="shared" ref="BI18:CI27" si="17">IF($B18=BI$12,$U18,"")</f>
        <v/>
      </c>
      <c r="BJ18" s="62" t="str">
        <f t="shared" si="17"/>
        <v/>
      </c>
      <c r="BK18" s="62" t="str">
        <f t="shared" si="17"/>
        <v/>
      </c>
      <c r="BL18" s="62" t="str">
        <f t="shared" si="17"/>
        <v/>
      </c>
      <c r="BM18" s="62" t="str">
        <f t="shared" si="17"/>
        <v/>
      </c>
      <c r="BN18" s="62" t="str">
        <f t="shared" si="17"/>
        <v/>
      </c>
      <c r="BO18" s="62" t="str">
        <f t="shared" si="17"/>
        <v/>
      </c>
      <c r="BP18" s="62" t="str">
        <f t="shared" si="17"/>
        <v/>
      </c>
      <c r="BQ18" s="62" t="str">
        <f t="shared" si="17"/>
        <v/>
      </c>
      <c r="BR18" s="62" t="str">
        <f t="shared" si="17"/>
        <v/>
      </c>
      <c r="BS18" s="62" t="str">
        <f t="shared" si="17"/>
        <v/>
      </c>
      <c r="BT18" s="62" t="str">
        <f t="shared" si="17"/>
        <v/>
      </c>
      <c r="BU18" s="62" t="str">
        <f t="shared" si="17"/>
        <v/>
      </c>
      <c r="BV18" s="62" t="str">
        <f t="shared" si="17"/>
        <v/>
      </c>
      <c r="BW18" s="62" t="str">
        <f t="shared" si="17"/>
        <v/>
      </c>
      <c r="BX18" s="62" t="str">
        <f t="shared" si="17"/>
        <v/>
      </c>
      <c r="BY18" s="62" t="str">
        <f t="shared" si="17"/>
        <v/>
      </c>
      <c r="BZ18" s="62" t="str">
        <f t="shared" si="17"/>
        <v/>
      </c>
      <c r="CA18" s="62" t="str">
        <f t="shared" si="17"/>
        <v/>
      </c>
      <c r="CB18" s="62" t="str">
        <f t="shared" si="17"/>
        <v/>
      </c>
      <c r="CC18" s="62" t="str">
        <f t="shared" si="17"/>
        <v/>
      </c>
      <c r="CD18" s="62" t="str">
        <f t="shared" si="17"/>
        <v/>
      </c>
      <c r="CE18" s="62" t="str">
        <f t="shared" si="17"/>
        <v/>
      </c>
      <c r="CF18" s="62" t="str">
        <f t="shared" si="17"/>
        <v/>
      </c>
      <c r="CG18" s="62" t="str">
        <f t="shared" si="17"/>
        <v/>
      </c>
      <c r="CH18" s="62" t="str">
        <f t="shared" si="17"/>
        <v/>
      </c>
      <c r="CI18" s="62" t="str">
        <f t="shared" si="17"/>
        <v/>
      </c>
      <c r="CJ18" s="62" t="str">
        <f t="shared" si="13"/>
        <v/>
      </c>
      <c r="CK18" s="62" t="str">
        <f t="shared" si="13"/>
        <v/>
      </c>
      <c r="CL18" s="62" t="str">
        <f t="shared" si="13"/>
        <v/>
      </c>
      <c r="CM18" s="62" t="str">
        <f t="shared" si="13"/>
        <v/>
      </c>
      <c r="CN18" s="62" t="str">
        <f t="shared" si="13"/>
        <v/>
      </c>
      <c r="CO18" s="62" t="str">
        <f t="shared" si="13"/>
        <v/>
      </c>
      <c r="CP18" s="62" t="str">
        <f t="shared" si="13"/>
        <v/>
      </c>
      <c r="CQ18" s="62" t="str">
        <f t="shared" si="13"/>
        <v/>
      </c>
      <c r="CR18" s="62" t="str">
        <f t="shared" si="13"/>
        <v/>
      </c>
      <c r="CS18" s="62" t="str">
        <f t="shared" si="13"/>
        <v/>
      </c>
      <c r="CT18" s="62" t="str">
        <f t="shared" si="13"/>
        <v/>
      </c>
      <c r="CU18" s="62" t="str">
        <f t="shared" si="13"/>
        <v/>
      </c>
      <c r="CV18" s="62" t="str">
        <f t="shared" si="13"/>
        <v/>
      </c>
      <c r="CW18" s="62" t="str">
        <f t="shared" si="13"/>
        <v/>
      </c>
      <c r="CX18" s="62" t="str">
        <f t="shared" si="13"/>
        <v/>
      </c>
      <c r="CY18" s="62" t="str">
        <f t="shared" si="13"/>
        <v/>
      </c>
      <c r="CZ18" s="62" t="str">
        <f t="shared" si="8"/>
        <v/>
      </c>
      <c r="DA18" s="62" t="str">
        <f t="shared" si="8"/>
        <v/>
      </c>
      <c r="DB18" s="62" t="str">
        <f t="shared" si="8"/>
        <v/>
      </c>
      <c r="DC18" s="62" t="str">
        <f t="shared" si="8"/>
        <v/>
      </c>
      <c r="DD18" s="62" t="str">
        <f t="shared" si="8"/>
        <v/>
      </c>
      <c r="DE18" s="62" t="str">
        <f t="shared" si="8"/>
        <v/>
      </c>
      <c r="DF18" s="62" t="str">
        <f t="shared" si="8"/>
        <v/>
      </c>
      <c r="DG18" s="62" t="str">
        <f t="shared" si="8"/>
        <v/>
      </c>
      <c r="DH18" s="62" t="str">
        <f t="shared" si="8"/>
        <v/>
      </c>
      <c r="DI18" s="62" t="str">
        <f t="shared" si="8"/>
        <v/>
      </c>
      <c r="DJ18" s="62" t="str">
        <f t="shared" si="8"/>
        <v/>
      </c>
      <c r="DK18" s="62" t="str">
        <f t="shared" si="8"/>
        <v/>
      </c>
      <c r="DL18" s="62" t="str">
        <f t="shared" si="8"/>
        <v/>
      </c>
      <c r="DM18" s="62" t="str">
        <f t="shared" si="8"/>
        <v/>
      </c>
      <c r="DN18" s="62" t="str">
        <f t="shared" si="8"/>
        <v/>
      </c>
      <c r="DO18" s="62" t="str">
        <f t="shared" si="8"/>
        <v/>
      </c>
      <c r="DP18" s="62" t="str">
        <f t="shared" si="8"/>
        <v/>
      </c>
      <c r="DQ18" s="62" t="str">
        <f t="shared" si="8"/>
        <v/>
      </c>
      <c r="DR18" s="62" t="str">
        <f t="shared" si="8"/>
        <v/>
      </c>
      <c r="DS18" s="62" t="str">
        <f t="shared" si="8"/>
        <v/>
      </c>
      <c r="DT18" s="117" t="str">
        <f t="shared" si="8"/>
        <v/>
      </c>
      <c r="DU18" s="61"/>
      <c r="DV18" s="31"/>
      <c r="DW18" s="68" t="str">
        <f t="shared" ref="DW18:EL29" si="18">IF($B18=DW$12,$O18,"")</f>
        <v/>
      </c>
      <c r="DX18" s="57" t="str">
        <f t="shared" si="18"/>
        <v/>
      </c>
      <c r="DY18" s="57" t="str">
        <f t="shared" si="18"/>
        <v/>
      </c>
      <c r="DZ18" s="57" t="str">
        <f t="shared" si="18"/>
        <v/>
      </c>
      <c r="EA18" s="57" t="str">
        <f t="shared" si="18"/>
        <v/>
      </c>
      <c r="EB18" s="57" t="str">
        <f t="shared" si="18"/>
        <v/>
      </c>
      <c r="EC18" s="57" t="str">
        <f t="shared" si="18"/>
        <v/>
      </c>
      <c r="ED18" s="57" t="str">
        <f t="shared" si="18"/>
        <v/>
      </c>
      <c r="EE18" s="57" t="str">
        <f t="shared" si="18"/>
        <v/>
      </c>
      <c r="EF18" s="57" t="str">
        <f t="shared" si="18"/>
        <v/>
      </c>
      <c r="EG18" s="57" t="str">
        <f t="shared" si="18"/>
        <v/>
      </c>
      <c r="EH18" s="57" t="str">
        <f t="shared" si="18"/>
        <v/>
      </c>
      <c r="EI18" s="57" t="str">
        <f t="shared" si="18"/>
        <v/>
      </c>
      <c r="EJ18" s="57" t="str">
        <f t="shared" si="18"/>
        <v/>
      </c>
      <c r="EK18" s="57" t="str">
        <f t="shared" si="18"/>
        <v/>
      </c>
      <c r="EL18" s="57" t="str">
        <f t="shared" si="18"/>
        <v/>
      </c>
      <c r="EM18" s="57" t="str">
        <f t="shared" ref="EM18:FB29" si="19">IF($B18=EM$12,$O18,"")</f>
        <v/>
      </c>
      <c r="EN18" s="57" t="str">
        <f t="shared" si="19"/>
        <v/>
      </c>
      <c r="EO18" s="57" t="str">
        <f t="shared" si="19"/>
        <v/>
      </c>
      <c r="EP18" s="57" t="str">
        <f t="shared" si="19"/>
        <v/>
      </c>
      <c r="EQ18" s="57" t="str">
        <f t="shared" si="19"/>
        <v/>
      </c>
      <c r="ER18" s="57" t="str">
        <f t="shared" si="19"/>
        <v/>
      </c>
      <c r="ES18" s="57" t="str">
        <f t="shared" si="19"/>
        <v/>
      </c>
      <c r="ET18" s="57" t="str">
        <f t="shared" si="19"/>
        <v/>
      </c>
      <c r="EU18" s="57" t="str">
        <f t="shared" si="19"/>
        <v/>
      </c>
      <c r="EV18" s="57" t="str">
        <f t="shared" si="19"/>
        <v/>
      </c>
      <c r="EW18" s="57" t="str">
        <f t="shared" si="19"/>
        <v/>
      </c>
      <c r="EX18" s="57" t="str">
        <f t="shared" si="19"/>
        <v/>
      </c>
      <c r="EY18" s="57" t="str">
        <f t="shared" si="19"/>
        <v/>
      </c>
      <c r="EZ18" s="57" t="str">
        <f t="shared" si="19"/>
        <v/>
      </c>
      <c r="FA18" s="57" t="str">
        <f t="shared" si="19"/>
        <v/>
      </c>
      <c r="FB18" s="57" t="str">
        <f t="shared" si="19"/>
        <v/>
      </c>
      <c r="FC18" s="57" t="str">
        <f t="shared" ref="FC18:GK25" si="20">IF($B18=FC$12,$O18,"")</f>
        <v/>
      </c>
      <c r="FD18" s="57" t="str">
        <f t="shared" si="20"/>
        <v/>
      </c>
      <c r="FE18" s="57" t="str">
        <f t="shared" si="20"/>
        <v/>
      </c>
      <c r="FF18" s="57" t="str">
        <f t="shared" si="20"/>
        <v/>
      </c>
      <c r="FG18" s="57" t="str">
        <f t="shared" si="20"/>
        <v/>
      </c>
      <c r="FH18" s="57" t="str">
        <f t="shared" si="20"/>
        <v/>
      </c>
      <c r="FI18" s="57" t="str">
        <f t="shared" si="20"/>
        <v/>
      </c>
      <c r="FJ18" s="57" t="str">
        <f t="shared" si="20"/>
        <v/>
      </c>
      <c r="FK18" s="57" t="str">
        <f t="shared" si="20"/>
        <v/>
      </c>
      <c r="FL18" s="57" t="str">
        <f t="shared" si="20"/>
        <v/>
      </c>
      <c r="FM18" s="57" t="str">
        <f t="shared" si="20"/>
        <v/>
      </c>
      <c r="FN18" s="57" t="str">
        <f t="shared" si="20"/>
        <v/>
      </c>
      <c r="FO18" s="57" t="str">
        <f t="shared" si="20"/>
        <v/>
      </c>
      <c r="FP18" s="57" t="str">
        <f t="shared" si="20"/>
        <v/>
      </c>
      <c r="FQ18" s="57" t="str">
        <f t="shared" si="20"/>
        <v/>
      </c>
      <c r="FR18" s="57" t="str">
        <f t="shared" si="20"/>
        <v/>
      </c>
      <c r="FS18" s="57" t="str">
        <f t="shared" si="20"/>
        <v/>
      </c>
      <c r="FT18" s="57" t="str">
        <f t="shared" si="20"/>
        <v/>
      </c>
      <c r="FU18" s="57" t="str">
        <f t="shared" si="20"/>
        <v/>
      </c>
      <c r="FV18" s="57" t="str">
        <f t="shared" si="20"/>
        <v/>
      </c>
      <c r="FW18" s="57" t="str">
        <f t="shared" si="20"/>
        <v/>
      </c>
      <c r="FX18" s="57" t="str">
        <f t="shared" si="20"/>
        <v/>
      </c>
      <c r="FY18" s="57" t="str">
        <f t="shared" si="20"/>
        <v/>
      </c>
      <c r="FZ18" s="57" t="str">
        <f t="shared" si="20"/>
        <v/>
      </c>
      <c r="GA18" s="57" t="str">
        <f t="shared" si="20"/>
        <v/>
      </c>
      <c r="GB18" s="57" t="str">
        <f t="shared" si="20"/>
        <v/>
      </c>
      <c r="GC18" s="57" t="str">
        <f t="shared" si="20"/>
        <v/>
      </c>
      <c r="GD18" s="57" t="str">
        <f t="shared" si="20"/>
        <v/>
      </c>
      <c r="GE18" s="57" t="str">
        <f t="shared" si="20"/>
        <v/>
      </c>
      <c r="GF18" s="57" t="str">
        <f t="shared" si="20"/>
        <v/>
      </c>
      <c r="GG18" s="57" t="str">
        <f t="shared" si="20"/>
        <v/>
      </c>
      <c r="GH18" s="57" t="str">
        <f t="shared" si="20"/>
        <v/>
      </c>
      <c r="GI18" s="57" t="str">
        <f t="shared" si="20"/>
        <v/>
      </c>
      <c r="GJ18" s="57" t="str">
        <f t="shared" si="20"/>
        <v/>
      </c>
      <c r="GK18" s="57" t="str">
        <f t="shared" si="20"/>
        <v/>
      </c>
      <c r="GL18" s="57" t="str">
        <f t="shared" si="10"/>
        <v/>
      </c>
      <c r="GM18" s="57" t="str">
        <f t="shared" si="10"/>
        <v/>
      </c>
      <c r="GN18" s="57" t="str">
        <f t="shared" si="10"/>
        <v/>
      </c>
      <c r="GO18" s="57" t="str">
        <f t="shared" si="10"/>
        <v/>
      </c>
      <c r="GP18" s="57" t="str">
        <f t="shared" si="10"/>
        <v/>
      </c>
      <c r="GQ18" s="57" t="str">
        <f t="shared" si="10"/>
        <v/>
      </c>
      <c r="GR18" s="57" t="str">
        <f t="shared" si="10"/>
        <v/>
      </c>
      <c r="GS18" s="57" t="str">
        <f t="shared" si="10"/>
        <v/>
      </c>
      <c r="GT18" s="57" t="str">
        <f t="shared" si="10"/>
        <v/>
      </c>
      <c r="GU18" s="57" t="str">
        <f t="shared" si="10"/>
        <v/>
      </c>
      <c r="GV18" s="57" t="str">
        <f t="shared" si="10"/>
        <v/>
      </c>
      <c r="GW18" s="57" t="str">
        <f t="shared" si="10"/>
        <v/>
      </c>
      <c r="GX18" s="57" t="str">
        <f t="shared" si="10"/>
        <v/>
      </c>
      <c r="GY18" s="57" t="str">
        <f t="shared" si="10"/>
        <v/>
      </c>
      <c r="GZ18" s="57" t="str">
        <f t="shared" si="10"/>
        <v/>
      </c>
      <c r="HA18" s="57" t="str">
        <f t="shared" si="10"/>
        <v/>
      </c>
      <c r="HB18" s="57" t="str">
        <f t="shared" si="10"/>
        <v/>
      </c>
      <c r="HC18" s="57" t="str">
        <f t="shared" si="10"/>
        <v/>
      </c>
      <c r="HD18" s="57" t="str">
        <f t="shared" si="10"/>
        <v/>
      </c>
      <c r="HE18" s="57" t="str">
        <f t="shared" si="10"/>
        <v/>
      </c>
      <c r="HF18" s="57" t="str">
        <f t="shared" si="10"/>
        <v/>
      </c>
      <c r="HG18" s="57" t="str">
        <f t="shared" si="10"/>
        <v/>
      </c>
      <c r="HH18" s="57" t="str">
        <f t="shared" si="10"/>
        <v/>
      </c>
      <c r="HI18" s="57" t="str">
        <f t="shared" si="10"/>
        <v/>
      </c>
      <c r="HJ18" s="57" t="str">
        <f t="shared" si="10"/>
        <v/>
      </c>
      <c r="HK18" s="57" t="str">
        <f t="shared" si="10"/>
        <v/>
      </c>
      <c r="HL18" s="57" t="str">
        <f t="shared" si="10"/>
        <v/>
      </c>
      <c r="HM18" s="57" t="str">
        <f t="shared" si="10"/>
        <v/>
      </c>
      <c r="HN18" s="57" t="str">
        <f t="shared" si="10"/>
        <v/>
      </c>
      <c r="HO18" s="57" t="str">
        <f t="shared" si="10"/>
        <v/>
      </c>
      <c r="HP18" s="57" t="str">
        <f t="shared" si="10"/>
        <v/>
      </c>
      <c r="HQ18" s="57" t="str">
        <f t="shared" si="10"/>
        <v/>
      </c>
      <c r="HR18" s="123" t="str">
        <f t="shared" si="10"/>
        <v/>
      </c>
    </row>
    <row r="19" spans="1:226" ht="11.15" customHeight="1" x14ac:dyDescent="0.25">
      <c r="A19" s="32"/>
      <c r="B19" s="33"/>
      <c r="C19" s="34" t="str">
        <f>IF(A19=0,"",VLOOKUP(A19,[3]CO!$A$3:$F$5311,2,0))</f>
        <v/>
      </c>
      <c r="D19" s="35"/>
      <c r="E19" s="35"/>
      <c r="F19" s="35"/>
      <c r="G19" s="36" t="str">
        <f>IF(A19=0,"",VLOOKUP(A19,[3]CO!$A$3:$F$5311,3,0))</f>
        <v/>
      </c>
      <c r="H19" s="35"/>
      <c r="I19" s="37"/>
      <c r="J19" s="37"/>
      <c r="K19" s="37"/>
      <c r="L19" s="37"/>
      <c r="M19" s="38" t="str">
        <f t="shared" si="4"/>
        <v/>
      </c>
      <c r="N19" s="38" t="str">
        <f>IF(B19=0,"",IF(H19="M",HLOOKUP(B19,$Y$12:$DT$13,2),IF(A19=0,"",VLOOKUP(A19,[3]CO!$A$3:$F$5311,4,0))))</f>
        <v/>
      </c>
      <c r="O19" s="38" t="str">
        <f t="shared" si="11"/>
        <v/>
      </c>
      <c r="P19" s="39"/>
      <c r="Q19" s="40" t="str">
        <f t="shared" si="5"/>
        <v/>
      </c>
      <c r="R19" s="41" t="str">
        <f t="shared" si="6"/>
        <v/>
      </c>
      <c r="S19" s="131"/>
      <c r="T19" s="60" t="str">
        <f>IF(A19=0,"",VLOOKUP(A19,[3]CO!$A$3:$F$5302,5,0))</f>
        <v/>
      </c>
      <c r="U19" s="61">
        <f t="shared" si="12"/>
        <v>0</v>
      </c>
      <c r="V19" s="30"/>
      <c r="W19" s="31"/>
      <c r="X19" s="31"/>
      <c r="Y19" s="71" t="str">
        <f t="shared" si="15"/>
        <v/>
      </c>
      <c r="Z19" s="62" t="str">
        <f t="shared" si="15"/>
        <v/>
      </c>
      <c r="AA19" s="62" t="str">
        <f t="shared" si="15"/>
        <v/>
      </c>
      <c r="AB19" s="62" t="str">
        <f t="shared" si="15"/>
        <v/>
      </c>
      <c r="AC19" s="62" t="str">
        <f t="shared" si="15"/>
        <v/>
      </c>
      <c r="AD19" s="62" t="str">
        <f t="shared" si="15"/>
        <v/>
      </c>
      <c r="AE19" s="62" t="str">
        <f t="shared" si="15"/>
        <v/>
      </c>
      <c r="AF19" s="62" t="str">
        <f t="shared" si="15"/>
        <v/>
      </c>
      <c r="AG19" s="62" t="str">
        <f t="shared" si="15"/>
        <v/>
      </c>
      <c r="AH19" s="62" t="str">
        <f t="shared" si="15"/>
        <v/>
      </c>
      <c r="AI19" s="62" t="str">
        <f t="shared" si="15"/>
        <v/>
      </c>
      <c r="AJ19" s="62" t="str">
        <f t="shared" si="15"/>
        <v/>
      </c>
      <c r="AK19" s="62" t="str">
        <f t="shared" si="15"/>
        <v/>
      </c>
      <c r="AL19" s="62" t="str">
        <f t="shared" si="15"/>
        <v/>
      </c>
      <c r="AM19" s="62" t="str">
        <f t="shared" si="15"/>
        <v/>
      </c>
      <c r="AN19" s="62" t="str">
        <f t="shared" si="15"/>
        <v/>
      </c>
      <c r="AO19" s="62" t="str">
        <f t="shared" si="16"/>
        <v/>
      </c>
      <c r="AP19" s="62" t="str">
        <f t="shared" si="16"/>
        <v/>
      </c>
      <c r="AQ19" s="62" t="str">
        <f t="shared" si="16"/>
        <v/>
      </c>
      <c r="AR19" s="62" t="str">
        <f t="shared" si="16"/>
        <v/>
      </c>
      <c r="AS19" s="62" t="str">
        <f t="shared" si="16"/>
        <v/>
      </c>
      <c r="AT19" s="62" t="str">
        <f t="shared" si="16"/>
        <v/>
      </c>
      <c r="AU19" s="62" t="str">
        <f t="shared" si="16"/>
        <v/>
      </c>
      <c r="AV19" s="62" t="str">
        <f t="shared" si="16"/>
        <v/>
      </c>
      <c r="AW19" s="62" t="str">
        <f t="shared" si="16"/>
        <v/>
      </c>
      <c r="AX19" s="62" t="str">
        <f t="shared" si="16"/>
        <v/>
      </c>
      <c r="AY19" s="62" t="str">
        <f t="shared" si="16"/>
        <v/>
      </c>
      <c r="AZ19" s="62" t="str">
        <f t="shared" si="16"/>
        <v/>
      </c>
      <c r="BA19" s="62" t="str">
        <f t="shared" si="16"/>
        <v/>
      </c>
      <c r="BB19" s="62" t="str">
        <f t="shared" si="16"/>
        <v/>
      </c>
      <c r="BC19" s="62" t="str">
        <f t="shared" si="16"/>
        <v/>
      </c>
      <c r="BD19" s="62" t="str">
        <f t="shared" si="16"/>
        <v/>
      </c>
      <c r="BE19" s="62" t="str">
        <f t="shared" si="16"/>
        <v/>
      </c>
      <c r="BF19" s="62" t="str">
        <f t="shared" si="16"/>
        <v/>
      </c>
      <c r="BG19" s="62" t="str">
        <f t="shared" si="16"/>
        <v/>
      </c>
      <c r="BH19" s="62" t="str">
        <f t="shared" si="16"/>
        <v/>
      </c>
      <c r="BI19" s="62" t="str">
        <f t="shared" si="17"/>
        <v/>
      </c>
      <c r="BJ19" s="62" t="str">
        <f t="shared" si="17"/>
        <v/>
      </c>
      <c r="BK19" s="62" t="str">
        <f t="shared" si="17"/>
        <v/>
      </c>
      <c r="BL19" s="62" t="str">
        <f t="shared" si="17"/>
        <v/>
      </c>
      <c r="BM19" s="62" t="str">
        <f t="shared" si="17"/>
        <v/>
      </c>
      <c r="BN19" s="62" t="str">
        <f t="shared" si="17"/>
        <v/>
      </c>
      <c r="BO19" s="62" t="str">
        <f t="shared" si="17"/>
        <v/>
      </c>
      <c r="BP19" s="62" t="str">
        <f t="shared" si="17"/>
        <v/>
      </c>
      <c r="BQ19" s="62" t="str">
        <f t="shared" si="17"/>
        <v/>
      </c>
      <c r="BR19" s="62" t="str">
        <f t="shared" si="17"/>
        <v/>
      </c>
      <c r="BS19" s="62" t="str">
        <f t="shared" si="17"/>
        <v/>
      </c>
      <c r="BT19" s="62" t="str">
        <f t="shared" si="17"/>
        <v/>
      </c>
      <c r="BU19" s="62" t="str">
        <f t="shared" si="17"/>
        <v/>
      </c>
      <c r="BV19" s="62" t="str">
        <f t="shared" si="17"/>
        <v/>
      </c>
      <c r="BW19" s="62" t="str">
        <f t="shared" si="17"/>
        <v/>
      </c>
      <c r="BX19" s="62" t="str">
        <f t="shared" si="17"/>
        <v/>
      </c>
      <c r="BY19" s="62" t="str">
        <f t="shared" si="17"/>
        <v/>
      </c>
      <c r="BZ19" s="62" t="str">
        <f t="shared" si="17"/>
        <v/>
      </c>
      <c r="CA19" s="62" t="str">
        <f t="shared" si="17"/>
        <v/>
      </c>
      <c r="CB19" s="62" t="str">
        <f t="shared" si="17"/>
        <v/>
      </c>
      <c r="CC19" s="62" t="str">
        <f t="shared" si="17"/>
        <v/>
      </c>
      <c r="CD19" s="62" t="str">
        <f t="shared" si="17"/>
        <v/>
      </c>
      <c r="CE19" s="62" t="str">
        <f t="shared" si="17"/>
        <v/>
      </c>
      <c r="CF19" s="62" t="str">
        <f t="shared" si="17"/>
        <v/>
      </c>
      <c r="CG19" s="62" t="str">
        <f t="shared" si="17"/>
        <v/>
      </c>
      <c r="CH19" s="62" t="str">
        <f t="shared" si="17"/>
        <v/>
      </c>
      <c r="CI19" s="62" t="str">
        <f t="shared" si="17"/>
        <v/>
      </c>
      <c r="CJ19" s="62" t="str">
        <f t="shared" si="13"/>
        <v/>
      </c>
      <c r="CK19" s="62" t="str">
        <f t="shared" si="13"/>
        <v/>
      </c>
      <c r="CL19" s="62" t="str">
        <f t="shared" si="13"/>
        <v/>
      </c>
      <c r="CM19" s="62" t="str">
        <f t="shared" si="13"/>
        <v/>
      </c>
      <c r="CN19" s="62" t="str">
        <f t="shared" si="13"/>
        <v/>
      </c>
      <c r="CO19" s="62" t="str">
        <f t="shared" si="13"/>
        <v/>
      </c>
      <c r="CP19" s="62" t="str">
        <f t="shared" si="13"/>
        <v/>
      </c>
      <c r="CQ19" s="62" t="str">
        <f t="shared" si="13"/>
        <v/>
      </c>
      <c r="CR19" s="62" t="str">
        <f t="shared" si="13"/>
        <v/>
      </c>
      <c r="CS19" s="62" t="str">
        <f t="shared" si="13"/>
        <v/>
      </c>
      <c r="CT19" s="62" t="str">
        <f t="shared" si="13"/>
        <v/>
      </c>
      <c r="CU19" s="62" t="str">
        <f t="shared" si="13"/>
        <v/>
      </c>
      <c r="CV19" s="62" t="str">
        <f t="shared" si="13"/>
        <v/>
      </c>
      <c r="CW19" s="62" t="str">
        <f t="shared" si="13"/>
        <v/>
      </c>
      <c r="CX19" s="62" t="str">
        <f t="shared" si="13"/>
        <v/>
      </c>
      <c r="CY19" s="62" t="str">
        <f t="shared" si="13"/>
        <v/>
      </c>
      <c r="CZ19" s="62" t="str">
        <f t="shared" si="8"/>
        <v/>
      </c>
      <c r="DA19" s="62" t="str">
        <f t="shared" si="8"/>
        <v/>
      </c>
      <c r="DB19" s="62" t="str">
        <f t="shared" si="8"/>
        <v/>
      </c>
      <c r="DC19" s="62" t="str">
        <f t="shared" si="8"/>
        <v/>
      </c>
      <c r="DD19" s="62" t="str">
        <f t="shared" si="8"/>
        <v/>
      </c>
      <c r="DE19" s="62" t="str">
        <f t="shared" si="8"/>
        <v/>
      </c>
      <c r="DF19" s="62" t="str">
        <f t="shared" si="8"/>
        <v/>
      </c>
      <c r="DG19" s="62" t="str">
        <f t="shared" si="8"/>
        <v/>
      </c>
      <c r="DH19" s="62" t="str">
        <f t="shared" si="8"/>
        <v/>
      </c>
      <c r="DI19" s="62" t="str">
        <f t="shared" si="8"/>
        <v/>
      </c>
      <c r="DJ19" s="62" t="str">
        <f t="shared" si="8"/>
        <v/>
      </c>
      <c r="DK19" s="62" t="str">
        <f t="shared" si="8"/>
        <v/>
      </c>
      <c r="DL19" s="62" t="str">
        <f t="shared" si="8"/>
        <v/>
      </c>
      <c r="DM19" s="62" t="str">
        <f t="shared" si="8"/>
        <v/>
      </c>
      <c r="DN19" s="62" t="str">
        <f t="shared" si="8"/>
        <v/>
      </c>
      <c r="DO19" s="62" t="str">
        <f t="shared" si="8"/>
        <v/>
      </c>
      <c r="DP19" s="62" t="str">
        <f t="shared" si="8"/>
        <v/>
      </c>
      <c r="DQ19" s="62" t="str">
        <f t="shared" si="8"/>
        <v/>
      </c>
      <c r="DR19" s="62" t="str">
        <f t="shared" si="8"/>
        <v/>
      </c>
      <c r="DS19" s="62" t="str">
        <f t="shared" si="8"/>
        <v/>
      </c>
      <c r="DT19" s="117" t="str">
        <f t="shared" si="8"/>
        <v/>
      </c>
      <c r="DU19" s="61"/>
      <c r="DV19" s="31"/>
      <c r="DW19" s="68" t="str">
        <f t="shared" si="18"/>
        <v/>
      </c>
      <c r="DX19" s="57" t="str">
        <f t="shared" si="18"/>
        <v/>
      </c>
      <c r="DY19" s="57" t="str">
        <f t="shared" si="18"/>
        <v/>
      </c>
      <c r="DZ19" s="57" t="str">
        <f t="shared" si="18"/>
        <v/>
      </c>
      <c r="EA19" s="57" t="str">
        <f t="shared" si="18"/>
        <v/>
      </c>
      <c r="EB19" s="57" t="str">
        <f t="shared" si="18"/>
        <v/>
      </c>
      <c r="EC19" s="57" t="str">
        <f t="shared" si="18"/>
        <v/>
      </c>
      <c r="ED19" s="57" t="str">
        <f t="shared" si="18"/>
        <v/>
      </c>
      <c r="EE19" s="57" t="str">
        <f t="shared" si="18"/>
        <v/>
      </c>
      <c r="EF19" s="57" t="str">
        <f t="shared" si="18"/>
        <v/>
      </c>
      <c r="EG19" s="57" t="str">
        <f t="shared" si="18"/>
        <v/>
      </c>
      <c r="EH19" s="57" t="str">
        <f t="shared" si="18"/>
        <v/>
      </c>
      <c r="EI19" s="57" t="str">
        <f t="shared" si="18"/>
        <v/>
      </c>
      <c r="EJ19" s="57" t="str">
        <f t="shared" si="18"/>
        <v/>
      </c>
      <c r="EK19" s="57" t="str">
        <f t="shared" si="18"/>
        <v/>
      </c>
      <c r="EL19" s="57" t="str">
        <f t="shared" si="18"/>
        <v/>
      </c>
      <c r="EM19" s="57" t="str">
        <f t="shared" si="19"/>
        <v/>
      </c>
      <c r="EN19" s="57" t="str">
        <f t="shared" si="19"/>
        <v/>
      </c>
      <c r="EO19" s="57" t="str">
        <f t="shared" si="19"/>
        <v/>
      </c>
      <c r="EP19" s="57" t="str">
        <f t="shared" si="19"/>
        <v/>
      </c>
      <c r="EQ19" s="57" t="str">
        <f t="shared" si="19"/>
        <v/>
      </c>
      <c r="ER19" s="57" t="str">
        <f t="shared" si="19"/>
        <v/>
      </c>
      <c r="ES19" s="57" t="str">
        <f t="shared" si="19"/>
        <v/>
      </c>
      <c r="ET19" s="57" t="str">
        <f t="shared" si="19"/>
        <v/>
      </c>
      <c r="EU19" s="57" t="str">
        <f t="shared" si="19"/>
        <v/>
      </c>
      <c r="EV19" s="57" t="str">
        <f t="shared" si="19"/>
        <v/>
      </c>
      <c r="EW19" s="57" t="str">
        <f t="shared" si="19"/>
        <v/>
      </c>
      <c r="EX19" s="57" t="str">
        <f t="shared" si="19"/>
        <v/>
      </c>
      <c r="EY19" s="57" t="str">
        <f t="shared" si="19"/>
        <v/>
      </c>
      <c r="EZ19" s="57" t="str">
        <f t="shared" si="19"/>
        <v/>
      </c>
      <c r="FA19" s="57" t="str">
        <f t="shared" si="19"/>
        <v/>
      </c>
      <c r="FB19" s="57" t="str">
        <f t="shared" si="19"/>
        <v/>
      </c>
      <c r="FC19" s="57" t="str">
        <f t="shared" si="20"/>
        <v/>
      </c>
      <c r="FD19" s="57" t="str">
        <f t="shared" si="20"/>
        <v/>
      </c>
      <c r="FE19" s="57" t="str">
        <f t="shared" si="20"/>
        <v/>
      </c>
      <c r="FF19" s="57" t="str">
        <f t="shared" si="20"/>
        <v/>
      </c>
      <c r="FG19" s="57" t="str">
        <f t="shared" si="20"/>
        <v/>
      </c>
      <c r="FH19" s="57" t="str">
        <f t="shared" si="20"/>
        <v/>
      </c>
      <c r="FI19" s="57" t="str">
        <f t="shared" si="20"/>
        <v/>
      </c>
      <c r="FJ19" s="57" t="str">
        <f t="shared" si="20"/>
        <v/>
      </c>
      <c r="FK19" s="57" t="str">
        <f t="shared" si="20"/>
        <v/>
      </c>
      <c r="FL19" s="57" t="str">
        <f t="shared" si="20"/>
        <v/>
      </c>
      <c r="FM19" s="57" t="str">
        <f t="shared" si="20"/>
        <v/>
      </c>
      <c r="FN19" s="57" t="str">
        <f t="shared" si="20"/>
        <v/>
      </c>
      <c r="FO19" s="57" t="str">
        <f t="shared" si="20"/>
        <v/>
      </c>
      <c r="FP19" s="57" t="str">
        <f t="shared" si="20"/>
        <v/>
      </c>
      <c r="FQ19" s="57" t="str">
        <f t="shared" si="20"/>
        <v/>
      </c>
      <c r="FR19" s="57" t="str">
        <f t="shared" si="20"/>
        <v/>
      </c>
      <c r="FS19" s="57" t="str">
        <f t="shared" si="20"/>
        <v/>
      </c>
      <c r="FT19" s="57" t="str">
        <f t="shared" si="20"/>
        <v/>
      </c>
      <c r="FU19" s="57" t="str">
        <f t="shared" si="20"/>
        <v/>
      </c>
      <c r="FV19" s="57" t="str">
        <f t="shared" si="20"/>
        <v/>
      </c>
      <c r="FW19" s="57" t="str">
        <f t="shared" si="20"/>
        <v/>
      </c>
      <c r="FX19" s="57" t="str">
        <f t="shared" si="20"/>
        <v/>
      </c>
      <c r="FY19" s="57" t="str">
        <f t="shared" si="20"/>
        <v/>
      </c>
      <c r="FZ19" s="57" t="str">
        <f t="shared" si="20"/>
        <v/>
      </c>
      <c r="GA19" s="57" t="str">
        <f t="shared" si="20"/>
        <v/>
      </c>
      <c r="GB19" s="57" t="str">
        <f t="shared" si="20"/>
        <v/>
      </c>
      <c r="GC19" s="57" t="str">
        <f t="shared" si="20"/>
        <v/>
      </c>
      <c r="GD19" s="57" t="str">
        <f t="shared" si="20"/>
        <v/>
      </c>
      <c r="GE19" s="57" t="str">
        <f t="shared" si="20"/>
        <v/>
      </c>
      <c r="GF19" s="57" t="str">
        <f t="shared" si="20"/>
        <v/>
      </c>
      <c r="GG19" s="57" t="str">
        <f t="shared" si="20"/>
        <v/>
      </c>
      <c r="GH19" s="57" t="str">
        <f t="shared" si="20"/>
        <v/>
      </c>
      <c r="GI19" s="57" t="str">
        <f t="shared" si="20"/>
        <v/>
      </c>
      <c r="GJ19" s="57" t="str">
        <f t="shared" si="20"/>
        <v/>
      </c>
      <c r="GK19" s="57" t="str">
        <f t="shared" si="20"/>
        <v/>
      </c>
      <c r="GL19" s="57" t="str">
        <f t="shared" si="10"/>
        <v/>
      </c>
      <c r="GM19" s="57" t="str">
        <f t="shared" si="10"/>
        <v/>
      </c>
      <c r="GN19" s="57" t="str">
        <f t="shared" si="10"/>
        <v/>
      </c>
      <c r="GO19" s="57" t="str">
        <f t="shared" si="10"/>
        <v/>
      </c>
      <c r="GP19" s="57" t="str">
        <f t="shared" si="10"/>
        <v/>
      </c>
      <c r="GQ19" s="57" t="str">
        <f t="shared" si="10"/>
        <v/>
      </c>
      <c r="GR19" s="57" t="str">
        <f t="shared" si="10"/>
        <v/>
      </c>
      <c r="GS19" s="57" t="str">
        <f t="shared" si="10"/>
        <v/>
      </c>
      <c r="GT19" s="57" t="str">
        <f t="shared" si="10"/>
        <v/>
      </c>
      <c r="GU19" s="57" t="str">
        <f t="shared" si="10"/>
        <v/>
      </c>
      <c r="GV19" s="57" t="str">
        <f t="shared" si="10"/>
        <v/>
      </c>
      <c r="GW19" s="57" t="str">
        <f t="shared" si="10"/>
        <v/>
      </c>
      <c r="GX19" s="57" t="str">
        <f t="shared" si="10"/>
        <v/>
      </c>
      <c r="GY19" s="57" t="str">
        <f t="shared" si="10"/>
        <v/>
      </c>
      <c r="GZ19" s="57" t="str">
        <f t="shared" si="10"/>
        <v/>
      </c>
      <c r="HA19" s="57" t="str">
        <f t="shared" si="10"/>
        <v/>
      </c>
      <c r="HB19" s="57" t="str">
        <f t="shared" si="10"/>
        <v/>
      </c>
      <c r="HC19" s="57" t="str">
        <f t="shared" si="10"/>
        <v/>
      </c>
      <c r="HD19" s="57" t="str">
        <f t="shared" si="10"/>
        <v/>
      </c>
      <c r="HE19" s="57" t="str">
        <f t="shared" si="10"/>
        <v/>
      </c>
      <c r="HF19" s="57" t="str">
        <f t="shared" si="10"/>
        <v/>
      </c>
      <c r="HG19" s="57" t="str">
        <f t="shared" si="10"/>
        <v/>
      </c>
      <c r="HH19" s="57" t="str">
        <f t="shared" si="10"/>
        <v/>
      </c>
      <c r="HI19" s="57" t="str">
        <f t="shared" si="10"/>
        <v/>
      </c>
      <c r="HJ19" s="57" t="str">
        <f t="shared" si="10"/>
        <v/>
      </c>
      <c r="HK19" s="57" t="str">
        <f t="shared" si="10"/>
        <v/>
      </c>
      <c r="HL19" s="57" t="str">
        <f t="shared" si="10"/>
        <v/>
      </c>
      <c r="HM19" s="57" t="str">
        <f t="shared" si="10"/>
        <v/>
      </c>
      <c r="HN19" s="57" t="str">
        <f t="shared" si="10"/>
        <v/>
      </c>
      <c r="HO19" s="57" t="str">
        <f t="shared" si="10"/>
        <v/>
      </c>
      <c r="HP19" s="57" t="str">
        <f t="shared" si="10"/>
        <v/>
      </c>
      <c r="HQ19" s="57" t="str">
        <f t="shared" si="10"/>
        <v/>
      </c>
      <c r="HR19" s="123" t="str">
        <f t="shared" si="10"/>
        <v/>
      </c>
    </row>
    <row r="20" spans="1:226" ht="11.15" customHeight="1" x14ac:dyDescent="0.25">
      <c r="A20" s="32"/>
      <c r="B20" s="33"/>
      <c r="C20" s="34" t="str">
        <f>IF(A20=0,"",VLOOKUP(A20,[3]CO!$A$3:$F$5311,2,0))</f>
        <v/>
      </c>
      <c r="D20" s="35"/>
      <c r="E20" s="35"/>
      <c r="F20" s="35"/>
      <c r="G20" s="36" t="str">
        <f>IF(A20=0,"",VLOOKUP(A20,[3]CO!$A$3:$F$5311,3,0))</f>
        <v/>
      </c>
      <c r="H20" s="35"/>
      <c r="I20" s="37"/>
      <c r="J20" s="37"/>
      <c r="K20" s="37"/>
      <c r="L20" s="37"/>
      <c r="M20" s="38" t="str">
        <f t="shared" si="4"/>
        <v/>
      </c>
      <c r="N20" s="38" t="str">
        <f>IF(B20=0,"",IF(H20="M",HLOOKUP(B20,$Y$12:$DT$13,2),IF(A20=0,"",VLOOKUP(A20,[3]CO!$A$3:$F$5311,4,0))))</f>
        <v/>
      </c>
      <c r="O20" s="38" t="str">
        <f t="shared" si="11"/>
        <v/>
      </c>
      <c r="P20" s="39"/>
      <c r="Q20" s="40" t="str">
        <f t="shared" si="5"/>
        <v/>
      </c>
      <c r="R20" s="41" t="str">
        <f t="shared" si="6"/>
        <v/>
      </c>
      <c r="S20" s="131"/>
      <c r="T20" s="60" t="str">
        <f>IF(A20=0,"",VLOOKUP(A20,[3]CO!$A$3:$F$5302,5,0))</f>
        <v/>
      </c>
      <c r="U20" s="61">
        <f t="shared" si="12"/>
        <v>0</v>
      </c>
      <c r="V20" s="30"/>
      <c r="W20" s="31"/>
      <c r="X20" s="31"/>
      <c r="Y20" s="71" t="str">
        <f t="shared" si="15"/>
        <v/>
      </c>
      <c r="Z20" s="62" t="str">
        <f t="shared" si="15"/>
        <v/>
      </c>
      <c r="AA20" s="62" t="str">
        <f t="shared" si="15"/>
        <v/>
      </c>
      <c r="AB20" s="62" t="str">
        <f t="shared" si="15"/>
        <v/>
      </c>
      <c r="AC20" s="62" t="str">
        <f t="shared" si="15"/>
        <v/>
      </c>
      <c r="AD20" s="62" t="str">
        <f t="shared" si="15"/>
        <v/>
      </c>
      <c r="AE20" s="62" t="str">
        <f t="shared" si="15"/>
        <v/>
      </c>
      <c r="AF20" s="62" t="str">
        <f t="shared" si="15"/>
        <v/>
      </c>
      <c r="AG20" s="62" t="str">
        <f t="shared" si="15"/>
        <v/>
      </c>
      <c r="AH20" s="62" t="str">
        <f t="shared" si="15"/>
        <v/>
      </c>
      <c r="AI20" s="62" t="str">
        <f t="shared" si="15"/>
        <v/>
      </c>
      <c r="AJ20" s="62" t="str">
        <f t="shared" si="15"/>
        <v/>
      </c>
      <c r="AK20" s="62" t="str">
        <f t="shared" si="15"/>
        <v/>
      </c>
      <c r="AL20" s="62" t="str">
        <f t="shared" si="15"/>
        <v/>
      </c>
      <c r="AM20" s="62" t="str">
        <f t="shared" si="15"/>
        <v/>
      </c>
      <c r="AN20" s="62" t="str">
        <f t="shared" si="15"/>
        <v/>
      </c>
      <c r="AO20" s="62" t="str">
        <f t="shared" si="16"/>
        <v/>
      </c>
      <c r="AP20" s="62" t="str">
        <f t="shared" si="16"/>
        <v/>
      </c>
      <c r="AQ20" s="62" t="str">
        <f t="shared" si="16"/>
        <v/>
      </c>
      <c r="AR20" s="62" t="str">
        <f t="shared" si="16"/>
        <v/>
      </c>
      <c r="AS20" s="62" t="str">
        <f t="shared" si="16"/>
        <v/>
      </c>
      <c r="AT20" s="62" t="str">
        <f t="shared" si="16"/>
        <v/>
      </c>
      <c r="AU20" s="62" t="str">
        <f t="shared" si="16"/>
        <v/>
      </c>
      <c r="AV20" s="62" t="str">
        <f t="shared" si="16"/>
        <v/>
      </c>
      <c r="AW20" s="62" t="str">
        <f t="shared" si="16"/>
        <v/>
      </c>
      <c r="AX20" s="62" t="str">
        <f t="shared" si="16"/>
        <v/>
      </c>
      <c r="AY20" s="62" t="str">
        <f t="shared" si="16"/>
        <v/>
      </c>
      <c r="AZ20" s="62" t="str">
        <f t="shared" si="16"/>
        <v/>
      </c>
      <c r="BA20" s="62" t="str">
        <f t="shared" si="16"/>
        <v/>
      </c>
      <c r="BB20" s="62" t="str">
        <f t="shared" si="16"/>
        <v/>
      </c>
      <c r="BC20" s="62" t="str">
        <f t="shared" si="16"/>
        <v/>
      </c>
      <c r="BD20" s="62" t="str">
        <f t="shared" si="16"/>
        <v/>
      </c>
      <c r="BE20" s="62" t="str">
        <f t="shared" si="16"/>
        <v/>
      </c>
      <c r="BF20" s="62" t="str">
        <f t="shared" si="16"/>
        <v/>
      </c>
      <c r="BG20" s="62" t="str">
        <f t="shared" si="16"/>
        <v/>
      </c>
      <c r="BH20" s="62" t="str">
        <f t="shared" si="16"/>
        <v/>
      </c>
      <c r="BI20" s="62" t="str">
        <f t="shared" si="17"/>
        <v/>
      </c>
      <c r="BJ20" s="62" t="str">
        <f t="shared" si="17"/>
        <v/>
      </c>
      <c r="BK20" s="62" t="str">
        <f t="shared" si="17"/>
        <v/>
      </c>
      <c r="BL20" s="62" t="str">
        <f t="shared" si="17"/>
        <v/>
      </c>
      <c r="BM20" s="62" t="str">
        <f t="shared" si="17"/>
        <v/>
      </c>
      <c r="BN20" s="62" t="str">
        <f t="shared" si="17"/>
        <v/>
      </c>
      <c r="BO20" s="62" t="str">
        <f t="shared" si="17"/>
        <v/>
      </c>
      <c r="BP20" s="62" t="str">
        <f t="shared" si="17"/>
        <v/>
      </c>
      <c r="BQ20" s="62" t="str">
        <f t="shared" si="17"/>
        <v/>
      </c>
      <c r="BR20" s="62" t="str">
        <f t="shared" si="17"/>
        <v/>
      </c>
      <c r="BS20" s="62" t="str">
        <f t="shared" si="17"/>
        <v/>
      </c>
      <c r="BT20" s="62" t="str">
        <f t="shared" si="17"/>
        <v/>
      </c>
      <c r="BU20" s="62" t="str">
        <f t="shared" si="17"/>
        <v/>
      </c>
      <c r="BV20" s="62" t="str">
        <f t="shared" si="17"/>
        <v/>
      </c>
      <c r="BW20" s="62" t="str">
        <f t="shared" si="17"/>
        <v/>
      </c>
      <c r="BX20" s="62" t="str">
        <f t="shared" si="17"/>
        <v/>
      </c>
      <c r="BY20" s="62" t="str">
        <f t="shared" si="17"/>
        <v/>
      </c>
      <c r="BZ20" s="62" t="str">
        <f t="shared" si="17"/>
        <v/>
      </c>
      <c r="CA20" s="62" t="str">
        <f t="shared" si="17"/>
        <v/>
      </c>
      <c r="CB20" s="62" t="str">
        <f t="shared" si="17"/>
        <v/>
      </c>
      <c r="CC20" s="62" t="str">
        <f t="shared" si="17"/>
        <v/>
      </c>
      <c r="CD20" s="62" t="str">
        <f t="shared" si="17"/>
        <v/>
      </c>
      <c r="CE20" s="62" t="str">
        <f t="shared" si="17"/>
        <v/>
      </c>
      <c r="CF20" s="62" t="str">
        <f t="shared" si="17"/>
        <v/>
      </c>
      <c r="CG20" s="62" t="str">
        <f t="shared" si="17"/>
        <v/>
      </c>
      <c r="CH20" s="62" t="str">
        <f t="shared" si="17"/>
        <v/>
      </c>
      <c r="CI20" s="62" t="str">
        <f t="shared" si="17"/>
        <v/>
      </c>
      <c r="CJ20" s="62" t="str">
        <f t="shared" si="13"/>
        <v/>
      </c>
      <c r="CK20" s="62" t="str">
        <f t="shared" si="13"/>
        <v/>
      </c>
      <c r="CL20" s="62" t="str">
        <f t="shared" si="13"/>
        <v/>
      </c>
      <c r="CM20" s="62" t="str">
        <f t="shared" si="13"/>
        <v/>
      </c>
      <c r="CN20" s="62" t="str">
        <f t="shared" si="13"/>
        <v/>
      </c>
      <c r="CO20" s="62" t="str">
        <f t="shared" si="13"/>
        <v/>
      </c>
      <c r="CP20" s="62" t="str">
        <f t="shared" si="13"/>
        <v/>
      </c>
      <c r="CQ20" s="62" t="str">
        <f t="shared" si="13"/>
        <v/>
      </c>
      <c r="CR20" s="62" t="str">
        <f t="shared" si="13"/>
        <v/>
      </c>
      <c r="CS20" s="62" t="str">
        <f t="shared" si="13"/>
        <v/>
      </c>
      <c r="CT20" s="62" t="str">
        <f t="shared" si="13"/>
        <v/>
      </c>
      <c r="CU20" s="62" t="str">
        <f t="shared" si="13"/>
        <v/>
      </c>
      <c r="CV20" s="62" t="str">
        <f t="shared" si="13"/>
        <v/>
      </c>
      <c r="CW20" s="62" t="str">
        <f t="shared" si="13"/>
        <v/>
      </c>
      <c r="CX20" s="62" t="str">
        <f t="shared" si="13"/>
        <v/>
      </c>
      <c r="CY20" s="62" t="str">
        <f t="shared" si="13"/>
        <v/>
      </c>
      <c r="CZ20" s="62" t="str">
        <f t="shared" si="8"/>
        <v/>
      </c>
      <c r="DA20" s="62" t="str">
        <f t="shared" si="8"/>
        <v/>
      </c>
      <c r="DB20" s="62" t="str">
        <f t="shared" si="8"/>
        <v/>
      </c>
      <c r="DC20" s="62" t="str">
        <f t="shared" si="8"/>
        <v/>
      </c>
      <c r="DD20" s="62" t="str">
        <f t="shared" si="8"/>
        <v/>
      </c>
      <c r="DE20" s="62" t="str">
        <f t="shared" si="8"/>
        <v/>
      </c>
      <c r="DF20" s="62" t="str">
        <f t="shared" si="8"/>
        <v/>
      </c>
      <c r="DG20" s="62" t="str">
        <f t="shared" si="8"/>
        <v/>
      </c>
      <c r="DH20" s="62" t="str">
        <f t="shared" si="8"/>
        <v/>
      </c>
      <c r="DI20" s="62" t="str">
        <f t="shared" si="8"/>
        <v/>
      </c>
      <c r="DJ20" s="62" t="str">
        <f t="shared" si="8"/>
        <v/>
      </c>
      <c r="DK20" s="62" t="str">
        <f t="shared" si="8"/>
        <v/>
      </c>
      <c r="DL20" s="62" t="str">
        <f t="shared" si="8"/>
        <v/>
      </c>
      <c r="DM20" s="62" t="str">
        <f t="shared" si="8"/>
        <v/>
      </c>
      <c r="DN20" s="62" t="str">
        <f t="shared" si="8"/>
        <v/>
      </c>
      <c r="DO20" s="62" t="str">
        <f t="shared" si="8"/>
        <v/>
      </c>
      <c r="DP20" s="62" t="str">
        <f t="shared" si="8"/>
        <v/>
      </c>
      <c r="DQ20" s="62" t="str">
        <f t="shared" si="8"/>
        <v/>
      </c>
      <c r="DR20" s="62" t="str">
        <f t="shared" si="8"/>
        <v/>
      </c>
      <c r="DS20" s="62" t="str">
        <f t="shared" si="8"/>
        <v/>
      </c>
      <c r="DT20" s="117" t="str">
        <f t="shared" si="8"/>
        <v/>
      </c>
      <c r="DU20" s="61"/>
      <c r="DV20" s="31"/>
      <c r="DW20" s="68" t="str">
        <f t="shared" si="18"/>
        <v/>
      </c>
      <c r="DX20" s="57" t="str">
        <f t="shared" si="18"/>
        <v/>
      </c>
      <c r="DY20" s="57" t="str">
        <f t="shared" si="18"/>
        <v/>
      </c>
      <c r="DZ20" s="57" t="str">
        <f t="shared" si="18"/>
        <v/>
      </c>
      <c r="EA20" s="57" t="str">
        <f t="shared" si="18"/>
        <v/>
      </c>
      <c r="EB20" s="57" t="str">
        <f t="shared" si="18"/>
        <v/>
      </c>
      <c r="EC20" s="57" t="str">
        <f t="shared" si="18"/>
        <v/>
      </c>
      <c r="ED20" s="57" t="str">
        <f t="shared" si="18"/>
        <v/>
      </c>
      <c r="EE20" s="57" t="str">
        <f t="shared" si="18"/>
        <v/>
      </c>
      <c r="EF20" s="57" t="str">
        <f t="shared" si="18"/>
        <v/>
      </c>
      <c r="EG20" s="57" t="str">
        <f t="shared" si="18"/>
        <v/>
      </c>
      <c r="EH20" s="57" t="str">
        <f t="shared" si="18"/>
        <v/>
      </c>
      <c r="EI20" s="57" t="str">
        <f t="shared" si="18"/>
        <v/>
      </c>
      <c r="EJ20" s="57" t="str">
        <f t="shared" si="18"/>
        <v/>
      </c>
      <c r="EK20" s="57" t="str">
        <f t="shared" si="18"/>
        <v/>
      </c>
      <c r="EL20" s="57" t="str">
        <f t="shared" si="18"/>
        <v/>
      </c>
      <c r="EM20" s="57" t="str">
        <f t="shared" si="19"/>
        <v/>
      </c>
      <c r="EN20" s="57" t="str">
        <f t="shared" si="19"/>
        <v/>
      </c>
      <c r="EO20" s="57" t="str">
        <f t="shared" si="19"/>
        <v/>
      </c>
      <c r="EP20" s="57" t="str">
        <f t="shared" si="19"/>
        <v/>
      </c>
      <c r="EQ20" s="57" t="str">
        <f t="shared" si="19"/>
        <v/>
      </c>
      <c r="ER20" s="57" t="str">
        <f t="shared" si="19"/>
        <v/>
      </c>
      <c r="ES20" s="57" t="str">
        <f t="shared" si="19"/>
        <v/>
      </c>
      <c r="ET20" s="57" t="str">
        <f t="shared" si="19"/>
        <v/>
      </c>
      <c r="EU20" s="57" t="str">
        <f t="shared" si="19"/>
        <v/>
      </c>
      <c r="EV20" s="57" t="str">
        <f t="shared" si="19"/>
        <v/>
      </c>
      <c r="EW20" s="57" t="str">
        <f t="shared" si="19"/>
        <v/>
      </c>
      <c r="EX20" s="57" t="str">
        <f t="shared" si="19"/>
        <v/>
      </c>
      <c r="EY20" s="57" t="str">
        <f t="shared" si="19"/>
        <v/>
      </c>
      <c r="EZ20" s="57" t="str">
        <f t="shared" si="19"/>
        <v/>
      </c>
      <c r="FA20" s="57" t="str">
        <f t="shared" si="19"/>
        <v/>
      </c>
      <c r="FB20" s="57" t="str">
        <f t="shared" si="19"/>
        <v/>
      </c>
      <c r="FC20" s="57" t="str">
        <f t="shared" si="20"/>
        <v/>
      </c>
      <c r="FD20" s="57" t="str">
        <f t="shared" si="20"/>
        <v/>
      </c>
      <c r="FE20" s="57" t="str">
        <f t="shared" si="20"/>
        <v/>
      </c>
      <c r="FF20" s="57" t="str">
        <f t="shared" si="20"/>
        <v/>
      </c>
      <c r="FG20" s="57" t="str">
        <f t="shared" si="20"/>
        <v/>
      </c>
      <c r="FH20" s="57" t="str">
        <f t="shared" si="20"/>
        <v/>
      </c>
      <c r="FI20" s="57" t="str">
        <f t="shared" si="20"/>
        <v/>
      </c>
      <c r="FJ20" s="57" t="str">
        <f t="shared" si="20"/>
        <v/>
      </c>
      <c r="FK20" s="57" t="str">
        <f t="shared" si="20"/>
        <v/>
      </c>
      <c r="FL20" s="57" t="str">
        <f t="shared" si="20"/>
        <v/>
      </c>
      <c r="FM20" s="57" t="str">
        <f t="shared" si="20"/>
        <v/>
      </c>
      <c r="FN20" s="57" t="str">
        <f t="shared" si="20"/>
        <v/>
      </c>
      <c r="FO20" s="57" t="str">
        <f t="shared" si="20"/>
        <v/>
      </c>
      <c r="FP20" s="57" t="str">
        <f t="shared" si="20"/>
        <v/>
      </c>
      <c r="FQ20" s="57" t="str">
        <f t="shared" si="20"/>
        <v/>
      </c>
      <c r="FR20" s="57" t="str">
        <f t="shared" si="20"/>
        <v/>
      </c>
      <c r="FS20" s="57" t="str">
        <f t="shared" si="20"/>
        <v/>
      </c>
      <c r="FT20" s="57" t="str">
        <f t="shared" si="20"/>
        <v/>
      </c>
      <c r="FU20" s="57" t="str">
        <f t="shared" si="20"/>
        <v/>
      </c>
      <c r="FV20" s="57" t="str">
        <f t="shared" si="20"/>
        <v/>
      </c>
      <c r="FW20" s="57" t="str">
        <f t="shared" si="20"/>
        <v/>
      </c>
      <c r="FX20" s="57" t="str">
        <f t="shared" si="20"/>
        <v/>
      </c>
      <c r="FY20" s="57" t="str">
        <f t="shared" si="20"/>
        <v/>
      </c>
      <c r="FZ20" s="57" t="str">
        <f t="shared" si="20"/>
        <v/>
      </c>
      <c r="GA20" s="57" t="str">
        <f t="shared" si="20"/>
        <v/>
      </c>
      <c r="GB20" s="57" t="str">
        <f t="shared" si="20"/>
        <v/>
      </c>
      <c r="GC20" s="57" t="str">
        <f t="shared" si="20"/>
        <v/>
      </c>
      <c r="GD20" s="57" t="str">
        <f t="shared" si="20"/>
        <v/>
      </c>
      <c r="GE20" s="57" t="str">
        <f t="shared" si="20"/>
        <v/>
      </c>
      <c r="GF20" s="57" t="str">
        <f t="shared" si="20"/>
        <v/>
      </c>
      <c r="GG20" s="57" t="str">
        <f t="shared" si="20"/>
        <v/>
      </c>
      <c r="GH20" s="57" t="str">
        <f t="shared" si="20"/>
        <v/>
      </c>
      <c r="GI20" s="57" t="str">
        <f t="shared" si="20"/>
        <v/>
      </c>
      <c r="GJ20" s="57" t="str">
        <f t="shared" si="20"/>
        <v/>
      </c>
      <c r="GK20" s="57" t="str">
        <f t="shared" si="20"/>
        <v/>
      </c>
      <c r="GL20" s="57" t="str">
        <f t="shared" si="10"/>
        <v/>
      </c>
      <c r="GM20" s="57" t="str">
        <f t="shared" si="10"/>
        <v/>
      </c>
      <c r="GN20" s="57" t="str">
        <f t="shared" si="10"/>
        <v/>
      </c>
      <c r="GO20" s="57" t="str">
        <f t="shared" si="10"/>
        <v/>
      </c>
      <c r="GP20" s="57" t="str">
        <f t="shared" si="10"/>
        <v/>
      </c>
      <c r="GQ20" s="57" t="str">
        <f t="shared" si="10"/>
        <v/>
      </c>
      <c r="GR20" s="57" t="str">
        <f t="shared" si="10"/>
        <v/>
      </c>
      <c r="GS20" s="57" t="str">
        <f t="shared" si="10"/>
        <v/>
      </c>
      <c r="GT20" s="57" t="str">
        <f t="shared" si="10"/>
        <v/>
      </c>
      <c r="GU20" s="57" t="str">
        <f t="shared" si="10"/>
        <v/>
      </c>
      <c r="GV20" s="57" t="str">
        <f t="shared" si="10"/>
        <v/>
      </c>
      <c r="GW20" s="57" t="str">
        <f t="shared" si="10"/>
        <v/>
      </c>
      <c r="GX20" s="57" t="str">
        <f t="shared" si="10"/>
        <v/>
      </c>
      <c r="GY20" s="57" t="str">
        <f t="shared" si="10"/>
        <v/>
      </c>
      <c r="GZ20" s="57" t="str">
        <f t="shared" si="10"/>
        <v/>
      </c>
      <c r="HA20" s="57" t="str">
        <f t="shared" si="10"/>
        <v/>
      </c>
      <c r="HB20" s="57" t="str">
        <f t="shared" si="10"/>
        <v/>
      </c>
      <c r="HC20" s="57" t="str">
        <f t="shared" si="10"/>
        <v/>
      </c>
      <c r="HD20" s="57" t="str">
        <f t="shared" si="10"/>
        <v/>
      </c>
      <c r="HE20" s="57" t="str">
        <f t="shared" si="10"/>
        <v/>
      </c>
      <c r="HF20" s="57" t="str">
        <f t="shared" si="10"/>
        <v/>
      </c>
      <c r="HG20" s="57" t="str">
        <f t="shared" si="10"/>
        <v/>
      </c>
      <c r="HH20" s="57" t="str">
        <f t="shared" si="10"/>
        <v/>
      </c>
      <c r="HI20" s="57" t="str">
        <f t="shared" si="10"/>
        <v/>
      </c>
      <c r="HJ20" s="57" t="str">
        <f t="shared" si="10"/>
        <v/>
      </c>
      <c r="HK20" s="57" t="str">
        <f t="shared" si="10"/>
        <v/>
      </c>
      <c r="HL20" s="57" t="str">
        <f t="shared" si="10"/>
        <v/>
      </c>
      <c r="HM20" s="57" t="str">
        <f t="shared" si="10"/>
        <v/>
      </c>
      <c r="HN20" s="57" t="str">
        <f t="shared" si="10"/>
        <v/>
      </c>
      <c r="HO20" s="57" t="str">
        <f t="shared" si="10"/>
        <v/>
      </c>
      <c r="HP20" s="57" t="str">
        <f t="shared" si="10"/>
        <v/>
      </c>
      <c r="HQ20" s="57" t="str">
        <f t="shared" si="10"/>
        <v/>
      </c>
      <c r="HR20" s="123" t="str">
        <f t="shared" si="10"/>
        <v/>
      </c>
    </row>
    <row r="21" spans="1:226" ht="11.15" customHeight="1" x14ac:dyDescent="0.25">
      <c r="A21" s="32"/>
      <c r="B21" s="33"/>
      <c r="C21" s="34" t="str">
        <f>IF(A21=0,"",VLOOKUP(A21,[3]CO!$A$3:$F$5311,2,0))</f>
        <v/>
      </c>
      <c r="D21" s="35"/>
      <c r="E21" s="35"/>
      <c r="F21" s="35"/>
      <c r="G21" s="36" t="str">
        <f>IF(A21=0,"",VLOOKUP(A21,[3]CO!$A$3:$F$5311,3,0))</f>
        <v/>
      </c>
      <c r="H21" s="35"/>
      <c r="I21" s="37"/>
      <c r="J21" s="37"/>
      <c r="K21" s="37"/>
      <c r="L21" s="37"/>
      <c r="M21" s="38" t="str">
        <f t="shared" si="4"/>
        <v/>
      </c>
      <c r="N21" s="38" t="str">
        <f>IF(B21=0,"",IF(H21="M",HLOOKUP(B21,$Y$12:$DT$13,2),IF(A21=0,"",VLOOKUP(A21,[3]CO!$A$3:$F$5311,4,0))))</f>
        <v/>
      </c>
      <c r="O21" s="38" t="str">
        <f t="shared" si="11"/>
        <v/>
      </c>
      <c r="P21" s="39"/>
      <c r="Q21" s="40" t="str">
        <f t="shared" si="5"/>
        <v/>
      </c>
      <c r="R21" s="41" t="str">
        <f t="shared" si="6"/>
        <v/>
      </c>
      <c r="S21" s="131"/>
      <c r="T21" s="60" t="str">
        <f>IF(A21=0,"",VLOOKUP(A21,[3]CO!$A$3:$F$5302,5,0))</f>
        <v/>
      </c>
      <c r="U21" s="61">
        <f t="shared" si="12"/>
        <v>0</v>
      </c>
      <c r="V21" s="30"/>
      <c r="W21" s="31"/>
      <c r="X21" s="31"/>
      <c r="Y21" s="71" t="str">
        <f t="shared" si="15"/>
        <v/>
      </c>
      <c r="Z21" s="62" t="str">
        <f t="shared" si="15"/>
        <v/>
      </c>
      <c r="AA21" s="62" t="str">
        <f t="shared" si="15"/>
        <v/>
      </c>
      <c r="AB21" s="62" t="str">
        <f t="shared" si="15"/>
        <v/>
      </c>
      <c r="AC21" s="62" t="str">
        <f t="shared" si="15"/>
        <v/>
      </c>
      <c r="AD21" s="62" t="str">
        <f t="shared" si="15"/>
        <v/>
      </c>
      <c r="AE21" s="62" t="str">
        <f t="shared" si="15"/>
        <v/>
      </c>
      <c r="AF21" s="62" t="str">
        <f t="shared" si="15"/>
        <v/>
      </c>
      <c r="AG21" s="62" t="str">
        <f t="shared" si="15"/>
        <v/>
      </c>
      <c r="AH21" s="62" t="str">
        <f t="shared" si="15"/>
        <v/>
      </c>
      <c r="AI21" s="62" t="str">
        <f t="shared" si="15"/>
        <v/>
      </c>
      <c r="AJ21" s="62" t="str">
        <f t="shared" si="15"/>
        <v/>
      </c>
      <c r="AK21" s="62" t="str">
        <f t="shared" si="15"/>
        <v/>
      </c>
      <c r="AL21" s="62" t="str">
        <f t="shared" si="15"/>
        <v/>
      </c>
      <c r="AM21" s="62" t="str">
        <f t="shared" si="15"/>
        <v/>
      </c>
      <c r="AN21" s="62" t="str">
        <f t="shared" si="15"/>
        <v/>
      </c>
      <c r="AO21" s="62" t="str">
        <f t="shared" si="16"/>
        <v/>
      </c>
      <c r="AP21" s="62" t="str">
        <f t="shared" si="16"/>
        <v/>
      </c>
      <c r="AQ21" s="62" t="str">
        <f t="shared" si="16"/>
        <v/>
      </c>
      <c r="AR21" s="62" t="str">
        <f t="shared" si="16"/>
        <v/>
      </c>
      <c r="AS21" s="62" t="str">
        <f t="shared" si="16"/>
        <v/>
      </c>
      <c r="AT21" s="62" t="str">
        <f t="shared" si="16"/>
        <v/>
      </c>
      <c r="AU21" s="62" t="str">
        <f t="shared" si="16"/>
        <v/>
      </c>
      <c r="AV21" s="62" t="str">
        <f t="shared" si="16"/>
        <v/>
      </c>
      <c r="AW21" s="62" t="str">
        <f t="shared" si="16"/>
        <v/>
      </c>
      <c r="AX21" s="62" t="str">
        <f t="shared" si="16"/>
        <v/>
      </c>
      <c r="AY21" s="62" t="str">
        <f t="shared" si="16"/>
        <v/>
      </c>
      <c r="AZ21" s="62" t="str">
        <f t="shared" si="16"/>
        <v/>
      </c>
      <c r="BA21" s="62" t="str">
        <f t="shared" si="16"/>
        <v/>
      </c>
      <c r="BB21" s="62" t="str">
        <f t="shared" si="16"/>
        <v/>
      </c>
      <c r="BC21" s="62" t="str">
        <f t="shared" si="16"/>
        <v/>
      </c>
      <c r="BD21" s="62" t="str">
        <f t="shared" si="16"/>
        <v/>
      </c>
      <c r="BE21" s="62" t="str">
        <f t="shared" si="16"/>
        <v/>
      </c>
      <c r="BF21" s="62" t="str">
        <f t="shared" si="16"/>
        <v/>
      </c>
      <c r="BG21" s="62" t="str">
        <f t="shared" si="16"/>
        <v/>
      </c>
      <c r="BH21" s="62" t="str">
        <f t="shared" si="16"/>
        <v/>
      </c>
      <c r="BI21" s="62" t="str">
        <f t="shared" si="17"/>
        <v/>
      </c>
      <c r="BJ21" s="62" t="str">
        <f t="shared" si="17"/>
        <v/>
      </c>
      <c r="BK21" s="62" t="str">
        <f t="shared" si="17"/>
        <v/>
      </c>
      <c r="BL21" s="62" t="str">
        <f t="shared" si="17"/>
        <v/>
      </c>
      <c r="BM21" s="62" t="str">
        <f t="shared" si="17"/>
        <v/>
      </c>
      <c r="BN21" s="62" t="str">
        <f t="shared" si="17"/>
        <v/>
      </c>
      <c r="BO21" s="62" t="str">
        <f t="shared" si="17"/>
        <v/>
      </c>
      <c r="BP21" s="62" t="str">
        <f t="shared" si="17"/>
        <v/>
      </c>
      <c r="BQ21" s="62" t="str">
        <f t="shared" si="17"/>
        <v/>
      </c>
      <c r="BR21" s="62" t="str">
        <f t="shared" si="17"/>
        <v/>
      </c>
      <c r="BS21" s="62" t="str">
        <f t="shared" si="17"/>
        <v/>
      </c>
      <c r="BT21" s="62" t="str">
        <f t="shared" si="17"/>
        <v/>
      </c>
      <c r="BU21" s="62" t="str">
        <f t="shared" si="17"/>
        <v/>
      </c>
      <c r="BV21" s="62" t="str">
        <f t="shared" si="17"/>
        <v/>
      </c>
      <c r="BW21" s="62" t="str">
        <f t="shared" si="17"/>
        <v/>
      </c>
      <c r="BX21" s="62" t="str">
        <f t="shared" si="17"/>
        <v/>
      </c>
      <c r="BY21" s="62" t="str">
        <f t="shared" si="17"/>
        <v/>
      </c>
      <c r="BZ21" s="62" t="str">
        <f t="shared" si="17"/>
        <v/>
      </c>
      <c r="CA21" s="62" t="str">
        <f t="shared" si="17"/>
        <v/>
      </c>
      <c r="CB21" s="62" t="str">
        <f t="shared" si="17"/>
        <v/>
      </c>
      <c r="CC21" s="62" t="str">
        <f t="shared" si="17"/>
        <v/>
      </c>
      <c r="CD21" s="62" t="str">
        <f t="shared" si="17"/>
        <v/>
      </c>
      <c r="CE21" s="62" t="str">
        <f t="shared" si="17"/>
        <v/>
      </c>
      <c r="CF21" s="62" t="str">
        <f t="shared" si="17"/>
        <v/>
      </c>
      <c r="CG21" s="62" t="str">
        <f t="shared" si="17"/>
        <v/>
      </c>
      <c r="CH21" s="62" t="str">
        <f t="shared" si="17"/>
        <v/>
      </c>
      <c r="CI21" s="62" t="str">
        <f t="shared" si="17"/>
        <v/>
      </c>
      <c r="CJ21" s="62" t="str">
        <f t="shared" si="13"/>
        <v/>
      </c>
      <c r="CK21" s="62" t="str">
        <f t="shared" si="13"/>
        <v/>
      </c>
      <c r="CL21" s="62" t="str">
        <f t="shared" si="13"/>
        <v/>
      </c>
      <c r="CM21" s="62" t="str">
        <f t="shared" si="13"/>
        <v/>
      </c>
      <c r="CN21" s="62" t="str">
        <f t="shared" si="13"/>
        <v/>
      </c>
      <c r="CO21" s="62" t="str">
        <f t="shared" si="13"/>
        <v/>
      </c>
      <c r="CP21" s="62" t="str">
        <f t="shared" si="13"/>
        <v/>
      </c>
      <c r="CQ21" s="62" t="str">
        <f t="shared" si="13"/>
        <v/>
      </c>
      <c r="CR21" s="62" t="str">
        <f t="shared" si="13"/>
        <v/>
      </c>
      <c r="CS21" s="62" t="str">
        <f t="shared" si="13"/>
        <v/>
      </c>
      <c r="CT21" s="62" t="str">
        <f t="shared" si="13"/>
        <v/>
      </c>
      <c r="CU21" s="62" t="str">
        <f t="shared" si="13"/>
        <v/>
      </c>
      <c r="CV21" s="62" t="str">
        <f t="shared" si="13"/>
        <v/>
      </c>
      <c r="CW21" s="62" t="str">
        <f t="shared" si="13"/>
        <v/>
      </c>
      <c r="CX21" s="62" t="str">
        <f t="shared" si="13"/>
        <v/>
      </c>
      <c r="CY21" s="62" t="str">
        <f t="shared" si="13"/>
        <v/>
      </c>
      <c r="CZ21" s="62" t="str">
        <f t="shared" si="8"/>
        <v/>
      </c>
      <c r="DA21" s="62" t="str">
        <f t="shared" si="8"/>
        <v/>
      </c>
      <c r="DB21" s="62" t="str">
        <f t="shared" si="8"/>
        <v/>
      </c>
      <c r="DC21" s="62" t="str">
        <f t="shared" si="8"/>
        <v/>
      </c>
      <c r="DD21" s="62" t="str">
        <f t="shared" si="8"/>
        <v/>
      </c>
      <c r="DE21" s="62" t="str">
        <f t="shared" si="8"/>
        <v/>
      </c>
      <c r="DF21" s="62" t="str">
        <f t="shared" si="8"/>
        <v/>
      </c>
      <c r="DG21" s="62" t="str">
        <f t="shared" si="8"/>
        <v/>
      </c>
      <c r="DH21" s="62" t="str">
        <f t="shared" si="8"/>
        <v/>
      </c>
      <c r="DI21" s="62" t="str">
        <f t="shared" si="8"/>
        <v/>
      </c>
      <c r="DJ21" s="62" t="str">
        <f t="shared" si="8"/>
        <v/>
      </c>
      <c r="DK21" s="62" t="str">
        <f t="shared" si="8"/>
        <v/>
      </c>
      <c r="DL21" s="62" t="str">
        <f t="shared" si="8"/>
        <v/>
      </c>
      <c r="DM21" s="62" t="str">
        <f t="shared" si="8"/>
        <v/>
      </c>
      <c r="DN21" s="62" t="str">
        <f t="shared" si="8"/>
        <v/>
      </c>
      <c r="DO21" s="62" t="str">
        <f t="shared" si="8"/>
        <v/>
      </c>
      <c r="DP21" s="62" t="str">
        <f t="shared" si="8"/>
        <v/>
      </c>
      <c r="DQ21" s="62" t="str">
        <f t="shared" si="8"/>
        <v/>
      </c>
      <c r="DR21" s="62" t="str">
        <f t="shared" si="8"/>
        <v/>
      </c>
      <c r="DS21" s="62" t="str">
        <f t="shared" si="8"/>
        <v/>
      </c>
      <c r="DT21" s="117" t="str">
        <f t="shared" si="8"/>
        <v/>
      </c>
      <c r="DU21" s="61"/>
      <c r="DV21" s="31"/>
      <c r="DW21" s="68" t="str">
        <f t="shared" si="18"/>
        <v/>
      </c>
      <c r="DX21" s="57" t="str">
        <f t="shared" si="18"/>
        <v/>
      </c>
      <c r="DY21" s="57" t="str">
        <f t="shared" si="18"/>
        <v/>
      </c>
      <c r="DZ21" s="57" t="str">
        <f t="shared" si="18"/>
        <v/>
      </c>
      <c r="EA21" s="57" t="str">
        <f t="shared" si="18"/>
        <v/>
      </c>
      <c r="EB21" s="57" t="str">
        <f t="shared" si="18"/>
        <v/>
      </c>
      <c r="EC21" s="57" t="str">
        <f t="shared" si="18"/>
        <v/>
      </c>
      <c r="ED21" s="57" t="str">
        <f t="shared" si="18"/>
        <v/>
      </c>
      <c r="EE21" s="57" t="str">
        <f t="shared" si="18"/>
        <v/>
      </c>
      <c r="EF21" s="57" t="str">
        <f t="shared" si="18"/>
        <v/>
      </c>
      <c r="EG21" s="57" t="str">
        <f t="shared" si="18"/>
        <v/>
      </c>
      <c r="EH21" s="57" t="str">
        <f t="shared" si="18"/>
        <v/>
      </c>
      <c r="EI21" s="57" t="str">
        <f t="shared" si="18"/>
        <v/>
      </c>
      <c r="EJ21" s="57" t="str">
        <f t="shared" si="18"/>
        <v/>
      </c>
      <c r="EK21" s="57" t="str">
        <f t="shared" si="18"/>
        <v/>
      </c>
      <c r="EL21" s="57" t="str">
        <f t="shared" si="18"/>
        <v/>
      </c>
      <c r="EM21" s="57" t="str">
        <f t="shared" si="19"/>
        <v/>
      </c>
      <c r="EN21" s="57" t="str">
        <f t="shared" si="19"/>
        <v/>
      </c>
      <c r="EO21" s="57" t="str">
        <f t="shared" si="19"/>
        <v/>
      </c>
      <c r="EP21" s="57" t="str">
        <f t="shared" si="19"/>
        <v/>
      </c>
      <c r="EQ21" s="57" t="str">
        <f t="shared" si="19"/>
        <v/>
      </c>
      <c r="ER21" s="57" t="str">
        <f t="shared" si="19"/>
        <v/>
      </c>
      <c r="ES21" s="57" t="str">
        <f t="shared" si="19"/>
        <v/>
      </c>
      <c r="ET21" s="57" t="str">
        <f t="shared" si="19"/>
        <v/>
      </c>
      <c r="EU21" s="57" t="str">
        <f t="shared" si="19"/>
        <v/>
      </c>
      <c r="EV21" s="57" t="str">
        <f t="shared" si="19"/>
        <v/>
      </c>
      <c r="EW21" s="57" t="str">
        <f t="shared" si="19"/>
        <v/>
      </c>
      <c r="EX21" s="57" t="str">
        <f t="shared" si="19"/>
        <v/>
      </c>
      <c r="EY21" s="57" t="str">
        <f t="shared" si="19"/>
        <v/>
      </c>
      <c r="EZ21" s="57" t="str">
        <f t="shared" si="19"/>
        <v/>
      </c>
      <c r="FA21" s="57" t="str">
        <f t="shared" si="19"/>
        <v/>
      </c>
      <c r="FB21" s="57" t="str">
        <f t="shared" si="19"/>
        <v/>
      </c>
      <c r="FC21" s="57" t="str">
        <f t="shared" si="20"/>
        <v/>
      </c>
      <c r="FD21" s="57" t="str">
        <f t="shared" si="20"/>
        <v/>
      </c>
      <c r="FE21" s="57" t="str">
        <f t="shared" si="20"/>
        <v/>
      </c>
      <c r="FF21" s="57" t="str">
        <f t="shared" si="20"/>
        <v/>
      </c>
      <c r="FG21" s="57" t="str">
        <f t="shared" si="20"/>
        <v/>
      </c>
      <c r="FH21" s="57" t="str">
        <f t="shared" si="20"/>
        <v/>
      </c>
      <c r="FI21" s="57" t="str">
        <f t="shared" si="20"/>
        <v/>
      </c>
      <c r="FJ21" s="57" t="str">
        <f t="shared" si="20"/>
        <v/>
      </c>
      <c r="FK21" s="57" t="str">
        <f t="shared" si="20"/>
        <v/>
      </c>
      <c r="FL21" s="57" t="str">
        <f t="shared" si="20"/>
        <v/>
      </c>
      <c r="FM21" s="57" t="str">
        <f t="shared" si="20"/>
        <v/>
      </c>
      <c r="FN21" s="57" t="str">
        <f t="shared" si="20"/>
        <v/>
      </c>
      <c r="FO21" s="57" t="str">
        <f t="shared" si="20"/>
        <v/>
      </c>
      <c r="FP21" s="57" t="str">
        <f t="shared" si="20"/>
        <v/>
      </c>
      <c r="FQ21" s="57" t="str">
        <f t="shared" si="20"/>
        <v/>
      </c>
      <c r="FR21" s="57" t="str">
        <f t="shared" si="20"/>
        <v/>
      </c>
      <c r="FS21" s="57" t="str">
        <f t="shared" si="20"/>
        <v/>
      </c>
      <c r="FT21" s="57" t="str">
        <f t="shared" si="20"/>
        <v/>
      </c>
      <c r="FU21" s="57" t="str">
        <f t="shared" si="20"/>
        <v/>
      </c>
      <c r="FV21" s="57" t="str">
        <f t="shared" si="20"/>
        <v/>
      </c>
      <c r="FW21" s="57" t="str">
        <f t="shared" si="20"/>
        <v/>
      </c>
      <c r="FX21" s="57" t="str">
        <f t="shared" si="20"/>
        <v/>
      </c>
      <c r="FY21" s="57" t="str">
        <f t="shared" si="20"/>
        <v/>
      </c>
      <c r="FZ21" s="57" t="str">
        <f t="shared" si="20"/>
        <v/>
      </c>
      <c r="GA21" s="57" t="str">
        <f t="shared" si="20"/>
        <v/>
      </c>
      <c r="GB21" s="57" t="str">
        <f t="shared" si="20"/>
        <v/>
      </c>
      <c r="GC21" s="57" t="str">
        <f t="shared" si="20"/>
        <v/>
      </c>
      <c r="GD21" s="57" t="str">
        <f t="shared" si="20"/>
        <v/>
      </c>
      <c r="GE21" s="57" t="str">
        <f t="shared" si="20"/>
        <v/>
      </c>
      <c r="GF21" s="57" t="str">
        <f t="shared" si="20"/>
        <v/>
      </c>
      <c r="GG21" s="57" t="str">
        <f t="shared" si="20"/>
        <v/>
      </c>
      <c r="GH21" s="57" t="str">
        <f t="shared" si="20"/>
        <v/>
      </c>
      <c r="GI21" s="57" t="str">
        <f t="shared" si="20"/>
        <v/>
      </c>
      <c r="GJ21" s="57" t="str">
        <f t="shared" si="20"/>
        <v/>
      </c>
      <c r="GK21" s="57" t="str">
        <f t="shared" si="20"/>
        <v/>
      </c>
      <c r="GL21" s="57" t="str">
        <f t="shared" si="10"/>
        <v/>
      </c>
      <c r="GM21" s="57" t="str">
        <f t="shared" si="10"/>
        <v/>
      </c>
      <c r="GN21" s="57" t="str">
        <f t="shared" si="10"/>
        <v/>
      </c>
      <c r="GO21" s="57" t="str">
        <f t="shared" si="10"/>
        <v/>
      </c>
      <c r="GP21" s="57" t="str">
        <f t="shared" si="10"/>
        <v/>
      </c>
      <c r="GQ21" s="57" t="str">
        <f t="shared" si="10"/>
        <v/>
      </c>
      <c r="GR21" s="57" t="str">
        <f t="shared" si="10"/>
        <v/>
      </c>
      <c r="GS21" s="57" t="str">
        <f t="shared" si="10"/>
        <v/>
      </c>
      <c r="GT21" s="57" t="str">
        <f t="shared" si="10"/>
        <v/>
      </c>
      <c r="GU21" s="57" t="str">
        <f t="shared" si="10"/>
        <v/>
      </c>
      <c r="GV21" s="57" t="str">
        <f t="shared" si="10"/>
        <v/>
      </c>
      <c r="GW21" s="57" t="str">
        <f t="shared" si="10"/>
        <v/>
      </c>
      <c r="GX21" s="57" t="str">
        <f t="shared" si="10"/>
        <v/>
      </c>
      <c r="GY21" s="57" t="str">
        <f t="shared" si="10"/>
        <v/>
      </c>
      <c r="GZ21" s="57" t="str">
        <f t="shared" si="10"/>
        <v/>
      </c>
      <c r="HA21" s="57" t="str">
        <f t="shared" ref="HA21:HR21" si="21">IF($B21=HA$12,$O21,"")</f>
        <v/>
      </c>
      <c r="HB21" s="57" t="str">
        <f t="shared" si="21"/>
        <v/>
      </c>
      <c r="HC21" s="57" t="str">
        <f t="shared" si="21"/>
        <v/>
      </c>
      <c r="HD21" s="57" t="str">
        <f t="shared" si="21"/>
        <v/>
      </c>
      <c r="HE21" s="57" t="str">
        <f t="shared" si="21"/>
        <v/>
      </c>
      <c r="HF21" s="57" t="str">
        <f t="shared" si="21"/>
        <v/>
      </c>
      <c r="HG21" s="57" t="str">
        <f t="shared" si="21"/>
        <v/>
      </c>
      <c r="HH21" s="57" t="str">
        <f t="shared" si="21"/>
        <v/>
      </c>
      <c r="HI21" s="57" t="str">
        <f t="shared" si="21"/>
        <v/>
      </c>
      <c r="HJ21" s="57" t="str">
        <f t="shared" si="21"/>
        <v/>
      </c>
      <c r="HK21" s="57" t="str">
        <f t="shared" si="21"/>
        <v/>
      </c>
      <c r="HL21" s="57" t="str">
        <f t="shared" si="21"/>
        <v/>
      </c>
      <c r="HM21" s="57" t="str">
        <f t="shared" si="21"/>
        <v/>
      </c>
      <c r="HN21" s="57" t="str">
        <f t="shared" si="21"/>
        <v/>
      </c>
      <c r="HO21" s="57" t="str">
        <f t="shared" si="21"/>
        <v/>
      </c>
      <c r="HP21" s="57" t="str">
        <f t="shared" si="21"/>
        <v/>
      </c>
      <c r="HQ21" s="57" t="str">
        <f t="shared" si="21"/>
        <v/>
      </c>
      <c r="HR21" s="123" t="str">
        <f t="shared" si="21"/>
        <v/>
      </c>
    </row>
    <row r="22" spans="1:226" ht="11.15" customHeight="1" x14ac:dyDescent="0.25">
      <c r="A22" s="32"/>
      <c r="B22" s="33"/>
      <c r="C22" s="34" t="str">
        <f>IF(A22=0,"",VLOOKUP(A22,[3]CO!$A$3:$F$5311,2,0))</f>
        <v/>
      </c>
      <c r="D22" s="35"/>
      <c r="E22" s="35"/>
      <c r="F22" s="35"/>
      <c r="G22" s="36" t="str">
        <f>IF(A22=0,"",VLOOKUP(A22,[3]CO!$A$3:$F$5311,3,0))</f>
        <v/>
      </c>
      <c r="H22" s="35"/>
      <c r="I22" s="37"/>
      <c r="J22" s="37"/>
      <c r="K22" s="37"/>
      <c r="L22" s="37"/>
      <c r="M22" s="38" t="str">
        <f t="shared" si="4"/>
        <v/>
      </c>
      <c r="N22" s="38" t="str">
        <f>IF(B22=0,"",IF(H22="M",HLOOKUP(B22,$Y$12:$DT$13,2),IF(A22=0,"",VLOOKUP(A22,[3]CO!$A$3:$F$5311,4,0))))</f>
        <v/>
      </c>
      <c r="O22" s="38" t="str">
        <f t="shared" si="11"/>
        <v/>
      </c>
      <c r="P22" s="39"/>
      <c r="Q22" s="40" t="str">
        <f t="shared" si="5"/>
        <v/>
      </c>
      <c r="R22" s="41" t="str">
        <f t="shared" si="6"/>
        <v/>
      </c>
      <c r="S22" s="131"/>
      <c r="T22" s="60" t="str">
        <f>IF(A22=0,"",VLOOKUP(A22,[3]CO!$A$3:$F$5302,5,0))</f>
        <v/>
      </c>
      <c r="U22" s="61">
        <f t="shared" si="12"/>
        <v>0</v>
      </c>
      <c r="V22" s="30"/>
      <c r="W22" s="31"/>
      <c r="X22" s="31"/>
      <c r="Y22" s="71" t="str">
        <f t="shared" si="15"/>
        <v/>
      </c>
      <c r="Z22" s="62" t="str">
        <f t="shared" si="15"/>
        <v/>
      </c>
      <c r="AA22" s="62" t="str">
        <f t="shared" si="15"/>
        <v/>
      </c>
      <c r="AB22" s="62" t="str">
        <f t="shared" si="15"/>
        <v/>
      </c>
      <c r="AC22" s="62" t="str">
        <f t="shared" si="15"/>
        <v/>
      </c>
      <c r="AD22" s="62" t="str">
        <f t="shared" si="15"/>
        <v/>
      </c>
      <c r="AE22" s="62" t="str">
        <f t="shared" si="15"/>
        <v/>
      </c>
      <c r="AF22" s="62" t="str">
        <f t="shared" si="15"/>
        <v/>
      </c>
      <c r="AG22" s="62" t="str">
        <f t="shared" si="15"/>
        <v/>
      </c>
      <c r="AH22" s="62" t="str">
        <f t="shared" si="15"/>
        <v/>
      </c>
      <c r="AI22" s="62" t="str">
        <f t="shared" si="15"/>
        <v/>
      </c>
      <c r="AJ22" s="62" t="str">
        <f t="shared" si="15"/>
        <v/>
      </c>
      <c r="AK22" s="62" t="str">
        <f t="shared" si="15"/>
        <v/>
      </c>
      <c r="AL22" s="62" t="str">
        <f t="shared" si="15"/>
        <v/>
      </c>
      <c r="AM22" s="62" t="str">
        <f t="shared" si="15"/>
        <v/>
      </c>
      <c r="AN22" s="62" t="str">
        <f t="shared" si="15"/>
        <v/>
      </c>
      <c r="AO22" s="62" t="str">
        <f t="shared" si="16"/>
        <v/>
      </c>
      <c r="AP22" s="62" t="str">
        <f t="shared" si="16"/>
        <v/>
      </c>
      <c r="AQ22" s="62" t="str">
        <f t="shared" si="16"/>
        <v/>
      </c>
      <c r="AR22" s="62" t="str">
        <f t="shared" si="16"/>
        <v/>
      </c>
      <c r="AS22" s="62" t="str">
        <f t="shared" si="16"/>
        <v/>
      </c>
      <c r="AT22" s="62" t="str">
        <f t="shared" si="16"/>
        <v/>
      </c>
      <c r="AU22" s="62" t="str">
        <f t="shared" si="16"/>
        <v/>
      </c>
      <c r="AV22" s="62" t="str">
        <f t="shared" si="16"/>
        <v/>
      </c>
      <c r="AW22" s="62" t="str">
        <f t="shared" si="16"/>
        <v/>
      </c>
      <c r="AX22" s="62" t="str">
        <f t="shared" si="16"/>
        <v/>
      </c>
      <c r="AY22" s="62" t="str">
        <f t="shared" si="16"/>
        <v/>
      </c>
      <c r="AZ22" s="62" t="str">
        <f t="shared" si="16"/>
        <v/>
      </c>
      <c r="BA22" s="62" t="str">
        <f t="shared" si="16"/>
        <v/>
      </c>
      <c r="BB22" s="62" t="str">
        <f t="shared" si="16"/>
        <v/>
      </c>
      <c r="BC22" s="62" t="str">
        <f t="shared" si="16"/>
        <v/>
      </c>
      <c r="BD22" s="62" t="str">
        <f t="shared" si="16"/>
        <v/>
      </c>
      <c r="BE22" s="62" t="str">
        <f t="shared" si="16"/>
        <v/>
      </c>
      <c r="BF22" s="62" t="str">
        <f t="shared" si="16"/>
        <v/>
      </c>
      <c r="BG22" s="62" t="str">
        <f t="shared" si="16"/>
        <v/>
      </c>
      <c r="BH22" s="62" t="str">
        <f t="shared" si="16"/>
        <v/>
      </c>
      <c r="BI22" s="62" t="str">
        <f t="shared" si="17"/>
        <v/>
      </c>
      <c r="BJ22" s="62" t="str">
        <f t="shared" si="17"/>
        <v/>
      </c>
      <c r="BK22" s="62" t="str">
        <f t="shared" si="17"/>
        <v/>
      </c>
      <c r="BL22" s="62" t="str">
        <f t="shared" si="17"/>
        <v/>
      </c>
      <c r="BM22" s="62" t="str">
        <f t="shared" si="17"/>
        <v/>
      </c>
      <c r="BN22" s="62" t="str">
        <f t="shared" si="17"/>
        <v/>
      </c>
      <c r="BO22" s="62" t="str">
        <f t="shared" si="17"/>
        <v/>
      </c>
      <c r="BP22" s="62" t="str">
        <f t="shared" si="17"/>
        <v/>
      </c>
      <c r="BQ22" s="62" t="str">
        <f t="shared" si="17"/>
        <v/>
      </c>
      <c r="BR22" s="62" t="str">
        <f t="shared" si="17"/>
        <v/>
      </c>
      <c r="BS22" s="62" t="str">
        <f t="shared" si="17"/>
        <v/>
      </c>
      <c r="BT22" s="62" t="str">
        <f t="shared" si="17"/>
        <v/>
      </c>
      <c r="BU22" s="62" t="str">
        <f t="shared" si="17"/>
        <v/>
      </c>
      <c r="BV22" s="62" t="str">
        <f t="shared" si="17"/>
        <v/>
      </c>
      <c r="BW22" s="62" t="str">
        <f t="shared" si="17"/>
        <v/>
      </c>
      <c r="BX22" s="62" t="str">
        <f t="shared" si="17"/>
        <v/>
      </c>
      <c r="BY22" s="62" t="str">
        <f t="shared" si="17"/>
        <v/>
      </c>
      <c r="BZ22" s="62" t="str">
        <f t="shared" si="17"/>
        <v/>
      </c>
      <c r="CA22" s="62" t="str">
        <f t="shared" si="17"/>
        <v/>
      </c>
      <c r="CB22" s="62" t="str">
        <f t="shared" si="17"/>
        <v/>
      </c>
      <c r="CC22" s="62" t="str">
        <f t="shared" si="17"/>
        <v/>
      </c>
      <c r="CD22" s="62" t="str">
        <f t="shared" si="17"/>
        <v/>
      </c>
      <c r="CE22" s="62" t="str">
        <f t="shared" si="17"/>
        <v/>
      </c>
      <c r="CF22" s="62" t="str">
        <f t="shared" si="17"/>
        <v/>
      </c>
      <c r="CG22" s="62" t="str">
        <f t="shared" si="17"/>
        <v/>
      </c>
      <c r="CH22" s="62" t="str">
        <f t="shared" si="17"/>
        <v/>
      </c>
      <c r="CI22" s="62" t="str">
        <f t="shared" si="17"/>
        <v/>
      </c>
      <c r="CJ22" s="62" t="str">
        <f t="shared" si="13"/>
        <v/>
      </c>
      <c r="CK22" s="62" t="str">
        <f t="shared" si="13"/>
        <v/>
      </c>
      <c r="CL22" s="62" t="str">
        <f t="shared" si="13"/>
        <v/>
      </c>
      <c r="CM22" s="62" t="str">
        <f t="shared" si="13"/>
        <v/>
      </c>
      <c r="CN22" s="62" t="str">
        <f t="shared" si="13"/>
        <v/>
      </c>
      <c r="CO22" s="62" t="str">
        <f t="shared" si="13"/>
        <v/>
      </c>
      <c r="CP22" s="62" t="str">
        <f t="shared" si="13"/>
        <v/>
      </c>
      <c r="CQ22" s="62" t="str">
        <f t="shared" si="13"/>
        <v/>
      </c>
      <c r="CR22" s="62" t="str">
        <f t="shared" si="13"/>
        <v/>
      </c>
      <c r="CS22" s="62" t="str">
        <f t="shared" si="13"/>
        <v/>
      </c>
      <c r="CT22" s="62" t="str">
        <f t="shared" si="13"/>
        <v/>
      </c>
      <c r="CU22" s="62" t="str">
        <f t="shared" si="13"/>
        <v/>
      </c>
      <c r="CV22" s="62" t="str">
        <f t="shared" si="13"/>
        <v/>
      </c>
      <c r="CW22" s="62" t="str">
        <f t="shared" si="13"/>
        <v/>
      </c>
      <c r="CX22" s="62" t="str">
        <f t="shared" si="13"/>
        <v/>
      </c>
      <c r="CY22" s="62" t="str">
        <f t="shared" si="13"/>
        <v/>
      </c>
      <c r="CZ22" s="62" t="str">
        <f t="shared" si="8"/>
        <v/>
      </c>
      <c r="DA22" s="62" t="str">
        <f t="shared" si="8"/>
        <v/>
      </c>
      <c r="DB22" s="62" t="str">
        <f t="shared" si="8"/>
        <v/>
      </c>
      <c r="DC22" s="62" t="str">
        <f t="shared" si="8"/>
        <v/>
      </c>
      <c r="DD22" s="62" t="str">
        <f t="shared" si="8"/>
        <v/>
      </c>
      <c r="DE22" s="62" t="str">
        <f t="shared" si="8"/>
        <v/>
      </c>
      <c r="DF22" s="62" t="str">
        <f t="shared" si="8"/>
        <v/>
      </c>
      <c r="DG22" s="62" t="str">
        <f t="shared" si="8"/>
        <v/>
      </c>
      <c r="DH22" s="62" t="str">
        <f t="shared" si="8"/>
        <v/>
      </c>
      <c r="DI22" s="62" t="str">
        <f t="shared" si="8"/>
        <v/>
      </c>
      <c r="DJ22" s="62" t="str">
        <f t="shared" si="8"/>
        <v/>
      </c>
      <c r="DK22" s="62" t="str">
        <f t="shared" si="8"/>
        <v/>
      </c>
      <c r="DL22" s="62" t="str">
        <f t="shared" si="8"/>
        <v/>
      </c>
      <c r="DM22" s="62" t="str">
        <f t="shared" si="8"/>
        <v/>
      </c>
      <c r="DN22" s="62" t="str">
        <f t="shared" si="8"/>
        <v/>
      </c>
      <c r="DO22" s="62" t="str">
        <f t="shared" si="8"/>
        <v/>
      </c>
      <c r="DP22" s="62" t="str">
        <f t="shared" si="8"/>
        <v/>
      </c>
      <c r="DQ22" s="62" t="str">
        <f t="shared" si="8"/>
        <v/>
      </c>
      <c r="DR22" s="62" t="str">
        <f t="shared" si="8"/>
        <v/>
      </c>
      <c r="DS22" s="62" t="str">
        <f t="shared" si="8"/>
        <v/>
      </c>
      <c r="DT22" s="117" t="str">
        <f t="shared" si="8"/>
        <v/>
      </c>
      <c r="DU22" s="61"/>
      <c r="DV22" s="31"/>
      <c r="DW22" s="68" t="str">
        <f t="shared" si="18"/>
        <v/>
      </c>
      <c r="DX22" s="57" t="str">
        <f t="shared" si="18"/>
        <v/>
      </c>
      <c r="DY22" s="57" t="str">
        <f t="shared" si="18"/>
        <v/>
      </c>
      <c r="DZ22" s="57" t="str">
        <f t="shared" si="18"/>
        <v/>
      </c>
      <c r="EA22" s="57" t="str">
        <f t="shared" si="18"/>
        <v/>
      </c>
      <c r="EB22" s="57" t="str">
        <f t="shared" si="18"/>
        <v/>
      </c>
      <c r="EC22" s="57" t="str">
        <f t="shared" si="18"/>
        <v/>
      </c>
      <c r="ED22" s="57" t="str">
        <f t="shared" si="18"/>
        <v/>
      </c>
      <c r="EE22" s="57" t="str">
        <f t="shared" si="18"/>
        <v/>
      </c>
      <c r="EF22" s="57" t="str">
        <f t="shared" si="18"/>
        <v/>
      </c>
      <c r="EG22" s="57" t="str">
        <f t="shared" si="18"/>
        <v/>
      </c>
      <c r="EH22" s="57" t="str">
        <f t="shared" si="18"/>
        <v/>
      </c>
      <c r="EI22" s="57" t="str">
        <f t="shared" si="18"/>
        <v/>
      </c>
      <c r="EJ22" s="57" t="str">
        <f t="shared" si="18"/>
        <v/>
      </c>
      <c r="EK22" s="57" t="str">
        <f t="shared" si="18"/>
        <v/>
      </c>
      <c r="EL22" s="57" t="str">
        <f t="shared" si="18"/>
        <v/>
      </c>
      <c r="EM22" s="57" t="str">
        <f t="shared" si="19"/>
        <v/>
      </c>
      <c r="EN22" s="57" t="str">
        <f t="shared" si="19"/>
        <v/>
      </c>
      <c r="EO22" s="57" t="str">
        <f t="shared" si="19"/>
        <v/>
      </c>
      <c r="EP22" s="57" t="str">
        <f t="shared" si="19"/>
        <v/>
      </c>
      <c r="EQ22" s="57" t="str">
        <f t="shared" si="19"/>
        <v/>
      </c>
      <c r="ER22" s="57" t="str">
        <f t="shared" si="19"/>
        <v/>
      </c>
      <c r="ES22" s="57" t="str">
        <f t="shared" si="19"/>
        <v/>
      </c>
      <c r="ET22" s="57" t="str">
        <f t="shared" si="19"/>
        <v/>
      </c>
      <c r="EU22" s="57" t="str">
        <f t="shared" si="19"/>
        <v/>
      </c>
      <c r="EV22" s="57" t="str">
        <f t="shared" si="19"/>
        <v/>
      </c>
      <c r="EW22" s="57" t="str">
        <f t="shared" si="19"/>
        <v/>
      </c>
      <c r="EX22" s="57" t="str">
        <f t="shared" si="19"/>
        <v/>
      </c>
      <c r="EY22" s="57" t="str">
        <f t="shared" si="19"/>
        <v/>
      </c>
      <c r="EZ22" s="57" t="str">
        <f t="shared" si="19"/>
        <v/>
      </c>
      <c r="FA22" s="57" t="str">
        <f t="shared" si="19"/>
        <v/>
      </c>
      <c r="FB22" s="57" t="str">
        <f t="shared" si="19"/>
        <v/>
      </c>
      <c r="FC22" s="57" t="str">
        <f t="shared" si="20"/>
        <v/>
      </c>
      <c r="FD22" s="57" t="str">
        <f t="shared" si="20"/>
        <v/>
      </c>
      <c r="FE22" s="57" t="str">
        <f t="shared" si="20"/>
        <v/>
      </c>
      <c r="FF22" s="57" t="str">
        <f t="shared" si="20"/>
        <v/>
      </c>
      <c r="FG22" s="57" t="str">
        <f t="shared" si="20"/>
        <v/>
      </c>
      <c r="FH22" s="57" t="str">
        <f t="shared" si="20"/>
        <v/>
      </c>
      <c r="FI22" s="57" t="str">
        <f t="shared" si="20"/>
        <v/>
      </c>
      <c r="FJ22" s="57" t="str">
        <f t="shared" si="20"/>
        <v/>
      </c>
      <c r="FK22" s="57" t="str">
        <f t="shared" si="20"/>
        <v/>
      </c>
      <c r="FL22" s="57" t="str">
        <f t="shared" si="20"/>
        <v/>
      </c>
      <c r="FM22" s="57" t="str">
        <f t="shared" si="20"/>
        <v/>
      </c>
      <c r="FN22" s="57" t="str">
        <f t="shared" si="20"/>
        <v/>
      </c>
      <c r="FO22" s="57" t="str">
        <f t="shared" si="20"/>
        <v/>
      </c>
      <c r="FP22" s="57" t="str">
        <f t="shared" si="20"/>
        <v/>
      </c>
      <c r="FQ22" s="57" t="str">
        <f t="shared" si="20"/>
        <v/>
      </c>
      <c r="FR22" s="57" t="str">
        <f t="shared" si="20"/>
        <v/>
      </c>
      <c r="FS22" s="57" t="str">
        <f t="shared" si="20"/>
        <v/>
      </c>
      <c r="FT22" s="57" t="str">
        <f t="shared" si="20"/>
        <v/>
      </c>
      <c r="FU22" s="57" t="str">
        <f t="shared" si="20"/>
        <v/>
      </c>
      <c r="FV22" s="57" t="str">
        <f t="shared" si="20"/>
        <v/>
      </c>
      <c r="FW22" s="57" t="str">
        <f t="shared" si="20"/>
        <v/>
      </c>
      <c r="FX22" s="57" t="str">
        <f t="shared" si="20"/>
        <v/>
      </c>
      <c r="FY22" s="57" t="str">
        <f t="shared" si="20"/>
        <v/>
      </c>
      <c r="FZ22" s="57" t="str">
        <f t="shared" si="20"/>
        <v/>
      </c>
      <c r="GA22" s="57" t="str">
        <f t="shared" si="20"/>
        <v/>
      </c>
      <c r="GB22" s="57" t="str">
        <f t="shared" si="20"/>
        <v/>
      </c>
      <c r="GC22" s="57" t="str">
        <f t="shared" si="20"/>
        <v/>
      </c>
      <c r="GD22" s="57" t="str">
        <f t="shared" si="20"/>
        <v/>
      </c>
      <c r="GE22" s="57" t="str">
        <f t="shared" si="20"/>
        <v/>
      </c>
      <c r="GF22" s="57" t="str">
        <f t="shared" si="20"/>
        <v/>
      </c>
      <c r="GG22" s="57" t="str">
        <f t="shared" si="20"/>
        <v/>
      </c>
      <c r="GH22" s="57" t="str">
        <f t="shared" si="20"/>
        <v/>
      </c>
      <c r="GI22" s="57" t="str">
        <f t="shared" si="20"/>
        <v/>
      </c>
      <c r="GJ22" s="57" t="str">
        <f t="shared" si="20"/>
        <v/>
      </c>
      <c r="GK22" s="57" t="str">
        <f t="shared" si="20"/>
        <v/>
      </c>
      <c r="GL22" s="57" t="str">
        <f t="shared" ref="GL22:HR29" si="22">IF($B22=GL$12,$O22,"")</f>
        <v/>
      </c>
      <c r="GM22" s="57" t="str">
        <f t="shared" si="22"/>
        <v/>
      </c>
      <c r="GN22" s="57" t="str">
        <f t="shared" si="22"/>
        <v/>
      </c>
      <c r="GO22" s="57" t="str">
        <f t="shared" si="22"/>
        <v/>
      </c>
      <c r="GP22" s="57" t="str">
        <f t="shared" si="22"/>
        <v/>
      </c>
      <c r="GQ22" s="57" t="str">
        <f t="shared" si="22"/>
        <v/>
      </c>
      <c r="GR22" s="57" t="str">
        <f t="shared" si="22"/>
        <v/>
      </c>
      <c r="GS22" s="57" t="str">
        <f t="shared" si="22"/>
        <v/>
      </c>
      <c r="GT22" s="57" t="str">
        <f t="shared" si="22"/>
        <v/>
      </c>
      <c r="GU22" s="57" t="str">
        <f t="shared" si="22"/>
        <v/>
      </c>
      <c r="GV22" s="57" t="str">
        <f t="shared" si="22"/>
        <v/>
      </c>
      <c r="GW22" s="57" t="str">
        <f t="shared" si="22"/>
        <v/>
      </c>
      <c r="GX22" s="57" t="str">
        <f t="shared" si="22"/>
        <v/>
      </c>
      <c r="GY22" s="57" t="str">
        <f t="shared" si="22"/>
        <v/>
      </c>
      <c r="GZ22" s="57" t="str">
        <f t="shared" si="22"/>
        <v/>
      </c>
      <c r="HA22" s="57" t="str">
        <f t="shared" si="22"/>
        <v/>
      </c>
      <c r="HB22" s="57" t="str">
        <f t="shared" si="22"/>
        <v/>
      </c>
      <c r="HC22" s="57" t="str">
        <f t="shared" si="22"/>
        <v/>
      </c>
      <c r="HD22" s="57" t="str">
        <f t="shared" si="22"/>
        <v/>
      </c>
      <c r="HE22" s="57" t="str">
        <f t="shared" si="22"/>
        <v/>
      </c>
      <c r="HF22" s="57" t="str">
        <f t="shared" si="22"/>
        <v/>
      </c>
      <c r="HG22" s="57" t="str">
        <f t="shared" si="22"/>
        <v/>
      </c>
      <c r="HH22" s="57" t="str">
        <f t="shared" si="22"/>
        <v/>
      </c>
      <c r="HI22" s="57" t="str">
        <f t="shared" si="22"/>
        <v/>
      </c>
      <c r="HJ22" s="57" t="str">
        <f t="shared" si="22"/>
        <v/>
      </c>
      <c r="HK22" s="57" t="str">
        <f t="shared" si="22"/>
        <v/>
      </c>
      <c r="HL22" s="57" t="str">
        <f t="shared" si="22"/>
        <v/>
      </c>
      <c r="HM22" s="57" t="str">
        <f t="shared" si="22"/>
        <v/>
      </c>
      <c r="HN22" s="57" t="str">
        <f t="shared" si="22"/>
        <v/>
      </c>
      <c r="HO22" s="57" t="str">
        <f t="shared" si="22"/>
        <v/>
      </c>
      <c r="HP22" s="57" t="str">
        <f t="shared" si="22"/>
        <v/>
      </c>
      <c r="HQ22" s="57" t="str">
        <f t="shared" si="22"/>
        <v/>
      </c>
      <c r="HR22" s="123" t="str">
        <f t="shared" si="22"/>
        <v/>
      </c>
    </row>
    <row r="23" spans="1:226" ht="11.15" customHeight="1" x14ac:dyDescent="0.25">
      <c r="A23" s="32"/>
      <c r="B23" s="33"/>
      <c r="C23" s="34" t="str">
        <f>IF(A23=0,"",VLOOKUP(A23,[3]CO!$A$3:$F$5311,2,0))</f>
        <v/>
      </c>
      <c r="D23" s="35"/>
      <c r="E23" s="35"/>
      <c r="F23" s="35"/>
      <c r="G23" s="36" t="str">
        <f>IF(A23=0,"",VLOOKUP(A23,[3]CO!$A$3:$F$5311,3,0))</f>
        <v/>
      </c>
      <c r="H23" s="35"/>
      <c r="I23" s="37"/>
      <c r="J23" s="37"/>
      <c r="K23" s="37"/>
      <c r="L23" s="37"/>
      <c r="M23" s="38" t="str">
        <f t="shared" si="4"/>
        <v/>
      </c>
      <c r="N23" s="38" t="str">
        <f>IF(B23=0,"",IF(H23="M",HLOOKUP(B23,$Y$12:$DT$13,2),IF(A23=0,"",VLOOKUP(A23,[3]CO!$A$3:$F$5311,4,0))))</f>
        <v/>
      </c>
      <c r="O23" s="38" t="str">
        <f t="shared" si="11"/>
        <v/>
      </c>
      <c r="P23" s="39"/>
      <c r="Q23" s="40" t="str">
        <f t="shared" si="5"/>
        <v/>
      </c>
      <c r="R23" s="41" t="str">
        <f t="shared" si="6"/>
        <v/>
      </c>
      <c r="S23" s="131"/>
      <c r="T23" s="60" t="str">
        <f>IF(A23=0,"",VLOOKUP(A23,[3]CO!$A$3:$F$5302,5,0))</f>
        <v/>
      </c>
      <c r="U23" s="61">
        <f t="shared" si="12"/>
        <v>0</v>
      </c>
      <c r="V23" s="30"/>
      <c r="W23" s="31"/>
      <c r="X23" s="31"/>
      <c r="Y23" s="71" t="str">
        <f t="shared" si="15"/>
        <v/>
      </c>
      <c r="Z23" s="62" t="str">
        <f t="shared" si="15"/>
        <v/>
      </c>
      <c r="AA23" s="62" t="str">
        <f t="shared" si="15"/>
        <v/>
      </c>
      <c r="AB23" s="62" t="str">
        <f t="shared" si="15"/>
        <v/>
      </c>
      <c r="AC23" s="62" t="str">
        <f t="shared" si="15"/>
        <v/>
      </c>
      <c r="AD23" s="62" t="str">
        <f t="shared" si="15"/>
        <v/>
      </c>
      <c r="AE23" s="62" t="str">
        <f t="shared" si="15"/>
        <v/>
      </c>
      <c r="AF23" s="62" t="str">
        <f t="shared" si="15"/>
        <v/>
      </c>
      <c r="AG23" s="62" t="str">
        <f t="shared" si="15"/>
        <v/>
      </c>
      <c r="AH23" s="62" t="str">
        <f t="shared" si="15"/>
        <v/>
      </c>
      <c r="AI23" s="62" t="str">
        <f t="shared" si="15"/>
        <v/>
      </c>
      <c r="AJ23" s="62" t="str">
        <f t="shared" si="15"/>
        <v/>
      </c>
      <c r="AK23" s="62" t="str">
        <f t="shared" si="15"/>
        <v/>
      </c>
      <c r="AL23" s="62" t="str">
        <f t="shared" si="15"/>
        <v/>
      </c>
      <c r="AM23" s="62" t="str">
        <f t="shared" si="15"/>
        <v/>
      </c>
      <c r="AN23" s="62" t="str">
        <f t="shared" si="15"/>
        <v/>
      </c>
      <c r="AO23" s="62" t="str">
        <f t="shared" si="16"/>
        <v/>
      </c>
      <c r="AP23" s="62" t="str">
        <f t="shared" si="16"/>
        <v/>
      </c>
      <c r="AQ23" s="62" t="str">
        <f t="shared" si="16"/>
        <v/>
      </c>
      <c r="AR23" s="62" t="str">
        <f t="shared" si="16"/>
        <v/>
      </c>
      <c r="AS23" s="62" t="str">
        <f t="shared" si="16"/>
        <v/>
      </c>
      <c r="AT23" s="62" t="str">
        <f t="shared" si="16"/>
        <v/>
      </c>
      <c r="AU23" s="62" t="str">
        <f t="shared" si="16"/>
        <v/>
      </c>
      <c r="AV23" s="62" t="str">
        <f t="shared" si="16"/>
        <v/>
      </c>
      <c r="AW23" s="62" t="str">
        <f t="shared" si="16"/>
        <v/>
      </c>
      <c r="AX23" s="62" t="str">
        <f t="shared" si="16"/>
        <v/>
      </c>
      <c r="AY23" s="62" t="str">
        <f t="shared" si="16"/>
        <v/>
      </c>
      <c r="AZ23" s="62" t="str">
        <f t="shared" si="16"/>
        <v/>
      </c>
      <c r="BA23" s="62" t="str">
        <f t="shared" si="16"/>
        <v/>
      </c>
      <c r="BB23" s="62" t="str">
        <f t="shared" si="16"/>
        <v/>
      </c>
      <c r="BC23" s="62" t="str">
        <f t="shared" si="16"/>
        <v/>
      </c>
      <c r="BD23" s="62" t="str">
        <f t="shared" si="16"/>
        <v/>
      </c>
      <c r="BE23" s="62" t="str">
        <f t="shared" si="16"/>
        <v/>
      </c>
      <c r="BF23" s="62" t="str">
        <f t="shared" si="16"/>
        <v/>
      </c>
      <c r="BG23" s="62" t="str">
        <f t="shared" si="16"/>
        <v/>
      </c>
      <c r="BH23" s="62" t="str">
        <f t="shared" si="16"/>
        <v/>
      </c>
      <c r="BI23" s="62" t="str">
        <f t="shared" si="17"/>
        <v/>
      </c>
      <c r="BJ23" s="62" t="str">
        <f t="shared" si="17"/>
        <v/>
      </c>
      <c r="BK23" s="62" t="str">
        <f t="shared" si="17"/>
        <v/>
      </c>
      <c r="BL23" s="62" t="str">
        <f t="shared" si="17"/>
        <v/>
      </c>
      <c r="BM23" s="62" t="str">
        <f t="shared" si="17"/>
        <v/>
      </c>
      <c r="BN23" s="62" t="str">
        <f t="shared" si="17"/>
        <v/>
      </c>
      <c r="BO23" s="62" t="str">
        <f t="shared" si="17"/>
        <v/>
      </c>
      <c r="BP23" s="62" t="str">
        <f t="shared" si="17"/>
        <v/>
      </c>
      <c r="BQ23" s="62" t="str">
        <f t="shared" si="17"/>
        <v/>
      </c>
      <c r="BR23" s="62" t="str">
        <f t="shared" si="17"/>
        <v/>
      </c>
      <c r="BS23" s="62" t="str">
        <f t="shared" si="17"/>
        <v/>
      </c>
      <c r="BT23" s="62" t="str">
        <f t="shared" si="17"/>
        <v/>
      </c>
      <c r="BU23" s="62" t="str">
        <f t="shared" si="17"/>
        <v/>
      </c>
      <c r="BV23" s="62" t="str">
        <f t="shared" si="17"/>
        <v/>
      </c>
      <c r="BW23" s="62" t="str">
        <f t="shared" si="17"/>
        <v/>
      </c>
      <c r="BX23" s="62" t="str">
        <f t="shared" si="17"/>
        <v/>
      </c>
      <c r="BY23" s="62" t="str">
        <f t="shared" si="17"/>
        <v/>
      </c>
      <c r="BZ23" s="62" t="str">
        <f t="shared" si="17"/>
        <v/>
      </c>
      <c r="CA23" s="62" t="str">
        <f t="shared" si="17"/>
        <v/>
      </c>
      <c r="CB23" s="62" t="str">
        <f t="shared" si="17"/>
        <v/>
      </c>
      <c r="CC23" s="62" t="str">
        <f t="shared" si="17"/>
        <v/>
      </c>
      <c r="CD23" s="62" t="str">
        <f t="shared" si="17"/>
        <v/>
      </c>
      <c r="CE23" s="62" t="str">
        <f t="shared" si="17"/>
        <v/>
      </c>
      <c r="CF23" s="62" t="str">
        <f t="shared" si="17"/>
        <v/>
      </c>
      <c r="CG23" s="62" t="str">
        <f t="shared" si="17"/>
        <v/>
      </c>
      <c r="CH23" s="62" t="str">
        <f t="shared" si="17"/>
        <v/>
      </c>
      <c r="CI23" s="62" t="str">
        <f t="shared" si="17"/>
        <v/>
      </c>
      <c r="CJ23" s="62" t="str">
        <f t="shared" si="13"/>
        <v/>
      </c>
      <c r="CK23" s="62" t="str">
        <f t="shared" si="13"/>
        <v/>
      </c>
      <c r="CL23" s="62" t="str">
        <f t="shared" si="13"/>
        <v/>
      </c>
      <c r="CM23" s="62" t="str">
        <f t="shared" si="13"/>
        <v/>
      </c>
      <c r="CN23" s="62" t="str">
        <f t="shared" si="13"/>
        <v/>
      </c>
      <c r="CO23" s="62" t="str">
        <f t="shared" si="13"/>
        <v/>
      </c>
      <c r="CP23" s="62" t="str">
        <f t="shared" si="13"/>
        <v/>
      </c>
      <c r="CQ23" s="62" t="str">
        <f t="shared" si="13"/>
        <v/>
      </c>
      <c r="CR23" s="62" t="str">
        <f t="shared" si="13"/>
        <v/>
      </c>
      <c r="CS23" s="62" t="str">
        <f t="shared" si="13"/>
        <v/>
      </c>
      <c r="CT23" s="62" t="str">
        <f t="shared" si="13"/>
        <v/>
      </c>
      <c r="CU23" s="62" t="str">
        <f t="shared" si="13"/>
        <v/>
      </c>
      <c r="CV23" s="62" t="str">
        <f t="shared" si="13"/>
        <v/>
      </c>
      <c r="CW23" s="62" t="str">
        <f t="shared" si="13"/>
        <v/>
      </c>
      <c r="CX23" s="62" t="str">
        <f t="shared" si="13"/>
        <v/>
      </c>
      <c r="CY23" s="62" t="str">
        <f t="shared" si="13"/>
        <v/>
      </c>
      <c r="CZ23" s="62" t="str">
        <f t="shared" si="8"/>
        <v/>
      </c>
      <c r="DA23" s="62" t="str">
        <f t="shared" si="8"/>
        <v/>
      </c>
      <c r="DB23" s="62" t="str">
        <f t="shared" si="8"/>
        <v/>
      </c>
      <c r="DC23" s="62" t="str">
        <f t="shared" si="8"/>
        <v/>
      </c>
      <c r="DD23" s="62" t="str">
        <f t="shared" si="8"/>
        <v/>
      </c>
      <c r="DE23" s="62" t="str">
        <f t="shared" si="8"/>
        <v/>
      </c>
      <c r="DF23" s="62" t="str">
        <f t="shared" si="8"/>
        <v/>
      </c>
      <c r="DG23" s="62" t="str">
        <f t="shared" si="8"/>
        <v/>
      </c>
      <c r="DH23" s="62" t="str">
        <f t="shared" si="8"/>
        <v/>
      </c>
      <c r="DI23" s="62" t="str">
        <f t="shared" si="8"/>
        <v/>
      </c>
      <c r="DJ23" s="62" t="str">
        <f t="shared" si="8"/>
        <v/>
      </c>
      <c r="DK23" s="62" t="str">
        <f t="shared" si="8"/>
        <v/>
      </c>
      <c r="DL23" s="62" t="str">
        <f t="shared" si="8"/>
        <v/>
      </c>
      <c r="DM23" s="62" t="str">
        <f t="shared" si="8"/>
        <v/>
      </c>
      <c r="DN23" s="62" t="str">
        <f t="shared" si="8"/>
        <v/>
      </c>
      <c r="DO23" s="62" t="str">
        <f t="shared" si="8"/>
        <v/>
      </c>
      <c r="DP23" s="62" t="str">
        <f t="shared" si="8"/>
        <v/>
      </c>
      <c r="DQ23" s="62" t="str">
        <f t="shared" si="8"/>
        <v/>
      </c>
      <c r="DR23" s="62" t="str">
        <f t="shared" si="8"/>
        <v/>
      </c>
      <c r="DS23" s="62" t="str">
        <f t="shared" si="8"/>
        <v/>
      </c>
      <c r="DT23" s="117" t="str">
        <f t="shared" si="8"/>
        <v/>
      </c>
      <c r="DU23" s="61"/>
      <c r="DV23" s="31"/>
      <c r="DW23" s="68" t="str">
        <f t="shared" si="18"/>
        <v/>
      </c>
      <c r="DX23" s="57" t="str">
        <f t="shared" si="18"/>
        <v/>
      </c>
      <c r="DY23" s="57" t="str">
        <f t="shared" si="18"/>
        <v/>
      </c>
      <c r="DZ23" s="57" t="str">
        <f t="shared" si="18"/>
        <v/>
      </c>
      <c r="EA23" s="57" t="str">
        <f t="shared" si="18"/>
        <v/>
      </c>
      <c r="EB23" s="57" t="str">
        <f t="shared" si="18"/>
        <v/>
      </c>
      <c r="EC23" s="57" t="str">
        <f t="shared" si="18"/>
        <v/>
      </c>
      <c r="ED23" s="57" t="str">
        <f t="shared" si="18"/>
        <v/>
      </c>
      <c r="EE23" s="57" t="str">
        <f t="shared" si="18"/>
        <v/>
      </c>
      <c r="EF23" s="57" t="str">
        <f t="shared" si="18"/>
        <v/>
      </c>
      <c r="EG23" s="57" t="str">
        <f t="shared" si="18"/>
        <v/>
      </c>
      <c r="EH23" s="57" t="str">
        <f t="shared" si="18"/>
        <v/>
      </c>
      <c r="EI23" s="57" t="str">
        <f t="shared" si="18"/>
        <v/>
      </c>
      <c r="EJ23" s="57" t="str">
        <f t="shared" si="18"/>
        <v/>
      </c>
      <c r="EK23" s="57" t="str">
        <f t="shared" si="18"/>
        <v/>
      </c>
      <c r="EL23" s="57" t="str">
        <f t="shared" si="18"/>
        <v/>
      </c>
      <c r="EM23" s="57" t="str">
        <f t="shared" si="19"/>
        <v/>
      </c>
      <c r="EN23" s="57" t="str">
        <f t="shared" si="19"/>
        <v/>
      </c>
      <c r="EO23" s="57" t="str">
        <f t="shared" si="19"/>
        <v/>
      </c>
      <c r="EP23" s="57" t="str">
        <f t="shared" si="19"/>
        <v/>
      </c>
      <c r="EQ23" s="57" t="str">
        <f t="shared" si="19"/>
        <v/>
      </c>
      <c r="ER23" s="57" t="str">
        <f t="shared" si="19"/>
        <v/>
      </c>
      <c r="ES23" s="57" t="str">
        <f t="shared" si="19"/>
        <v/>
      </c>
      <c r="ET23" s="57" t="str">
        <f t="shared" si="19"/>
        <v/>
      </c>
      <c r="EU23" s="57" t="str">
        <f t="shared" si="19"/>
        <v/>
      </c>
      <c r="EV23" s="57" t="str">
        <f t="shared" si="19"/>
        <v/>
      </c>
      <c r="EW23" s="57" t="str">
        <f t="shared" si="19"/>
        <v/>
      </c>
      <c r="EX23" s="57" t="str">
        <f t="shared" si="19"/>
        <v/>
      </c>
      <c r="EY23" s="57" t="str">
        <f t="shared" si="19"/>
        <v/>
      </c>
      <c r="EZ23" s="57" t="str">
        <f t="shared" si="19"/>
        <v/>
      </c>
      <c r="FA23" s="57" t="str">
        <f t="shared" si="19"/>
        <v/>
      </c>
      <c r="FB23" s="57" t="str">
        <f t="shared" si="19"/>
        <v/>
      </c>
      <c r="FC23" s="57" t="str">
        <f t="shared" si="20"/>
        <v/>
      </c>
      <c r="FD23" s="57" t="str">
        <f t="shared" si="20"/>
        <v/>
      </c>
      <c r="FE23" s="57" t="str">
        <f t="shared" si="20"/>
        <v/>
      </c>
      <c r="FF23" s="57" t="str">
        <f t="shared" si="20"/>
        <v/>
      </c>
      <c r="FG23" s="57" t="str">
        <f t="shared" si="20"/>
        <v/>
      </c>
      <c r="FH23" s="57" t="str">
        <f t="shared" si="20"/>
        <v/>
      </c>
      <c r="FI23" s="57" t="str">
        <f t="shared" si="20"/>
        <v/>
      </c>
      <c r="FJ23" s="57" t="str">
        <f t="shared" si="20"/>
        <v/>
      </c>
      <c r="FK23" s="57" t="str">
        <f t="shared" si="20"/>
        <v/>
      </c>
      <c r="FL23" s="57" t="str">
        <f t="shared" si="20"/>
        <v/>
      </c>
      <c r="FM23" s="57" t="str">
        <f t="shared" si="20"/>
        <v/>
      </c>
      <c r="FN23" s="57" t="str">
        <f t="shared" si="20"/>
        <v/>
      </c>
      <c r="FO23" s="57" t="str">
        <f t="shared" si="20"/>
        <v/>
      </c>
      <c r="FP23" s="57" t="str">
        <f t="shared" si="20"/>
        <v/>
      </c>
      <c r="FQ23" s="57" t="str">
        <f t="shared" si="20"/>
        <v/>
      </c>
      <c r="FR23" s="57" t="str">
        <f t="shared" si="20"/>
        <v/>
      </c>
      <c r="FS23" s="57" t="str">
        <f t="shared" si="20"/>
        <v/>
      </c>
      <c r="FT23" s="57" t="str">
        <f t="shared" si="20"/>
        <v/>
      </c>
      <c r="FU23" s="57" t="str">
        <f t="shared" si="20"/>
        <v/>
      </c>
      <c r="FV23" s="57" t="str">
        <f t="shared" si="20"/>
        <v/>
      </c>
      <c r="FW23" s="57" t="str">
        <f t="shared" si="20"/>
        <v/>
      </c>
      <c r="FX23" s="57" t="str">
        <f t="shared" si="20"/>
        <v/>
      </c>
      <c r="FY23" s="57" t="str">
        <f t="shared" si="20"/>
        <v/>
      </c>
      <c r="FZ23" s="57" t="str">
        <f t="shared" si="20"/>
        <v/>
      </c>
      <c r="GA23" s="57" t="str">
        <f t="shared" si="20"/>
        <v/>
      </c>
      <c r="GB23" s="57" t="str">
        <f t="shared" si="20"/>
        <v/>
      </c>
      <c r="GC23" s="57" t="str">
        <f t="shared" si="20"/>
        <v/>
      </c>
      <c r="GD23" s="57" t="str">
        <f t="shared" si="20"/>
        <v/>
      </c>
      <c r="GE23" s="57" t="str">
        <f t="shared" si="20"/>
        <v/>
      </c>
      <c r="GF23" s="57" t="str">
        <f t="shared" si="20"/>
        <v/>
      </c>
      <c r="GG23" s="57" t="str">
        <f t="shared" si="20"/>
        <v/>
      </c>
      <c r="GH23" s="57" t="str">
        <f t="shared" si="20"/>
        <v/>
      </c>
      <c r="GI23" s="57" t="str">
        <f t="shared" si="20"/>
        <v/>
      </c>
      <c r="GJ23" s="57" t="str">
        <f t="shared" si="20"/>
        <v/>
      </c>
      <c r="GK23" s="57" t="str">
        <f t="shared" si="20"/>
        <v/>
      </c>
      <c r="GL23" s="57" t="str">
        <f t="shared" si="22"/>
        <v/>
      </c>
      <c r="GM23" s="57" t="str">
        <f t="shared" si="22"/>
        <v/>
      </c>
      <c r="GN23" s="57" t="str">
        <f t="shared" si="22"/>
        <v/>
      </c>
      <c r="GO23" s="57" t="str">
        <f t="shared" si="22"/>
        <v/>
      </c>
      <c r="GP23" s="57" t="str">
        <f t="shared" si="22"/>
        <v/>
      </c>
      <c r="GQ23" s="57" t="str">
        <f t="shared" si="22"/>
        <v/>
      </c>
      <c r="GR23" s="57" t="str">
        <f t="shared" si="22"/>
        <v/>
      </c>
      <c r="GS23" s="57" t="str">
        <f t="shared" si="22"/>
        <v/>
      </c>
      <c r="GT23" s="57" t="str">
        <f t="shared" si="22"/>
        <v/>
      </c>
      <c r="GU23" s="57" t="str">
        <f t="shared" si="22"/>
        <v/>
      </c>
      <c r="GV23" s="57" t="str">
        <f t="shared" si="22"/>
        <v/>
      </c>
      <c r="GW23" s="57" t="str">
        <f t="shared" si="22"/>
        <v/>
      </c>
      <c r="GX23" s="57" t="str">
        <f t="shared" si="22"/>
        <v/>
      </c>
      <c r="GY23" s="57" t="str">
        <f t="shared" si="22"/>
        <v/>
      </c>
      <c r="GZ23" s="57" t="str">
        <f t="shared" si="22"/>
        <v/>
      </c>
      <c r="HA23" s="57" t="str">
        <f t="shared" si="22"/>
        <v/>
      </c>
      <c r="HB23" s="57" t="str">
        <f t="shared" si="22"/>
        <v/>
      </c>
      <c r="HC23" s="57" t="str">
        <f t="shared" si="22"/>
        <v/>
      </c>
      <c r="HD23" s="57" t="str">
        <f t="shared" si="22"/>
        <v/>
      </c>
      <c r="HE23" s="57" t="str">
        <f t="shared" si="22"/>
        <v/>
      </c>
      <c r="HF23" s="57" t="str">
        <f t="shared" si="22"/>
        <v/>
      </c>
      <c r="HG23" s="57" t="str">
        <f t="shared" si="22"/>
        <v/>
      </c>
      <c r="HH23" s="57" t="str">
        <f t="shared" si="22"/>
        <v/>
      </c>
      <c r="HI23" s="57" t="str">
        <f t="shared" si="22"/>
        <v/>
      </c>
      <c r="HJ23" s="57" t="str">
        <f t="shared" si="22"/>
        <v/>
      </c>
      <c r="HK23" s="57" t="str">
        <f t="shared" si="22"/>
        <v/>
      </c>
      <c r="HL23" s="57" t="str">
        <f t="shared" si="22"/>
        <v/>
      </c>
      <c r="HM23" s="57" t="str">
        <f t="shared" si="22"/>
        <v/>
      </c>
      <c r="HN23" s="57" t="str">
        <f t="shared" si="22"/>
        <v/>
      </c>
      <c r="HO23" s="57" t="str">
        <f t="shared" si="22"/>
        <v/>
      </c>
      <c r="HP23" s="57" t="str">
        <f t="shared" si="22"/>
        <v/>
      </c>
      <c r="HQ23" s="57" t="str">
        <f t="shared" si="22"/>
        <v/>
      </c>
      <c r="HR23" s="123" t="str">
        <f t="shared" si="22"/>
        <v/>
      </c>
    </row>
    <row r="24" spans="1:226" ht="11.15" customHeight="1" x14ac:dyDescent="0.25">
      <c r="A24" s="32"/>
      <c r="B24" s="33"/>
      <c r="C24" s="34" t="str">
        <f>IF(A24=0,"",VLOOKUP(A24,[3]CO!$A$3:$F$5311,2,0))</f>
        <v/>
      </c>
      <c r="D24" s="35"/>
      <c r="E24" s="35"/>
      <c r="F24" s="35"/>
      <c r="G24" s="36" t="str">
        <f>IF(A24=0,"",VLOOKUP(A24,[3]CO!$A$3:$F$5311,3,0))</f>
        <v/>
      </c>
      <c r="H24" s="35"/>
      <c r="I24" s="37"/>
      <c r="J24" s="37"/>
      <c r="K24" s="37"/>
      <c r="L24" s="37"/>
      <c r="M24" s="38" t="str">
        <f t="shared" si="4"/>
        <v/>
      </c>
      <c r="N24" s="38" t="str">
        <f>IF(B24=0,"",IF(H24="M",HLOOKUP(B24,$Y$12:$DT$13,2),IF(A24=0,"",VLOOKUP(A24,[3]CO!$A$3:$F$5311,4,0))))</f>
        <v/>
      </c>
      <c r="O24" s="38" t="str">
        <f t="shared" si="11"/>
        <v/>
      </c>
      <c r="P24" s="39"/>
      <c r="Q24" s="40" t="str">
        <f t="shared" si="5"/>
        <v/>
      </c>
      <c r="R24" s="41" t="str">
        <f t="shared" si="6"/>
        <v/>
      </c>
      <c r="S24" s="131"/>
      <c r="T24" s="60" t="str">
        <f>IF(A24=0,"",VLOOKUP(A24,[3]CO!$A$3:$F$5302,5,0))</f>
        <v/>
      </c>
      <c r="U24" s="61">
        <f t="shared" si="12"/>
        <v>0</v>
      </c>
      <c r="V24" s="30"/>
      <c r="W24" s="31"/>
      <c r="X24" s="31"/>
      <c r="Y24" s="71" t="str">
        <f t="shared" si="15"/>
        <v/>
      </c>
      <c r="Z24" s="62" t="str">
        <f t="shared" si="15"/>
        <v/>
      </c>
      <c r="AA24" s="62" t="str">
        <f t="shared" si="15"/>
        <v/>
      </c>
      <c r="AB24" s="62" t="str">
        <f t="shared" si="15"/>
        <v/>
      </c>
      <c r="AC24" s="62" t="str">
        <f t="shared" si="15"/>
        <v/>
      </c>
      <c r="AD24" s="62" t="str">
        <f t="shared" si="15"/>
        <v/>
      </c>
      <c r="AE24" s="62" t="str">
        <f t="shared" si="15"/>
        <v/>
      </c>
      <c r="AF24" s="62" t="str">
        <f t="shared" si="15"/>
        <v/>
      </c>
      <c r="AG24" s="62" t="str">
        <f t="shared" si="15"/>
        <v/>
      </c>
      <c r="AH24" s="62" t="str">
        <f t="shared" si="15"/>
        <v/>
      </c>
      <c r="AI24" s="62" t="str">
        <f t="shared" si="15"/>
        <v/>
      </c>
      <c r="AJ24" s="62" t="str">
        <f t="shared" si="15"/>
        <v/>
      </c>
      <c r="AK24" s="62" t="str">
        <f t="shared" si="15"/>
        <v/>
      </c>
      <c r="AL24" s="62" t="str">
        <f t="shared" si="15"/>
        <v/>
      </c>
      <c r="AM24" s="62" t="str">
        <f t="shared" si="15"/>
        <v/>
      </c>
      <c r="AN24" s="62" t="str">
        <f t="shared" si="15"/>
        <v/>
      </c>
      <c r="AO24" s="62" t="str">
        <f t="shared" si="16"/>
        <v/>
      </c>
      <c r="AP24" s="62" t="str">
        <f t="shared" si="16"/>
        <v/>
      </c>
      <c r="AQ24" s="62" t="str">
        <f t="shared" si="16"/>
        <v/>
      </c>
      <c r="AR24" s="62" t="str">
        <f t="shared" si="16"/>
        <v/>
      </c>
      <c r="AS24" s="62" t="str">
        <f t="shared" si="16"/>
        <v/>
      </c>
      <c r="AT24" s="62" t="str">
        <f t="shared" si="16"/>
        <v/>
      </c>
      <c r="AU24" s="62" t="str">
        <f t="shared" si="16"/>
        <v/>
      </c>
      <c r="AV24" s="62" t="str">
        <f t="shared" si="16"/>
        <v/>
      </c>
      <c r="AW24" s="62" t="str">
        <f t="shared" si="16"/>
        <v/>
      </c>
      <c r="AX24" s="62" t="str">
        <f t="shared" si="16"/>
        <v/>
      </c>
      <c r="AY24" s="62" t="str">
        <f t="shared" si="16"/>
        <v/>
      </c>
      <c r="AZ24" s="62" t="str">
        <f t="shared" si="16"/>
        <v/>
      </c>
      <c r="BA24" s="62" t="str">
        <f t="shared" si="16"/>
        <v/>
      </c>
      <c r="BB24" s="62" t="str">
        <f t="shared" si="16"/>
        <v/>
      </c>
      <c r="BC24" s="62" t="str">
        <f t="shared" si="16"/>
        <v/>
      </c>
      <c r="BD24" s="62" t="str">
        <f t="shared" si="16"/>
        <v/>
      </c>
      <c r="BE24" s="62" t="str">
        <f t="shared" si="16"/>
        <v/>
      </c>
      <c r="BF24" s="62" t="str">
        <f t="shared" si="16"/>
        <v/>
      </c>
      <c r="BG24" s="62" t="str">
        <f t="shared" si="16"/>
        <v/>
      </c>
      <c r="BH24" s="62" t="str">
        <f t="shared" si="16"/>
        <v/>
      </c>
      <c r="BI24" s="62" t="str">
        <f t="shared" si="17"/>
        <v/>
      </c>
      <c r="BJ24" s="62" t="str">
        <f t="shared" si="17"/>
        <v/>
      </c>
      <c r="BK24" s="62" t="str">
        <f t="shared" si="17"/>
        <v/>
      </c>
      <c r="BL24" s="62" t="str">
        <f t="shared" si="17"/>
        <v/>
      </c>
      <c r="BM24" s="62" t="str">
        <f t="shared" si="17"/>
        <v/>
      </c>
      <c r="BN24" s="62" t="str">
        <f t="shared" si="17"/>
        <v/>
      </c>
      <c r="BO24" s="62" t="str">
        <f t="shared" si="17"/>
        <v/>
      </c>
      <c r="BP24" s="62" t="str">
        <f t="shared" si="17"/>
        <v/>
      </c>
      <c r="BQ24" s="62" t="str">
        <f t="shared" si="17"/>
        <v/>
      </c>
      <c r="BR24" s="62" t="str">
        <f t="shared" si="17"/>
        <v/>
      </c>
      <c r="BS24" s="62" t="str">
        <f t="shared" si="17"/>
        <v/>
      </c>
      <c r="BT24" s="62" t="str">
        <f t="shared" si="17"/>
        <v/>
      </c>
      <c r="BU24" s="62" t="str">
        <f t="shared" si="17"/>
        <v/>
      </c>
      <c r="BV24" s="62" t="str">
        <f t="shared" si="17"/>
        <v/>
      </c>
      <c r="BW24" s="62" t="str">
        <f t="shared" si="17"/>
        <v/>
      </c>
      <c r="BX24" s="62" t="str">
        <f t="shared" si="17"/>
        <v/>
      </c>
      <c r="BY24" s="62" t="str">
        <f t="shared" si="17"/>
        <v/>
      </c>
      <c r="BZ24" s="62" t="str">
        <f t="shared" si="17"/>
        <v/>
      </c>
      <c r="CA24" s="62" t="str">
        <f t="shared" si="17"/>
        <v/>
      </c>
      <c r="CB24" s="62" t="str">
        <f t="shared" si="17"/>
        <v/>
      </c>
      <c r="CC24" s="62" t="str">
        <f t="shared" si="17"/>
        <v/>
      </c>
      <c r="CD24" s="62" t="str">
        <f t="shared" si="17"/>
        <v/>
      </c>
      <c r="CE24" s="62" t="str">
        <f t="shared" si="17"/>
        <v/>
      </c>
      <c r="CF24" s="62" t="str">
        <f t="shared" si="17"/>
        <v/>
      </c>
      <c r="CG24" s="62" t="str">
        <f t="shared" si="17"/>
        <v/>
      </c>
      <c r="CH24" s="62" t="str">
        <f t="shared" si="17"/>
        <v/>
      </c>
      <c r="CI24" s="62" t="str">
        <f t="shared" si="17"/>
        <v/>
      </c>
      <c r="CJ24" s="62" t="str">
        <f t="shared" si="13"/>
        <v/>
      </c>
      <c r="CK24" s="62" t="str">
        <f t="shared" si="13"/>
        <v/>
      </c>
      <c r="CL24" s="62" t="str">
        <f t="shared" si="13"/>
        <v/>
      </c>
      <c r="CM24" s="62" t="str">
        <f t="shared" si="13"/>
        <v/>
      </c>
      <c r="CN24" s="62" t="str">
        <f t="shared" si="13"/>
        <v/>
      </c>
      <c r="CO24" s="62" t="str">
        <f t="shared" si="13"/>
        <v/>
      </c>
      <c r="CP24" s="62" t="str">
        <f t="shared" si="13"/>
        <v/>
      </c>
      <c r="CQ24" s="62" t="str">
        <f t="shared" si="13"/>
        <v/>
      </c>
      <c r="CR24" s="62" t="str">
        <f t="shared" si="13"/>
        <v/>
      </c>
      <c r="CS24" s="62" t="str">
        <f t="shared" si="13"/>
        <v/>
      </c>
      <c r="CT24" s="62" t="str">
        <f t="shared" si="13"/>
        <v/>
      </c>
      <c r="CU24" s="62" t="str">
        <f t="shared" si="13"/>
        <v/>
      </c>
      <c r="CV24" s="62" t="str">
        <f t="shared" si="13"/>
        <v/>
      </c>
      <c r="CW24" s="62" t="str">
        <f t="shared" si="13"/>
        <v/>
      </c>
      <c r="CX24" s="62" t="str">
        <f t="shared" si="13"/>
        <v/>
      </c>
      <c r="CY24" s="62" t="str">
        <f t="shared" si="13"/>
        <v/>
      </c>
      <c r="CZ24" s="62" t="str">
        <f t="shared" ref="CZ24:DT29" si="23">IF($B24=CZ$12,$U24,"")</f>
        <v/>
      </c>
      <c r="DA24" s="62" t="str">
        <f t="shared" si="23"/>
        <v/>
      </c>
      <c r="DB24" s="62" t="str">
        <f t="shared" si="23"/>
        <v/>
      </c>
      <c r="DC24" s="62" t="str">
        <f t="shared" si="23"/>
        <v/>
      </c>
      <c r="DD24" s="62" t="str">
        <f t="shared" si="23"/>
        <v/>
      </c>
      <c r="DE24" s="62" t="str">
        <f t="shared" si="23"/>
        <v/>
      </c>
      <c r="DF24" s="62" t="str">
        <f t="shared" si="23"/>
        <v/>
      </c>
      <c r="DG24" s="62" t="str">
        <f t="shared" si="23"/>
        <v/>
      </c>
      <c r="DH24" s="62" t="str">
        <f t="shared" si="23"/>
        <v/>
      </c>
      <c r="DI24" s="62" t="str">
        <f t="shared" si="23"/>
        <v/>
      </c>
      <c r="DJ24" s="62" t="str">
        <f t="shared" si="23"/>
        <v/>
      </c>
      <c r="DK24" s="62" t="str">
        <f t="shared" si="23"/>
        <v/>
      </c>
      <c r="DL24" s="62" t="str">
        <f t="shared" si="23"/>
        <v/>
      </c>
      <c r="DM24" s="62" t="str">
        <f t="shared" si="23"/>
        <v/>
      </c>
      <c r="DN24" s="62" t="str">
        <f t="shared" si="23"/>
        <v/>
      </c>
      <c r="DO24" s="62" t="str">
        <f t="shared" si="23"/>
        <v/>
      </c>
      <c r="DP24" s="62" t="str">
        <f t="shared" si="23"/>
        <v/>
      </c>
      <c r="DQ24" s="62" t="str">
        <f t="shared" si="23"/>
        <v/>
      </c>
      <c r="DR24" s="62" t="str">
        <f t="shared" si="23"/>
        <v/>
      </c>
      <c r="DS24" s="62" t="str">
        <f t="shared" si="23"/>
        <v/>
      </c>
      <c r="DT24" s="117" t="str">
        <f t="shared" si="23"/>
        <v/>
      </c>
      <c r="DU24" s="61"/>
      <c r="DV24" s="31"/>
      <c r="DW24" s="68" t="str">
        <f t="shared" si="18"/>
        <v/>
      </c>
      <c r="DX24" s="57" t="str">
        <f t="shared" si="18"/>
        <v/>
      </c>
      <c r="DY24" s="57" t="str">
        <f t="shared" si="18"/>
        <v/>
      </c>
      <c r="DZ24" s="57" t="str">
        <f t="shared" si="18"/>
        <v/>
      </c>
      <c r="EA24" s="57" t="str">
        <f t="shared" si="18"/>
        <v/>
      </c>
      <c r="EB24" s="57" t="str">
        <f t="shared" si="18"/>
        <v/>
      </c>
      <c r="EC24" s="57" t="str">
        <f t="shared" si="18"/>
        <v/>
      </c>
      <c r="ED24" s="57" t="str">
        <f t="shared" si="18"/>
        <v/>
      </c>
      <c r="EE24" s="57" t="str">
        <f t="shared" si="18"/>
        <v/>
      </c>
      <c r="EF24" s="57" t="str">
        <f t="shared" si="18"/>
        <v/>
      </c>
      <c r="EG24" s="57" t="str">
        <f t="shared" si="18"/>
        <v/>
      </c>
      <c r="EH24" s="57" t="str">
        <f t="shared" si="18"/>
        <v/>
      </c>
      <c r="EI24" s="57" t="str">
        <f t="shared" si="18"/>
        <v/>
      </c>
      <c r="EJ24" s="57" t="str">
        <f t="shared" si="18"/>
        <v/>
      </c>
      <c r="EK24" s="57" t="str">
        <f t="shared" si="18"/>
        <v/>
      </c>
      <c r="EL24" s="57" t="str">
        <f t="shared" si="18"/>
        <v/>
      </c>
      <c r="EM24" s="57" t="str">
        <f t="shared" si="19"/>
        <v/>
      </c>
      <c r="EN24" s="57" t="str">
        <f t="shared" si="19"/>
        <v/>
      </c>
      <c r="EO24" s="57" t="str">
        <f t="shared" si="19"/>
        <v/>
      </c>
      <c r="EP24" s="57" t="str">
        <f t="shared" si="19"/>
        <v/>
      </c>
      <c r="EQ24" s="57" t="str">
        <f t="shared" si="19"/>
        <v/>
      </c>
      <c r="ER24" s="57" t="str">
        <f t="shared" si="19"/>
        <v/>
      </c>
      <c r="ES24" s="57" t="str">
        <f t="shared" si="19"/>
        <v/>
      </c>
      <c r="ET24" s="57" t="str">
        <f t="shared" si="19"/>
        <v/>
      </c>
      <c r="EU24" s="57" t="str">
        <f t="shared" si="19"/>
        <v/>
      </c>
      <c r="EV24" s="57" t="str">
        <f t="shared" si="19"/>
        <v/>
      </c>
      <c r="EW24" s="57" t="str">
        <f t="shared" si="19"/>
        <v/>
      </c>
      <c r="EX24" s="57" t="str">
        <f t="shared" si="19"/>
        <v/>
      </c>
      <c r="EY24" s="57" t="str">
        <f t="shared" si="19"/>
        <v/>
      </c>
      <c r="EZ24" s="57" t="str">
        <f t="shared" si="19"/>
        <v/>
      </c>
      <c r="FA24" s="57" t="str">
        <f t="shared" si="19"/>
        <v/>
      </c>
      <c r="FB24" s="57" t="str">
        <f t="shared" si="19"/>
        <v/>
      </c>
      <c r="FC24" s="57" t="str">
        <f t="shared" si="20"/>
        <v/>
      </c>
      <c r="FD24" s="57" t="str">
        <f t="shared" si="20"/>
        <v/>
      </c>
      <c r="FE24" s="57" t="str">
        <f t="shared" si="20"/>
        <v/>
      </c>
      <c r="FF24" s="57" t="str">
        <f t="shared" si="20"/>
        <v/>
      </c>
      <c r="FG24" s="57" t="str">
        <f t="shared" si="20"/>
        <v/>
      </c>
      <c r="FH24" s="57" t="str">
        <f t="shared" si="20"/>
        <v/>
      </c>
      <c r="FI24" s="57" t="str">
        <f t="shared" si="20"/>
        <v/>
      </c>
      <c r="FJ24" s="57" t="str">
        <f t="shared" si="20"/>
        <v/>
      </c>
      <c r="FK24" s="57" t="str">
        <f t="shared" si="20"/>
        <v/>
      </c>
      <c r="FL24" s="57" t="str">
        <f t="shared" si="20"/>
        <v/>
      </c>
      <c r="FM24" s="57" t="str">
        <f t="shared" si="20"/>
        <v/>
      </c>
      <c r="FN24" s="57" t="str">
        <f t="shared" si="20"/>
        <v/>
      </c>
      <c r="FO24" s="57" t="str">
        <f t="shared" si="20"/>
        <v/>
      </c>
      <c r="FP24" s="57" t="str">
        <f t="shared" si="20"/>
        <v/>
      </c>
      <c r="FQ24" s="57" t="str">
        <f t="shared" si="20"/>
        <v/>
      </c>
      <c r="FR24" s="57" t="str">
        <f t="shared" si="20"/>
        <v/>
      </c>
      <c r="FS24" s="57" t="str">
        <f t="shared" si="20"/>
        <v/>
      </c>
      <c r="FT24" s="57" t="str">
        <f t="shared" si="20"/>
        <v/>
      </c>
      <c r="FU24" s="57" t="str">
        <f t="shared" si="20"/>
        <v/>
      </c>
      <c r="FV24" s="57" t="str">
        <f t="shared" si="20"/>
        <v/>
      </c>
      <c r="FW24" s="57" t="str">
        <f t="shared" si="20"/>
        <v/>
      </c>
      <c r="FX24" s="57" t="str">
        <f t="shared" si="20"/>
        <v/>
      </c>
      <c r="FY24" s="57" t="str">
        <f t="shared" si="20"/>
        <v/>
      </c>
      <c r="FZ24" s="57" t="str">
        <f t="shared" si="20"/>
        <v/>
      </c>
      <c r="GA24" s="57" t="str">
        <f t="shared" si="20"/>
        <v/>
      </c>
      <c r="GB24" s="57" t="str">
        <f t="shared" si="20"/>
        <v/>
      </c>
      <c r="GC24" s="57" t="str">
        <f t="shared" si="20"/>
        <v/>
      </c>
      <c r="GD24" s="57" t="str">
        <f t="shared" si="20"/>
        <v/>
      </c>
      <c r="GE24" s="57" t="str">
        <f t="shared" si="20"/>
        <v/>
      </c>
      <c r="GF24" s="57" t="str">
        <f t="shared" si="20"/>
        <v/>
      </c>
      <c r="GG24" s="57" t="str">
        <f t="shared" si="20"/>
        <v/>
      </c>
      <c r="GH24" s="57" t="str">
        <f t="shared" si="20"/>
        <v/>
      </c>
      <c r="GI24" s="57" t="str">
        <f t="shared" si="20"/>
        <v/>
      </c>
      <c r="GJ24" s="57" t="str">
        <f t="shared" si="20"/>
        <v/>
      </c>
      <c r="GK24" s="57" t="str">
        <f t="shared" si="20"/>
        <v/>
      </c>
      <c r="GL24" s="57" t="str">
        <f t="shared" si="22"/>
        <v/>
      </c>
      <c r="GM24" s="57" t="str">
        <f t="shared" si="22"/>
        <v/>
      </c>
      <c r="GN24" s="57" t="str">
        <f t="shared" si="22"/>
        <v/>
      </c>
      <c r="GO24" s="57" t="str">
        <f t="shared" si="22"/>
        <v/>
      </c>
      <c r="GP24" s="57" t="str">
        <f t="shared" si="22"/>
        <v/>
      </c>
      <c r="GQ24" s="57" t="str">
        <f t="shared" si="22"/>
        <v/>
      </c>
      <c r="GR24" s="57" t="str">
        <f t="shared" si="22"/>
        <v/>
      </c>
      <c r="GS24" s="57" t="str">
        <f t="shared" si="22"/>
        <v/>
      </c>
      <c r="GT24" s="57" t="str">
        <f t="shared" si="22"/>
        <v/>
      </c>
      <c r="GU24" s="57" t="str">
        <f t="shared" si="22"/>
        <v/>
      </c>
      <c r="GV24" s="57" t="str">
        <f t="shared" si="22"/>
        <v/>
      </c>
      <c r="GW24" s="57" t="str">
        <f t="shared" si="22"/>
        <v/>
      </c>
      <c r="GX24" s="57" t="str">
        <f t="shared" si="22"/>
        <v/>
      </c>
      <c r="GY24" s="57" t="str">
        <f t="shared" si="22"/>
        <v/>
      </c>
      <c r="GZ24" s="57" t="str">
        <f t="shared" si="22"/>
        <v/>
      </c>
      <c r="HA24" s="57" t="str">
        <f t="shared" si="22"/>
        <v/>
      </c>
      <c r="HB24" s="57" t="str">
        <f t="shared" si="22"/>
        <v/>
      </c>
      <c r="HC24" s="57" t="str">
        <f t="shared" si="22"/>
        <v/>
      </c>
      <c r="HD24" s="57" t="str">
        <f t="shared" si="22"/>
        <v/>
      </c>
      <c r="HE24" s="57" t="str">
        <f t="shared" si="22"/>
        <v/>
      </c>
      <c r="HF24" s="57" t="str">
        <f t="shared" si="22"/>
        <v/>
      </c>
      <c r="HG24" s="57" t="str">
        <f t="shared" si="22"/>
        <v/>
      </c>
      <c r="HH24" s="57" t="str">
        <f t="shared" si="22"/>
        <v/>
      </c>
      <c r="HI24" s="57" t="str">
        <f t="shared" si="22"/>
        <v/>
      </c>
      <c r="HJ24" s="57" t="str">
        <f t="shared" si="22"/>
        <v/>
      </c>
      <c r="HK24" s="57" t="str">
        <f t="shared" si="22"/>
        <v/>
      </c>
      <c r="HL24" s="57" t="str">
        <f t="shared" si="22"/>
        <v/>
      </c>
      <c r="HM24" s="57" t="str">
        <f t="shared" si="22"/>
        <v/>
      </c>
      <c r="HN24" s="57" t="str">
        <f t="shared" si="22"/>
        <v/>
      </c>
      <c r="HO24" s="57" t="str">
        <f t="shared" si="22"/>
        <v/>
      </c>
      <c r="HP24" s="57" t="str">
        <f t="shared" si="22"/>
        <v/>
      </c>
      <c r="HQ24" s="57" t="str">
        <f t="shared" si="22"/>
        <v/>
      </c>
      <c r="HR24" s="123" t="str">
        <f t="shared" si="22"/>
        <v/>
      </c>
    </row>
    <row r="25" spans="1:226" ht="11.15" customHeight="1" x14ac:dyDescent="0.25">
      <c r="A25" s="32"/>
      <c r="B25" s="33"/>
      <c r="C25" s="34" t="str">
        <f>IF(A25=0,"",VLOOKUP(A25,[3]CO!$A$3:$F$5311,2,0))</f>
        <v/>
      </c>
      <c r="D25" s="35"/>
      <c r="E25" s="35"/>
      <c r="F25" s="35"/>
      <c r="G25" s="36" t="str">
        <f>IF(A25=0,"",VLOOKUP(A25,[3]CO!$A$3:$F$5311,3,0))</f>
        <v/>
      </c>
      <c r="H25" s="35"/>
      <c r="I25" s="37"/>
      <c r="J25" s="37"/>
      <c r="K25" s="37"/>
      <c r="L25" s="37"/>
      <c r="M25" s="38" t="str">
        <f t="shared" si="4"/>
        <v/>
      </c>
      <c r="N25" s="38" t="str">
        <f>IF(B25=0,"",IF(H25="M",HLOOKUP(B25,$Y$12:$DT$13,2),IF(A25=0,"",VLOOKUP(A25,[3]CO!$A$3:$F$5311,4,0))))</f>
        <v/>
      </c>
      <c r="O25" s="38" t="str">
        <f t="shared" si="11"/>
        <v/>
      </c>
      <c r="P25" s="39"/>
      <c r="Q25" s="40" t="str">
        <f t="shared" si="5"/>
        <v/>
      </c>
      <c r="R25" s="41" t="str">
        <f t="shared" si="6"/>
        <v/>
      </c>
      <c r="S25" s="131"/>
      <c r="T25" s="60" t="str">
        <f>IF(A25=0,"",VLOOKUP(A25,[3]CO!$A$3:$F$5302,5,0))</f>
        <v/>
      </c>
      <c r="U25" s="61">
        <f t="shared" si="12"/>
        <v>0</v>
      </c>
      <c r="V25" s="30"/>
      <c r="W25" s="31"/>
      <c r="X25" s="31"/>
      <c r="Y25" s="71" t="str">
        <f t="shared" si="15"/>
        <v/>
      </c>
      <c r="Z25" s="62" t="str">
        <f t="shared" si="15"/>
        <v/>
      </c>
      <c r="AA25" s="62" t="str">
        <f t="shared" si="15"/>
        <v/>
      </c>
      <c r="AB25" s="62" t="str">
        <f t="shared" si="15"/>
        <v/>
      </c>
      <c r="AC25" s="62" t="str">
        <f t="shared" si="15"/>
        <v/>
      </c>
      <c r="AD25" s="62" t="str">
        <f t="shared" si="15"/>
        <v/>
      </c>
      <c r="AE25" s="62" t="str">
        <f t="shared" si="15"/>
        <v/>
      </c>
      <c r="AF25" s="62" t="str">
        <f t="shared" si="15"/>
        <v/>
      </c>
      <c r="AG25" s="62" t="str">
        <f t="shared" si="15"/>
        <v/>
      </c>
      <c r="AH25" s="62" t="str">
        <f t="shared" si="15"/>
        <v/>
      </c>
      <c r="AI25" s="62" t="str">
        <f t="shared" si="15"/>
        <v/>
      </c>
      <c r="AJ25" s="62" t="str">
        <f t="shared" si="15"/>
        <v/>
      </c>
      <c r="AK25" s="62" t="str">
        <f t="shared" si="15"/>
        <v/>
      </c>
      <c r="AL25" s="62" t="str">
        <f t="shared" si="15"/>
        <v/>
      </c>
      <c r="AM25" s="62" t="str">
        <f t="shared" si="15"/>
        <v/>
      </c>
      <c r="AN25" s="62" t="str">
        <f t="shared" si="15"/>
        <v/>
      </c>
      <c r="AO25" s="62" t="str">
        <f t="shared" si="16"/>
        <v/>
      </c>
      <c r="AP25" s="62" t="str">
        <f t="shared" si="16"/>
        <v/>
      </c>
      <c r="AQ25" s="62" t="str">
        <f t="shared" si="16"/>
        <v/>
      </c>
      <c r="AR25" s="62" t="str">
        <f t="shared" si="16"/>
        <v/>
      </c>
      <c r="AS25" s="62" t="str">
        <f t="shared" si="16"/>
        <v/>
      </c>
      <c r="AT25" s="62" t="str">
        <f t="shared" si="16"/>
        <v/>
      </c>
      <c r="AU25" s="62" t="str">
        <f t="shared" si="16"/>
        <v/>
      </c>
      <c r="AV25" s="62" t="str">
        <f t="shared" si="16"/>
        <v/>
      </c>
      <c r="AW25" s="62" t="str">
        <f t="shared" si="16"/>
        <v/>
      </c>
      <c r="AX25" s="62" t="str">
        <f t="shared" si="16"/>
        <v/>
      </c>
      <c r="AY25" s="62" t="str">
        <f t="shared" si="16"/>
        <v/>
      </c>
      <c r="AZ25" s="62" t="str">
        <f t="shared" si="16"/>
        <v/>
      </c>
      <c r="BA25" s="62" t="str">
        <f t="shared" si="16"/>
        <v/>
      </c>
      <c r="BB25" s="62" t="str">
        <f t="shared" si="16"/>
        <v/>
      </c>
      <c r="BC25" s="62" t="str">
        <f t="shared" si="16"/>
        <v/>
      </c>
      <c r="BD25" s="62" t="str">
        <f t="shared" si="16"/>
        <v/>
      </c>
      <c r="BE25" s="62" t="str">
        <f t="shared" si="16"/>
        <v/>
      </c>
      <c r="BF25" s="62" t="str">
        <f t="shared" si="16"/>
        <v/>
      </c>
      <c r="BG25" s="62" t="str">
        <f t="shared" si="16"/>
        <v/>
      </c>
      <c r="BH25" s="62" t="str">
        <f t="shared" si="16"/>
        <v/>
      </c>
      <c r="BI25" s="62" t="str">
        <f t="shared" si="17"/>
        <v/>
      </c>
      <c r="BJ25" s="62" t="str">
        <f t="shared" si="17"/>
        <v/>
      </c>
      <c r="BK25" s="62" t="str">
        <f t="shared" si="17"/>
        <v/>
      </c>
      <c r="BL25" s="62" t="str">
        <f t="shared" si="17"/>
        <v/>
      </c>
      <c r="BM25" s="62" t="str">
        <f t="shared" si="17"/>
        <v/>
      </c>
      <c r="BN25" s="62" t="str">
        <f t="shared" si="17"/>
        <v/>
      </c>
      <c r="BO25" s="62" t="str">
        <f t="shared" si="17"/>
        <v/>
      </c>
      <c r="BP25" s="62" t="str">
        <f t="shared" si="17"/>
        <v/>
      </c>
      <c r="BQ25" s="62" t="str">
        <f t="shared" si="17"/>
        <v/>
      </c>
      <c r="BR25" s="62" t="str">
        <f t="shared" si="17"/>
        <v/>
      </c>
      <c r="BS25" s="62" t="str">
        <f t="shared" si="17"/>
        <v/>
      </c>
      <c r="BT25" s="62" t="str">
        <f t="shared" si="17"/>
        <v/>
      </c>
      <c r="BU25" s="62" t="str">
        <f t="shared" si="17"/>
        <v/>
      </c>
      <c r="BV25" s="62" t="str">
        <f t="shared" si="17"/>
        <v/>
      </c>
      <c r="BW25" s="62" t="str">
        <f t="shared" si="17"/>
        <v/>
      </c>
      <c r="BX25" s="62" t="str">
        <f t="shared" si="17"/>
        <v/>
      </c>
      <c r="BY25" s="62" t="str">
        <f t="shared" si="17"/>
        <v/>
      </c>
      <c r="BZ25" s="62" t="str">
        <f t="shared" si="17"/>
        <v/>
      </c>
      <c r="CA25" s="62" t="str">
        <f t="shared" si="17"/>
        <v/>
      </c>
      <c r="CB25" s="62" t="str">
        <f t="shared" si="17"/>
        <v/>
      </c>
      <c r="CC25" s="62" t="str">
        <f t="shared" si="17"/>
        <v/>
      </c>
      <c r="CD25" s="62" t="str">
        <f t="shared" si="17"/>
        <v/>
      </c>
      <c r="CE25" s="62" t="str">
        <f t="shared" si="17"/>
        <v/>
      </c>
      <c r="CF25" s="62" t="str">
        <f t="shared" si="17"/>
        <v/>
      </c>
      <c r="CG25" s="62" t="str">
        <f t="shared" si="17"/>
        <v/>
      </c>
      <c r="CH25" s="62" t="str">
        <f t="shared" si="17"/>
        <v/>
      </c>
      <c r="CI25" s="62" t="str">
        <f t="shared" si="17"/>
        <v/>
      </c>
      <c r="CJ25" s="62" t="str">
        <f t="shared" si="13"/>
        <v/>
      </c>
      <c r="CK25" s="62" t="str">
        <f t="shared" si="13"/>
        <v/>
      </c>
      <c r="CL25" s="62" t="str">
        <f t="shared" si="13"/>
        <v/>
      </c>
      <c r="CM25" s="62" t="str">
        <f t="shared" si="13"/>
        <v/>
      </c>
      <c r="CN25" s="62" t="str">
        <f t="shared" si="13"/>
        <v/>
      </c>
      <c r="CO25" s="62" t="str">
        <f t="shared" si="13"/>
        <v/>
      </c>
      <c r="CP25" s="62" t="str">
        <f t="shared" si="13"/>
        <v/>
      </c>
      <c r="CQ25" s="62" t="str">
        <f t="shared" si="13"/>
        <v/>
      </c>
      <c r="CR25" s="62" t="str">
        <f t="shared" si="13"/>
        <v/>
      </c>
      <c r="CS25" s="62" t="str">
        <f t="shared" si="13"/>
        <v/>
      </c>
      <c r="CT25" s="62" t="str">
        <f t="shared" si="13"/>
        <v/>
      </c>
      <c r="CU25" s="62" t="str">
        <f t="shared" si="13"/>
        <v/>
      </c>
      <c r="CV25" s="62" t="str">
        <f t="shared" si="13"/>
        <v/>
      </c>
      <c r="CW25" s="62" t="str">
        <f t="shared" si="13"/>
        <v/>
      </c>
      <c r="CX25" s="62" t="str">
        <f t="shared" si="13"/>
        <v/>
      </c>
      <c r="CY25" s="62" t="str">
        <f t="shared" si="13"/>
        <v/>
      </c>
      <c r="CZ25" s="62" t="str">
        <f t="shared" si="23"/>
        <v/>
      </c>
      <c r="DA25" s="62" t="str">
        <f t="shared" si="23"/>
        <v/>
      </c>
      <c r="DB25" s="62" t="str">
        <f t="shared" si="23"/>
        <v/>
      </c>
      <c r="DC25" s="62" t="str">
        <f t="shared" si="23"/>
        <v/>
      </c>
      <c r="DD25" s="62" t="str">
        <f t="shared" si="23"/>
        <v/>
      </c>
      <c r="DE25" s="62" t="str">
        <f t="shared" si="23"/>
        <v/>
      </c>
      <c r="DF25" s="62" t="str">
        <f t="shared" si="23"/>
        <v/>
      </c>
      <c r="DG25" s="62" t="str">
        <f t="shared" si="23"/>
        <v/>
      </c>
      <c r="DH25" s="62" t="str">
        <f t="shared" si="23"/>
        <v/>
      </c>
      <c r="DI25" s="62" t="str">
        <f t="shared" si="23"/>
        <v/>
      </c>
      <c r="DJ25" s="62" t="str">
        <f t="shared" si="23"/>
        <v/>
      </c>
      <c r="DK25" s="62" t="str">
        <f t="shared" si="23"/>
        <v/>
      </c>
      <c r="DL25" s="62" t="str">
        <f t="shared" si="23"/>
        <v/>
      </c>
      <c r="DM25" s="62" t="str">
        <f t="shared" si="23"/>
        <v/>
      </c>
      <c r="DN25" s="62" t="str">
        <f t="shared" si="23"/>
        <v/>
      </c>
      <c r="DO25" s="62" t="str">
        <f t="shared" si="23"/>
        <v/>
      </c>
      <c r="DP25" s="62" t="str">
        <f t="shared" si="23"/>
        <v/>
      </c>
      <c r="DQ25" s="62" t="str">
        <f t="shared" si="23"/>
        <v/>
      </c>
      <c r="DR25" s="62" t="str">
        <f t="shared" si="23"/>
        <v/>
      </c>
      <c r="DS25" s="62" t="str">
        <f t="shared" si="23"/>
        <v/>
      </c>
      <c r="DT25" s="117" t="str">
        <f t="shared" si="23"/>
        <v/>
      </c>
      <c r="DU25" s="61"/>
      <c r="DV25" s="31"/>
      <c r="DW25" s="68" t="str">
        <f t="shared" si="18"/>
        <v/>
      </c>
      <c r="DX25" s="57" t="str">
        <f t="shared" si="18"/>
        <v/>
      </c>
      <c r="DY25" s="57" t="str">
        <f t="shared" si="18"/>
        <v/>
      </c>
      <c r="DZ25" s="57" t="str">
        <f t="shared" si="18"/>
        <v/>
      </c>
      <c r="EA25" s="57" t="str">
        <f t="shared" si="18"/>
        <v/>
      </c>
      <c r="EB25" s="57" t="str">
        <f t="shared" si="18"/>
        <v/>
      </c>
      <c r="EC25" s="57" t="str">
        <f t="shared" si="18"/>
        <v/>
      </c>
      <c r="ED25" s="57" t="str">
        <f t="shared" si="18"/>
        <v/>
      </c>
      <c r="EE25" s="57" t="str">
        <f t="shared" si="18"/>
        <v/>
      </c>
      <c r="EF25" s="57" t="str">
        <f t="shared" si="18"/>
        <v/>
      </c>
      <c r="EG25" s="57" t="str">
        <f t="shared" si="18"/>
        <v/>
      </c>
      <c r="EH25" s="57" t="str">
        <f t="shared" si="18"/>
        <v/>
      </c>
      <c r="EI25" s="57" t="str">
        <f t="shared" si="18"/>
        <v/>
      </c>
      <c r="EJ25" s="57" t="str">
        <f t="shared" si="18"/>
        <v/>
      </c>
      <c r="EK25" s="57" t="str">
        <f t="shared" si="18"/>
        <v/>
      </c>
      <c r="EL25" s="57" t="str">
        <f t="shared" si="18"/>
        <v/>
      </c>
      <c r="EM25" s="57" t="str">
        <f t="shared" si="19"/>
        <v/>
      </c>
      <c r="EN25" s="57" t="str">
        <f t="shared" si="19"/>
        <v/>
      </c>
      <c r="EO25" s="57" t="str">
        <f t="shared" si="19"/>
        <v/>
      </c>
      <c r="EP25" s="57" t="str">
        <f t="shared" si="19"/>
        <v/>
      </c>
      <c r="EQ25" s="57" t="str">
        <f t="shared" si="19"/>
        <v/>
      </c>
      <c r="ER25" s="57" t="str">
        <f t="shared" si="19"/>
        <v/>
      </c>
      <c r="ES25" s="57" t="str">
        <f t="shared" si="19"/>
        <v/>
      </c>
      <c r="ET25" s="57" t="str">
        <f t="shared" si="19"/>
        <v/>
      </c>
      <c r="EU25" s="57" t="str">
        <f t="shared" si="19"/>
        <v/>
      </c>
      <c r="EV25" s="57" t="str">
        <f t="shared" si="19"/>
        <v/>
      </c>
      <c r="EW25" s="57" t="str">
        <f t="shared" si="19"/>
        <v/>
      </c>
      <c r="EX25" s="57" t="str">
        <f t="shared" si="19"/>
        <v/>
      </c>
      <c r="EY25" s="57" t="str">
        <f t="shared" si="19"/>
        <v/>
      </c>
      <c r="EZ25" s="57" t="str">
        <f t="shared" si="19"/>
        <v/>
      </c>
      <c r="FA25" s="57" t="str">
        <f t="shared" si="19"/>
        <v/>
      </c>
      <c r="FB25" s="57" t="str">
        <f t="shared" si="19"/>
        <v/>
      </c>
      <c r="FC25" s="57" t="str">
        <f t="shared" si="20"/>
        <v/>
      </c>
      <c r="FD25" s="57" t="str">
        <f t="shared" si="20"/>
        <v/>
      </c>
      <c r="FE25" s="57" t="str">
        <f t="shared" si="20"/>
        <v/>
      </c>
      <c r="FF25" s="57" t="str">
        <f t="shared" si="20"/>
        <v/>
      </c>
      <c r="FG25" s="57" t="str">
        <f t="shared" si="20"/>
        <v/>
      </c>
      <c r="FH25" s="57" t="str">
        <f t="shared" si="20"/>
        <v/>
      </c>
      <c r="FI25" s="57" t="str">
        <f t="shared" si="20"/>
        <v/>
      </c>
      <c r="FJ25" s="57" t="str">
        <f t="shared" si="20"/>
        <v/>
      </c>
      <c r="FK25" s="57" t="str">
        <f t="shared" si="20"/>
        <v/>
      </c>
      <c r="FL25" s="57" t="str">
        <f t="shared" si="20"/>
        <v/>
      </c>
      <c r="FM25" s="57" t="str">
        <f t="shared" ref="FM25:GK29" si="24">IF($B25=FM$12,$O25,"")</f>
        <v/>
      </c>
      <c r="FN25" s="57" t="str">
        <f t="shared" si="24"/>
        <v/>
      </c>
      <c r="FO25" s="57" t="str">
        <f t="shared" si="24"/>
        <v/>
      </c>
      <c r="FP25" s="57" t="str">
        <f t="shared" si="24"/>
        <v/>
      </c>
      <c r="FQ25" s="57" t="str">
        <f t="shared" si="24"/>
        <v/>
      </c>
      <c r="FR25" s="57" t="str">
        <f t="shared" si="24"/>
        <v/>
      </c>
      <c r="FS25" s="57" t="str">
        <f t="shared" si="24"/>
        <v/>
      </c>
      <c r="FT25" s="57" t="str">
        <f t="shared" si="24"/>
        <v/>
      </c>
      <c r="FU25" s="57" t="str">
        <f t="shared" si="24"/>
        <v/>
      </c>
      <c r="FV25" s="57" t="str">
        <f t="shared" si="24"/>
        <v/>
      </c>
      <c r="FW25" s="57" t="str">
        <f t="shared" si="24"/>
        <v/>
      </c>
      <c r="FX25" s="57" t="str">
        <f t="shared" si="24"/>
        <v/>
      </c>
      <c r="FY25" s="57" t="str">
        <f t="shared" si="24"/>
        <v/>
      </c>
      <c r="FZ25" s="57" t="str">
        <f t="shared" si="24"/>
        <v/>
      </c>
      <c r="GA25" s="57" t="str">
        <f t="shared" si="24"/>
        <v/>
      </c>
      <c r="GB25" s="57" t="str">
        <f t="shared" si="24"/>
        <v/>
      </c>
      <c r="GC25" s="57" t="str">
        <f t="shared" si="24"/>
        <v/>
      </c>
      <c r="GD25" s="57" t="str">
        <f t="shared" si="24"/>
        <v/>
      </c>
      <c r="GE25" s="57" t="str">
        <f t="shared" si="24"/>
        <v/>
      </c>
      <c r="GF25" s="57" t="str">
        <f t="shared" si="24"/>
        <v/>
      </c>
      <c r="GG25" s="57" t="str">
        <f t="shared" si="24"/>
        <v/>
      </c>
      <c r="GH25" s="57" t="str">
        <f t="shared" si="24"/>
        <v/>
      </c>
      <c r="GI25" s="57" t="str">
        <f t="shared" si="24"/>
        <v/>
      </c>
      <c r="GJ25" s="57" t="str">
        <f t="shared" si="24"/>
        <v/>
      </c>
      <c r="GK25" s="57" t="str">
        <f t="shared" si="24"/>
        <v/>
      </c>
      <c r="GL25" s="57" t="str">
        <f t="shared" si="22"/>
        <v/>
      </c>
      <c r="GM25" s="57" t="str">
        <f t="shared" si="22"/>
        <v/>
      </c>
      <c r="GN25" s="57" t="str">
        <f t="shared" si="22"/>
        <v/>
      </c>
      <c r="GO25" s="57" t="str">
        <f t="shared" si="22"/>
        <v/>
      </c>
      <c r="GP25" s="57" t="str">
        <f t="shared" si="22"/>
        <v/>
      </c>
      <c r="GQ25" s="57" t="str">
        <f t="shared" si="22"/>
        <v/>
      </c>
      <c r="GR25" s="57" t="str">
        <f t="shared" si="22"/>
        <v/>
      </c>
      <c r="GS25" s="57" t="str">
        <f t="shared" si="22"/>
        <v/>
      </c>
      <c r="GT25" s="57" t="str">
        <f t="shared" si="22"/>
        <v/>
      </c>
      <c r="GU25" s="57" t="str">
        <f t="shared" si="22"/>
        <v/>
      </c>
      <c r="GV25" s="57" t="str">
        <f t="shared" si="22"/>
        <v/>
      </c>
      <c r="GW25" s="57" t="str">
        <f t="shared" si="22"/>
        <v/>
      </c>
      <c r="GX25" s="57" t="str">
        <f t="shared" si="22"/>
        <v/>
      </c>
      <c r="GY25" s="57" t="str">
        <f t="shared" si="22"/>
        <v/>
      </c>
      <c r="GZ25" s="57" t="str">
        <f t="shared" si="22"/>
        <v/>
      </c>
      <c r="HA25" s="57" t="str">
        <f t="shared" si="22"/>
        <v/>
      </c>
      <c r="HB25" s="57" t="str">
        <f t="shared" si="22"/>
        <v/>
      </c>
      <c r="HC25" s="57" t="str">
        <f t="shared" si="22"/>
        <v/>
      </c>
      <c r="HD25" s="57" t="str">
        <f t="shared" si="22"/>
        <v/>
      </c>
      <c r="HE25" s="57" t="str">
        <f t="shared" si="22"/>
        <v/>
      </c>
      <c r="HF25" s="57" t="str">
        <f t="shared" si="22"/>
        <v/>
      </c>
      <c r="HG25" s="57" t="str">
        <f t="shared" si="22"/>
        <v/>
      </c>
      <c r="HH25" s="57" t="str">
        <f t="shared" si="22"/>
        <v/>
      </c>
      <c r="HI25" s="57" t="str">
        <f t="shared" si="22"/>
        <v/>
      </c>
      <c r="HJ25" s="57" t="str">
        <f t="shared" si="22"/>
        <v/>
      </c>
      <c r="HK25" s="57" t="str">
        <f t="shared" si="22"/>
        <v/>
      </c>
      <c r="HL25" s="57" t="str">
        <f t="shared" si="22"/>
        <v/>
      </c>
      <c r="HM25" s="57" t="str">
        <f t="shared" si="22"/>
        <v/>
      </c>
      <c r="HN25" s="57" t="str">
        <f t="shared" si="22"/>
        <v/>
      </c>
      <c r="HO25" s="57" t="str">
        <f t="shared" si="22"/>
        <v/>
      </c>
      <c r="HP25" s="57" t="str">
        <f t="shared" si="22"/>
        <v/>
      </c>
      <c r="HQ25" s="57" t="str">
        <f t="shared" si="22"/>
        <v/>
      </c>
      <c r="HR25" s="123" t="str">
        <f t="shared" si="22"/>
        <v/>
      </c>
    </row>
    <row r="26" spans="1:226" ht="11.15" customHeight="1" x14ac:dyDescent="0.25">
      <c r="A26" s="32"/>
      <c r="B26" s="33"/>
      <c r="C26" s="34" t="str">
        <f>IF(A26=0,"",VLOOKUP(A26,[3]CO!$A$3:$F$5311,2,0))</f>
        <v/>
      </c>
      <c r="D26" s="35"/>
      <c r="E26" s="35"/>
      <c r="F26" s="35"/>
      <c r="G26" s="36" t="str">
        <f>IF(A26=0,"",VLOOKUP(A26,[3]CO!$A$3:$F$5311,3,0))</f>
        <v/>
      </c>
      <c r="H26" s="35"/>
      <c r="I26" s="37"/>
      <c r="J26" s="37"/>
      <c r="K26" s="37"/>
      <c r="L26" s="37"/>
      <c r="M26" s="38" t="str">
        <f t="shared" si="4"/>
        <v/>
      </c>
      <c r="N26" s="38" t="str">
        <f>IF(B26=0,"",IF(H26="M",HLOOKUP(B26,$Y$12:$DT$13,2),IF(A26=0,"",VLOOKUP(A26,[3]CO!$A$3:$F$5311,4,0))))</f>
        <v/>
      </c>
      <c r="O26" s="38" t="str">
        <f t="shared" si="11"/>
        <v/>
      </c>
      <c r="P26" s="39"/>
      <c r="Q26" s="40" t="str">
        <f t="shared" si="5"/>
        <v/>
      </c>
      <c r="R26" s="41" t="str">
        <f t="shared" si="6"/>
        <v/>
      </c>
      <c r="S26" s="131"/>
      <c r="T26" s="60" t="str">
        <f>IF(A26=0,"",VLOOKUP(A26,[3]CO!$A$3:$F$5302,5,0))</f>
        <v/>
      </c>
      <c r="U26" s="61">
        <f t="shared" si="12"/>
        <v>0</v>
      </c>
      <c r="V26" s="30"/>
      <c r="W26" s="31"/>
      <c r="X26" s="31"/>
      <c r="Y26" s="71" t="str">
        <f t="shared" si="15"/>
        <v/>
      </c>
      <c r="Z26" s="62" t="str">
        <f t="shared" si="15"/>
        <v/>
      </c>
      <c r="AA26" s="62" t="str">
        <f t="shared" si="15"/>
        <v/>
      </c>
      <c r="AB26" s="62" t="str">
        <f t="shared" si="15"/>
        <v/>
      </c>
      <c r="AC26" s="62" t="str">
        <f t="shared" si="15"/>
        <v/>
      </c>
      <c r="AD26" s="62" t="str">
        <f t="shared" si="15"/>
        <v/>
      </c>
      <c r="AE26" s="62" t="str">
        <f t="shared" si="15"/>
        <v/>
      </c>
      <c r="AF26" s="62" t="str">
        <f t="shared" si="15"/>
        <v/>
      </c>
      <c r="AG26" s="62" t="str">
        <f t="shared" si="15"/>
        <v/>
      </c>
      <c r="AH26" s="62" t="str">
        <f t="shared" si="15"/>
        <v/>
      </c>
      <c r="AI26" s="62" t="str">
        <f t="shared" si="15"/>
        <v/>
      </c>
      <c r="AJ26" s="62" t="str">
        <f t="shared" si="15"/>
        <v/>
      </c>
      <c r="AK26" s="62" t="str">
        <f t="shared" si="15"/>
        <v/>
      </c>
      <c r="AL26" s="62" t="str">
        <f t="shared" si="15"/>
        <v/>
      </c>
      <c r="AM26" s="62" t="str">
        <f t="shared" si="15"/>
        <v/>
      </c>
      <c r="AN26" s="62" t="str">
        <f t="shared" si="15"/>
        <v/>
      </c>
      <c r="AO26" s="62" t="str">
        <f t="shared" si="16"/>
        <v/>
      </c>
      <c r="AP26" s="62" t="str">
        <f t="shared" si="16"/>
        <v/>
      </c>
      <c r="AQ26" s="62" t="str">
        <f t="shared" si="16"/>
        <v/>
      </c>
      <c r="AR26" s="62" t="str">
        <f t="shared" si="16"/>
        <v/>
      </c>
      <c r="AS26" s="62" t="str">
        <f t="shared" si="16"/>
        <v/>
      </c>
      <c r="AT26" s="62" t="str">
        <f t="shared" si="16"/>
        <v/>
      </c>
      <c r="AU26" s="62" t="str">
        <f t="shared" si="16"/>
        <v/>
      </c>
      <c r="AV26" s="62" t="str">
        <f t="shared" si="16"/>
        <v/>
      </c>
      <c r="AW26" s="62" t="str">
        <f t="shared" si="16"/>
        <v/>
      </c>
      <c r="AX26" s="62" t="str">
        <f t="shared" si="16"/>
        <v/>
      </c>
      <c r="AY26" s="62" t="str">
        <f t="shared" si="16"/>
        <v/>
      </c>
      <c r="AZ26" s="62" t="str">
        <f t="shared" si="16"/>
        <v/>
      </c>
      <c r="BA26" s="62" t="str">
        <f t="shared" si="16"/>
        <v/>
      </c>
      <c r="BB26" s="62" t="str">
        <f t="shared" si="16"/>
        <v/>
      </c>
      <c r="BC26" s="62" t="str">
        <f t="shared" si="16"/>
        <v/>
      </c>
      <c r="BD26" s="62" t="str">
        <f t="shared" si="16"/>
        <v/>
      </c>
      <c r="BE26" s="62" t="str">
        <f t="shared" si="16"/>
        <v/>
      </c>
      <c r="BF26" s="62" t="str">
        <f t="shared" si="16"/>
        <v/>
      </c>
      <c r="BG26" s="62" t="str">
        <f t="shared" si="16"/>
        <v/>
      </c>
      <c r="BH26" s="62" t="str">
        <f t="shared" si="16"/>
        <v/>
      </c>
      <c r="BI26" s="62" t="str">
        <f t="shared" si="17"/>
        <v/>
      </c>
      <c r="BJ26" s="62" t="str">
        <f t="shared" si="17"/>
        <v/>
      </c>
      <c r="BK26" s="62" t="str">
        <f t="shared" si="17"/>
        <v/>
      </c>
      <c r="BL26" s="62" t="str">
        <f t="shared" si="17"/>
        <v/>
      </c>
      <c r="BM26" s="62" t="str">
        <f t="shared" si="17"/>
        <v/>
      </c>
      <c r="BN26" s="62" t="str">
        <f t="shared" si="17"/>
        <v/>
      </c>
      <c r="BO26" s="62" t="str">
        <f t="shared" si="17"/>
        <v/>
      </c>
      <c r="BP26" s="62" t="str">
        <f t="shared" si="17"/>
        <v/>
      </c>
      <c r="BQ26" s="62" t="str">
        <f t="shared" si="17"/>
        <v/>
      </c>
      <c r="BR26" s="62" t="str">
        <f t="shared" si="17"/>
        <v/>
      </c>
      <c r="BS26" s="62" t="str">
        <f t="shared" si="17"/>
        <v/>
      </c>
      <c r="BT26" s="62" t="str">
        <f t="shared" si="17"/>
        <v/>
      </c>
      <c r="BU26" s="62" t="str">
        <f t="shared" si="17"/>
        <v/>
      </c>
      <c r="BV26" s="62" t="str">
        <f t="shared" si="17"/>
        <v/>
      </c>
      <c r="BW26" s="62" t="str">
        <f t="shared" si="17"/>
        <v/>
      </c>
      <c r="BX26" s="62" t="str">
        <f t="shared" si="17"/>
        <v/>
      </c>
      <c r="BY26" s="62" t="str">
        <f t="shared" si="17"/>
        <v/>
      </c>
      <c r="BZ26" s="62" t="str">
        <f t="shared" si="17"/>
        <v/>
      </c>
      <c r="CA26" s="62" t="str">
        <f t="shared" si="17"/>
        <v/>
      </c>
      <c r="CB26" s="62" t="str">
        <f t="shared" si="17"/>
        <v/>
      </c>
      <c r="CC26" s="62" t="str">
        <f t="shared" si="17"/>
        <v/>
      </c>
      <c r="CD26" s="62" t="str">
        <f t="shared" si="17"/>
        <v/>
      </c>
      <c r="CE26" s="62" t="str">
        <f t="shared" si="17"/>
        <v/>
      </c>
      <c r="CF26" s="62" t="str">
        <f t="shared" si="17"/>
        <v/>
      </c>
      <c r="CG26" s="62" t="str">
        <f t="shared" si="17"/>
        <v/>
      </c>
      <c r="CH26" s="62" t="str">
        <f t="shared" si="17"/>
        <v/>
      </c>
      <c r="CI26" s="62" t="str">
        <f t="shared" si="17"/>
        <v/>
      </c>
      <c r="CJ26" s="62" t="str">
        <f t="shared" si="13"/>
        <v/>
      </c>
      <c r="CK26" s="62" t="str">
        <f t="shared" si="13"/>
        <v/>
      </c>
      <c r="CL26" s="62" t="str">
        <f t="shared" si="13"/>
        <v/>
      </c>
      <c r="CM26" s="62" t="str">
        <f t="shared" si="13"/>
        <v/>
      </c>
      <c r="CN26" s="62" t="str">
        <f t="shared" si="13"/>
        <v/>
      </c>
      <c r="CO26" s="62" t="str">
        <f t="shared" si="13"/>
        <v/>
      </c>
      <c r="CP26" s="62" t="str">
        <f t="shared" si="13"/>
        <v/>
      </c>
      <c r="CQ26" s="62" t="str">
        <f t="shared" si="13"/>
        <v/>
      </c>
      <c r="CR26" s="62" t="str">
        <f t="shared" si="13"/>
        <v/>
      </c>
      <c r="CS26" s="62" t="str">
        <f t="shared" si="13"/>
        <v/>
      </c>
      <c r="CT26" s="62" t="str">
        <f t="shared" si="13"/>
        <v/>
      </c>
      <c r="CU26" s="62" t="str">
        <f t="shared" si="13"/>
        <v/>
      </c>
      <c r="CV26" s="62" t="str">
        <f t="shared" si="13"/>
        <v/>
      </c>
      <c r="CW26" s="62" t="str">
        <f t="shared" si="13"/>
        <v/>
      </c>
      <c r="CX26" s="62" t="str">
        <f t="shared" si="13"/>
        <v/>
      </c>
      <c r="CY26" s="62" t="str">
        <f t="shared" si="13"/>
        <v/>
      </c>
      <c r="CZ26" s="62" t="str">
        <f t="shared" si="23"/>
        <v/>
      </c>
      <c r="DA26" s="62" t="str">
        <f t="shared" si="23"/>
        <v/>
      </c>
      <c r="DB26" s="62" t="str">
        <f t="shared" si="23"/>
        <v/>
      </c>
      <c r="DC26" s="62" t="str">
        <f t="shared" si="23"/>
        <v/>
      </c>
      <c r="DD26" s="62" t="str">
        <f t="shared" si="23"/>
        <v/>
      </c>
      <c r="DE26" s="62" t="str">
        <f t="shared" si="23"/>
        <v/>
      </c>
      <c r="DF26" s="62" t="str">
        <f t="shared" si="23"/>
        <v/>
      </c>
      <c r="DG26" s="62" t="str">
        <f t="shared" si="23"/>
        <v/>
      </c>
      <c r="DH26" s="62" t="str">
        <f t="shared" si="23"/>
        <v/>
      </c>
      <c r="DI26" s="62" t="str">
        <f t="shared" si="23"/>
        <v/>
      </c>
      <c r="DJ26" s="62" t="str">
        <f t="shared" si="23"/>
        <v/>
      </c>
      <c r="DK26" s="62" t="str">
        <f t="shared" si="23"/>
        <v/>
      </c>
      <c r="DL26" s="62" t="str">
        <f t="shared" si="23"/>
        <v/>
      </c>
      <c r="DM26" s="62" t="str">
        <f t="shared" si="23"/>
        <v/>
      </c>
      <c r="DN26" s="62" t="str">
        <f t="shared" si="23"/>
        <v/>
      </c>
      <c r="DO26" s="62" t="str">
        <f t="shared" si="23"/>
        <v/>
      </c>
      <c r="DP26" s="62" t="str">
        <f t="shared" si="23"/>
        <v/>
      </c>
      <c r="DQ26" s="62" t="str">
        <f t="shared" si="23"/>
        <v/>
      </c>
      <c r="DR26" s="62" t="str">
        <f t="shared" si="23"/>
        <v/>
      </c>
      <c r="DS26" s="62" t="str">
        <f t="shared" si="23"/>
        <v/>
      </c>
      <c r="DT26" s="117" t="str">
        <f t="shared" si="23"/>
        <v/>
      </c>
      <c r="DU26" s="61"/>
      <c r="DV26" s="31"/>
      <c r="DW26" s="68" t="str">
        <f t="shared" si="18"/>
        <v/>
      </c>
      <c r="DX26" s="57" t="str">
        <f t="shared" si="18"/>
        <v/>
      </c>
      <c r="DY26" s="57" t="str">
        <f t="shared" si="18"/>
        <v/>
      </c>
      <c r="DZ26" s="57" t="str">
        <f t="shared" si="18"/>
        <v/>
      </c>
      <c r="EA26" s="57" t="str">
        <f t="shared" si="18"/>
        <v/>
      </c>
      <c r="EB26" s="57" t="str">
        <f t="shared" si="18"/>
        <v/>
      </c>
      <c r="EC26" s="57" t="str">
        <f t="shared" si="18"/>
        <v/>
      </c>
      <c r="ED26" s="57" t="str">
        <f t="shared" si="18"/>
        <v/>
      </c>
      <c r="EE26" s="57" t="str">
        <f t="shared" si="18"/>
        <v/>
      </c>
      <c r="EF26" s="57" t="str">
        <f t="shared" si="18"/>
        <v/>
      </c>
      <c r="EG26" s="57" t="str">
        <f t="shared" si="18"/>
        <v/>
      </c>
      <c r="EH26" s="57" t="str">
        <f t="shared" si="18"/>
        <v/>
      </c>
      <c r="EI26" s="57" t="str">
        <f t="shared" si="18"/>
        <v/>
      </c>
      <c r="EJ26" s="57" t="str">
        <f t="shared" si="18"/>
        <v/>
      </c>
      <c r="EK26" s="57" t="str">
        <f t="shared" si="18"/>
        <v/>
      </c>
      <c r="EL26" s="57" t="str">
        <f t="shared" si="18"/>
        <v/>
      </c>
      <c r="EM26" s="57" t="str">
        <f t="shared" si="19"/>
        <v/>
      </c>
      <c r="EN26" s="57" t="str">
        <f t="shared" si="19"/>
        <v/>
      </c>
      <c r="EO26" s="57" t="str">
        <f t="shared" si="19"/>
        <v/>
      </c>
      <c r="EP26" s="57" t="str">
        <f t="shared" si="19"/>
        <v/>
      </c>
      <c r="EQ26" s="57" t="str">
        <f t="shared" si="19"/>
        <v/>
      </c>
      <c r="ER26" s="57" t="str">
        <f t="shared" si="19"/>
        <v/>
      </c>
      <c r="ES26" s="57" t="str">
        <f t="shared" si="19"/>
        <v/>
      </c>
      <c r="ET26" s="57" t="str">
        <f t="shared" si="19"/>
        <v/>
      </c>
      <c r="EU26" s="57" t="str">
        <f t="shared" si="19"/>
        <v/>
      </c>
      <c r="EV26" s="57" t="str">
        <f t="shared" si="19"/>
        <v/>
      </c>
      <c r="EW26" s="57" t="str">
        <f t="shared" si="19"/>
        <v/>
      </c>
      <c r="EX26" s="57" t="str">
        <f t="shared" si="19"/>
        <v/>
      </c>
      <c r="EY26" s="57" t="str">
        <f t="shared" si="19"/>
        <v/>
      </c>
      <c r="EZ26" s="57" t="str">
        <f t="shared" si="19"/>
        <v/>
      </c>
      <c r="FA26" s="57" t="str">
        <f t="shared" si="19"/>
        <v/>
      </c>
      <c r="FB26" s="57" t="str">
        <f t="shared" si="19"/>
        <v/>
      </c>
      <c r="FC26" s="57" t="str">
        <f t="shared" ref="FC26:FR29" si="25">IF($B26=FC$12,$O26,"")</f>
        <v/>
      </c>
      <c r="FD26" s="57" t="str">
        <f t="shared" si="25"/>
        <v/>
      </c>
      <c r="FE26" s="57" t="str">
        <f t="shared" si="25"/>
        <v/>
      </c>
      <c r="FF26" s="57" t="str">
        <f t="shared" si="25"/>
        <v/>
      </c>
      <c r="FG26" s="57" t="str">
        <f t="shared" si="25"/>
        <v/>
      </c>
      <c r="FH26" s="57" t="str">
        <f t="shared" si="25"/>
        <v/>
      </c>
      <c r="FI26" s="57" t="str">
        <f t="shared" si="25"/>
        <v/>
      </c>
      <c r="FJ26" s="57" t="str">
        <f t="shared" si="25"/>
        <v/>
      </c>
      <c r="FK26" s="57" t="str">
        <f t="shared" si="25"/>
        <v/>
      </c>
      <c r="FL26" s="57" t="str">
        <f t="shared" si="25"/>
        <v/>
      </c>
      <c r="FM26" s="57" t="str">
        <f t="shared" si="24"/>
        <v/>
      </c>
      <c r="FN26" s="57" t="str">
        <f t="shared" si="24"/>
        <v/>
      </c>
      <c r="FO26" s="57" t="str">
        <f t="shared" si="24"/>
        <v/>
      </c>
      <c r="FP26" s="57" t="str">
        <f t="shared" si="24"/>
        <v/>
      </c>
      <c r="FQ26" s="57" t="str">
        <f t="shared" si="24"/>
        <v/>
      </c>
      <c r="FR26" s="57" t="str">
        <f t="shared" si="24"/>
        <v/>
      </c>
      <c r="FS26" s="57" t="str">
        <f t="shared" si="24"/>
        <v/>
      </c>
      <c r="FT26" s="57" t="str">
        <f t="shared" si="24"/>
        <v/>
      </c>
      <c r="FU26" s="57" t="str">
        <f t="shared" si="24"/>
        <v/>
      </c>
      <c r="FV26" s="57" t="str">
        <f t="shared" si="24"/>
        <v/>
      </c>
      <c r="FW26" s="57" t="str">
        <f t="shared" si="24"/>
        <v/>
      </c>
      <c r="FX26" s="57" t="str">
        <f t="shared" si="24"/>
        <v/>
      </c>
      <c r="FY26" s="57" t="str">
        <f t="shared" si="24"/>
        <v/>
      </c>
      <c r="FZ26" s="57" t="str">
        <f t="shared" si="24"/>
        <v/>
      </c>
      <c r="GA26" s="57" t="str">
        <f t="shared" si="24"/>
        <v/>
      </c>
      <c r="GB26" s="57" t="str">
        <f t="shared" si="24"/>
        <v/>
      </c>
      <c r="GC26" s="57" t="str">
        <f t="shared" si="24"/>
        <v/>
      </c>
      <c r="GD26" s="57" t="str">
        <f t="shared" si="24"/>
        <v/>
      </c>
      <c r="GE26" s="57" t="str">
        <f t="shared" si="24"/>
        <v/>
      </c>
      <c r="GF26" s="57" t="str">
        <f t="shared" si="24"/>
        <v/>
      </c>
      <c r="GG26" s="57" t="str">
        <f t="shared" si="24"/>
        <v/>
      </c>
      <c r="GH26" s="57" t="str">
        <f t="shared" si="24"/>
        <v/>
      </c>
      <c r="GI26" s="57" t="str">
        <f t="shared" si="24"/>
        <v/>
      </c>
      <c r="GJ26" s="57" t="str">
        <f t="shared" si="24"/>
        <v/>
      </c>
      <c r="GK26" s="57" t="str">
        <f t="shared" si="24"/>
        <v/>
      </c>
      <c r="GL26" s="57" t="str">
        <f t="shared" si="22"/>
        <v/>
      </c>
      <c r="GM26" s="57" t="str">
        <f t="shared" si="22"/>
        <v/>
      </c>
      <c r="GN26" s="57" t="str">
        <f t="shared" si="22"/>
        <v/>
      </c>
      <c r="GO26" s="57" t="str">
        <f t="shared" si="22"/>
        <v/>
      </c>
      <c r="GP26" s="57" t="str">
        <f t="shared" si="22"/>
        <v/>
      </c>
      <c r="GQ26" s="57" t="str">
        <f t="shared" si="22"/>
        <v/>
      </c>
      <c r="GR26" s="57" t="str">
        <f t="shared" si="22"/>
        <v/>
      </c>
      <c r="GS26" s="57" t="str">
        <f t="shared" si="22"/>
        <v/>
      </c>
      <c r="GT26" s="57" t="str">
        <f t="shared" si="22"/>
        <v/>
      </c>
      <c r="GU26" s="57" t="str">
        <f t="shared" si="22"/>
        <v/>
      </c>
      <c r="GV26" s="57" t="str">
        <f t="shared" si="22"/>
        <v/>
      </c>
      <c r="GW26" s="57" t="str">
        <f t="shared" si="22"/>
        <v/>
      </c>
      <c r="GX26" s="57" t="str">
        <f t="shared" si="22"/>
        <v/>
      </c>
      <c r="GY26" s="57" t="str">
        <f t="shared" si="22"/>
        <v/>
      </c>
      <c r="GZ26" s="57" t="str">
        <f t="shared" si="22"/>
        <v/>
      </c>
      <c r="HA26" s="57" t="str">
        <f t="shared" si="22"/>
        <v/>
      </c>
      <c r="HB26" s="57" t="str">
        <f t="shared" si="22"/>
        <v/>
      </c>
      <c r="HC26" s="57" t="str">
        <f t="shared" si="22"/>
        <v/>
      </c>
      <c r="HD26" s="57" t="str">
        <f t="shared" si="22"/>
        <v/>
      </c>
      <c r="HE26" s="57" t="str">
        <f t="shared" si="22"/>
        <v/>
      </c>
      <c r="HF26" s="57" t="str">
        <f t="shared" si="22"/>
        <v/>
      </c>
      <c r="HG26" s="57" t="str">
        <f t="shared" si="22"/>
        <v/>
      </c>
      <c r="HH26" s="57" t="str">
        <f t="shared" si="22"/>
        <v/>
      </c>
      <c r="HI26" s="57" t="str">
        <f t="shared" si="22"/>
        <v/>
      </c>
      <c r="HJ26" s="57" t="str">
        <f t="shared" si="22"/>
        <v/>
      </c>
      <c r="HK26" s="57" t="str">
        <f t="shared" si="22"/>
        <v/>
      </c>
      <c r="HL26" s="57" t="str">
        <f t="shared" si="22"/>
        <v/>
      </c>
      <c r="HM26" s="57" t="str">
        <f t="shared" si="22"/>
        <v/>
      </c>
      <c r="HN26" s="57" t="str">
        <f t="shared" si="22"/>
        <v/>
      </c>
      <c r="HO26" s="57" t="str">
        <f t="shared" si="22"/>
        <v/>
      </c>
      <c r="HP26" s="57" t="str">
        <f t="shared" si="22"/>
        <v/>
      </c>
      <c r="HQ26" s="57" t="str">
        <f t="shared" si="22"/>
        <v/>
      </c>
      <c r="HR26" s="123" t="str">
        <f t="shared" si="22"/>
        <v/>
      </c>
    </row>
    <row r="27" spans="1:226" ht="11.15" customHeight="1" x14ac:dyDescent="0.25">
      <c r="A27" s="32"/>
      <c r="B27" s="33"/>
      <c r="C27" s="34" t="str">
        <f>IF(A27=0,"",VLOOKUP(A27,[3]CO!$A$3:$F$5311,2,0))</f>
        <v/>
      </c>
      <c r="D27" s="35"/>
      <c r="E27" s="35"/>
      <c r="F27" s="35"/>
      <c r="G27" s="36" t="str">
        <f>IF(A27=0,"",VLOOKUP(A27,[3]CO!$A$3:$F$5311,3,0))</f>
        <v/>
      </c>
      <c r="H27" s="35"/>
      <c r="I27" s="37"/>
      <c r="J27" s="37"/>
      <c r="K27" s="37"/>
      <c r="L27" s="37"/>
      <c r="M27" s="38" t="str">
        <f t="shared" si="4"/>
        <v/>
      </c>
      <c r="N27" s="38" t="str">
        <f>IF(B27=0,"",IF(H27="M",HLOOKUP(B27,$Y$12:$DT$13,2),IF(A27=0,"",VLOOKUP(A27,[3]CO!$A$3:$F$5311,4,0))))</f>
        <v/>
      </c>
      <c r="O27" s="38" t="str">
        <f t="shared" si="11"/>
        <v/>
      </c>
      <c r="P27" s="39"/>
      <c r="Q27" s="40" t="str">
        <f t="shared" si="5"/>
        <v/>
      </c>
      <c r="R27" s="41" t="str">
        <f t="shared" si="6"/>
        <v/>
      </c>
      <c r="S27" s="131"/>
      <c r="T27" s="60" t="str">
        <f>IF(A27=0,"",VLOOKUP(A27,[3]CO!$A$3:$F$5302,5,0))</f>
        <v/>
      </c>
      <c r="U27" s="61">
        <f t="shared" si="12"/>
        <v>0</v>
      </c>
      <c r="V27" s="30"/>
      <c r="W27" s="31"/>
      <c r="X27" s="31"/>
      <c r="Y27" s="71" t="str">
        <f t="shared" si="15"/>
        <v/>
      </c>
      <c r="Z27" s="62" t="str">
        <f t="shared" si="15"/>
        <v/>
      </c>
      <c r="AA27" s="62" t="str">
        <f t="shared" si="15"/>
        <v/>
      </c>
      <c r="AB27" s="62" t="str">
        <f t="shared" si="15"/>
        <v/>
      </c>
      <c r="AC27" s="62" t="str">
        <f t="shared" si="15"/>
        <v/>
      </c>
      <c r="AD27" s="62" t="str">
        <f t="shared" si="15"/>
        <v/>
      </c>
      <c r="AE27" s="62" t="str">
        <f t="shared" si="15"/>
        <v/>
      </c>
      <c r="AF27" s="62" t="str">
        <f t="shared" si="15"/>
        <v/>
      </c>
      <c r="AG27" s="62" t="str">
        <f t="shared" si="15"/>
        <v/>
      </c>
      <c r="AH27" s="62" t="str">
        <f t="shared" si="15"/>
        <v/>
      </c>
      <c r="AI27" s="62" t="str">
        <f t="shared" si="15"/>
        <v/>
      </c>
      <c r="AJ27" s="62" t="str">
        <f t="shared" si="15"/>
        <v/>
      </c>
      <c r="AK27" s="62" t="str">
        <f t="shared" si="15"/>
        <v/>
      </c>
      <c r="AL27" s="62" t="str">
        <f t="shared" si="15"/>
        <v/>
      </c>
      <c r="AM27" s="62" t="str">
        <f t="shared" si="15"/>
        <v/>
      </c>
      <c r="AN27" s="62" t="str">
        <f t="shared" si="15"/>
        <v/>
      </c>
      <c r="AO27" s="62" t="str">
        <f t="shared" si="16"/>
        <v/>
      </c>
      <c r="AP27" s="62" t="str">
        <f t="shared" si="16"/>
        <v/>
      </c>
      <c r="AQ27" s="62" t="str">
        <f t="shared" si="16"/>
        <v/>
      </c>
      <c r="AR27" s="62" t="str">
        <f t="shared" si="16"/>
        <v/>
      </c>
      <c r="AS27" s="62" t="str">
        <f t="shared" si="16"/>
        <v/>
      </c>
      <c r="AT27" s="62" t="str">
        <f t="shared" si="16"/>
        <v/>
      </c>
      <c r="AU27" s="62" t="str">
        <f t="shared" si="16"/>
        <v/>
      </c>
      <c r="AV27" s="62" t="str">
        <f t="shared" si="16"/>
        <v/>
      </c>
      <c r="AW27" s="62" t="str">
        <f t="shared" si="16"/>
        <v/>
      </c>
      <c r="AX27" s="62" t="str">
        <f t="shared" si="16"/>
        <v/>
      </c>
      <c r="AY27" s="62" t="str">
        <f t="shared" si="16"/>
        <v/>
      </c>
      <c r="AZ27" s="62" t="str">
        <f t="shared" si="16"/>
        <v/>
      </c>
      <c r="BA27" s="62" t="str">
        <f t="shared" si="16"/>
        <v/>
      </c>
      <c r="BB27" s="62" t="str">
        <f t="shared" si="16"/>
        <v/>
      </c>
      <c r="BC27" s="62" t="str">
        <f t="shared" si="16"/>
        <v/>
      </c>
      <c r="BD27" s="62" t="str">
        <f t="shared" si="16"/>
        <v/>
      </c>
      <c r="BE27" s="62" t="str">
        <f t="shared" si="16"/>
        <v/>
      </c>
      <c r="BF27" s="62" t="str">
        <f t="shared" si="16"/>
        <v/>
      </c>
      <c r="BG27" s="62" t="str">
        <f t="shared" si="16"/>
        <v/>
      </c>
      <c r="BH27" s="62" t="str">
        <f t="shared" si="16"/>
        <v/>
      </c>
      <c r="BI27" s="62" t="str">
        <f t="shared" si="17"/>
        <v/>
      </c>
      <c r="BJ27" s="62" t="str">
        <f t="shared" si="17"/>
        <v/>
      </c>
      <c r="BK27" s="62" t="str">
        <f t="shared" si="17"/>
        <v/>
      </c>
      <c r="BL27" s="62" t="str">
        <f t="shared" si="17"/>
        <v/>
      </c>
      <c r="BM27" s="62" t="str">
        <f t="shared" si="17"/>
        <v/>
      </c>
      <c r="BN27" s="62" t="str">
        <f t="shared" si="17"/>
        <v/>
      </c>
      <c r="BO27" s="62" t="str">
        <f t="shared" si="17"/>
        <v/>
      </c>
      <c r="BP27" s="62" t="str">
        <f t="shared" si="17"/>
        <v/>
      </c>
      <c r="BQ27" s="62" t="str">
        <f t="shared" si="17"/>
        <v/>
      </c>
      <c r="BR27" s="62" t="str">
        <f t="shared" si="17"/>
        <v/>
      </c>
      <c r="BS27" s="62" t="str">
        <f t="shared" si="17"/>
        <v/>
      </c>
      <c r="BT27" s="62" t="str">
        <f t="shared" si="17"/>
        <v/>
      </c>
      <c r="BU27" s="62" t="str">
        <f t="shared" ref="BU27:CI27" si="26">IF($B27=BU$12,$U27,"")</f>
        <v/>
      </c>
      <c r="BV27" s="62" t="str">
        <f t="shared" si="26"/>
        <v/>
      </c>
      <c r="BW27" s="62" t="str">
        <f t="shared" si="26"/>
        <v/>
      </c>
      <c r="BX27" s="62" t="str">
        <f t="shared" si="26"/>
        <v/>
      </c>
      <c r="BY27" s="62" t="str">
        <f t="shared" si="26"/>
        <v/>
      </c>
      <c r="BZ27" s="62" t="str">
        <f t="shared" si="26"/>
        <v/>
      </c>
      <c r="CA27" s="62" t="str">
        <f t="shared" si="26"/>
        <v/>
      </c>
      <c r="CB27" s="62" t="str">
        <f t="shared" si="26"/>
        <v/>
      </c>
      <c r="CC27" s="62" t="str">
        <f t="shared" si="26"/>
        <v/>
      </c>
      <c r="CD27" s="62" t="str">
        <f t="shared" si="26"/>
        <v/>
      </c>
      <c r="CE27" s="62" t="str">
        <f t="shared" si="26"/>
        <v/>
      </c>
      <c r="CF27" s="62" t="str">
        <f t="shared" si="26"/>
        <v/>
      </c>
      <c r="CG27" s="62" t="str">
        <f t="shared" si="26"/>
        <v/>
      </c>
      <c r="CH27" s="62" t="str">
        <f t="shared" si="26"/>
        <v/>
      </c>
      <c r="CI27" s="62" t="str">
        <f t="shared" si="26"/>
        <v/>
      </c>
      <c r="CJ27" s="62" t="str">
        <f t="shared" si="13"/>
        <v/>
      </c>
      <c r="CK27" s="62" t="str">
        <f t="shared" si="13"/>
        <v/>
      </c>
      <c r="CL27" s="62" t="str">
        <f t="shared" si="13"/>
        <v/>
      </c>
      <c r="CM27" s="62" t="str">
        <f t="shared" si="13"/>
        <v/>
      </c>
      <c r="CN27" s="62" t="str">
        <f t="shared" si="13"/>
        <v/>
      </c>
      <c r="CO27" s="62" t="str">
        <f t="shared" si="13"/>
        <v/>
      </c>
      <c r="CP27" s="62" t="str">
        <f t="shared" si="13"/>
        <v/>
      </c>
      <c r="CQ27" s="62" t="str">
        <f t="shared" si="13"/>
        <v/>
      </c>
      <c r="CR27" s="62" t="str">
        <f t="shared" si="13"/>
        <v/>
      </c>
      <c r="CS27" s="62" t="str">
        <f t="shared" si="13"/>
        <v/>
      </c>
      <c r="CT27" s="62" t="str">
        <f t="shared" si="13"/>
        <v/>
      </c>
      <c r="CU27" s="62" t="str">
        <f t="shared" si="13"/>
        <v/>
      </c>
      <c r="CV27" s="62" t="str">
        <f t="shared" si="13"/>
        <v/>
      </c>
      <c r="CW27" s="62" t="str">
        <f t="shared" si="13"/>
        <v/>
      </c>
      <c r="CX27" s="62" t="str">
        <f t="shared" si="13"/>
        <v/>
      </c>
      <c r="CY27" s="62" t="str">
        <f t="shared" si="13"/>
        <v/>
      </c>
      <c r="CZ27" s="62" t="str">
        <f t="shared" si="23"/>
        <v/>
      </c>
      <c r="DA27" s="62" t="str">
        <f t="shared" si="23"/>
        <v/>
      </c>
      <c r="DB27" s="62" t="str">
        <f t="shared" si="23"/>
        <v/>
      </c>
      <c r="DC27" s="62" t="str">
        <f t="shared" si="23"/>
        <v/>
      </c>
      <c r="DD27" s="62" t="str">
        <f t="shared" si="23"/>
        <v/>
      </c>
      <c r="DE27" s="62" t="str">
        <f t="shared" si="23"/>
        <v/>
      </c>
      <c r="DF27" s="62" t="str">
        <f t="shared" si="23"/>
        <v/>
      </c>
      <c r="DG27" s="62" t="str">
        <f t="shared" si="23"/>
        <v/>
      </c>
      <c r="DH27" s="62" t="str">
        <f t="shared" si="23"/>
        <v/>
      </c>
      <c r="DI27" s="62" t="str">
        <f t="shared" si="23"/>
        <v/>
      </c>
      <c r="DJ27" s="62" t="str">
        <f t="shared" si="23"/>
        <v/>
      </c>
      <c r="DK27" s="62" t="str">
        <f t="shared" si="23"/>
        <v/>
      </c>
      <c r="DL27" s="62" t="str">
        <f t="shared" si="23"/>
        <v/>
      </c>
      <c r="DM27" s="62" t="str">
        <f t="shared" si="23"/>
        <v/>
      </c>
      <c r="DN27" s="62" t="str">
        <f t="shared" si="23"/>
        <v/>
      </c>
      <c r="DO27" s="62" t="str">
        <f t="shared" si="23"/>
        <v/>
      </c>
      <c r="DP27" s="62" t="str">
        <f t="shared" si="23"/>
        <v/>
      </c>
      <c r="DQ27" s="62" t="str">
        <f t="shared" si="23"/>
        <v/>
      </c>
      <c r="DR27" s="62" t="str">
        <f t="shared" si="23"/>
        <v/>
      </c>
      <c r="DS27" s="62" t="str">
        <f t="shared" si="23"/>
        <v/>
      </c>
      <c r="DT27" s="117" t="str">
        <f t="shared" si="23"/>
        <v/>
      </c>
      <c r="DU27" s="61"/>
      <c r="DV27" s="31"/>
      <c r="DW27" s="68" t="str">
        <f t="shared" si="18"/>
        <v/>
      </c>
      <c r="DX27" s="57" t="str">
        <f t="shared" si="18"/>
        <v/>
      </c>
      <c r="DY27" s="57" t="str">
        <f t="shared" si="18"/>
        <v/>
      </c>
      <c r="DZ27" s="57" t="str">
        <f t="shared" si="18"/>
        <v/>
      </c>
      <c r="EA27" s="57" t="str">
        <f t="shared" si="18"/>
        <v/>
      </c>
      <c r="EB27" s="57" t="str">
        <f t="shared" si="18"/>
        <v/>
      </c>
      <c r="EC27" s="57" t="str">
        <f t="shared" si="18"/>
        <v/>
      </c>
      <c r="ED27" s="57" t="str">
        <f t="shared" si="18"/>
        <v/>
      </c>
      <c r="EE27" s="57" t="str">
        <f t="shared" si="18"/>
        <v/>
      </c>
      <c r="EF27" s="57" t="str">
        <f t="shared" si="18"/>
        <v/>
      </c>
      <c r="EG27" s="57" t="str">
        <f t="shared" si="18"/>
        <v/>
      </c>
      <c r="EH27" s="57" t="str">
        <f t="shared" si="18"/>
        <v/>
      </c>
      <c r="EI27" s="57" t="str">
        <f t="shared" si="18"/>
        <v/>
      </c>
      <c r="EJ27" s="57" t="str">
        <f t="shared" si="18"/>
        <v/>
      </c>
      <c r="EK27" s="57" t="str">
        <f t="shared" si="18"/>
        <v/>
      </c>
      <c r="EL27" s="57" t="str">
        <f t="shared" si="18"/>
        <v/>
      </c>
      <c r="EM27" s="57" t="str">
        <f t="shared" si="19"/>
        <v/>
      </c>
      <c r="EN27" s="57" t="str">
        <f t="shared" si="19"/>
        <v/>
      </c>
      <c r="EO27" s="57" t="str">
        <f t="shared" si="19"/>
        <v/>
      </c>
      <c r="EP27" s="57" t="str">
        <f t="shared" si="19"/>
        <v/>
      </c>
      <c r="EQ27" s="57" t="str">
        <f t="shared" si="19"/>
        <v/>
      </c>
      <c r="ER27" s="57" t="str">
        <f t="shared" si="19"/>
        <v/>
      </c>
      <c r="ES27" s="57" t="str">
        <f t="shared" si="19"/>
        <v/>
      </c>
      <c r="ET27" s="57" t="str">
        <f t="shared" si="19"/>
        <v/>
      </c>
      <c r="EU27" s="57" t="str">
        <f t="shared" si="19"/>
        <v/>
      </c>
      <c r="EV27" s="57" t="str">
        <f t="shared" si="19"/>
        <v/>
      </c>
      <c r="EW27" s="57" t="str">
        <f t="shared" si="19"/>
        <v/>
      </c>
      <c r="EX27" s="57" t="str">
        <f t="shared" si="19"/>
        <v/>
      </c>
      <c r="EY27" s="57" t="str">
        <f t="shared" si="19"/>
        <v/>
      </c>
      <c r="EZ27" s="57" t="str">
        <f t="shared" si="19"/>
        <v/>
      </c>
      <c r="FA27" s="57" t="str">
        <f t="shared" si="19"/>
        <v/>
      </c>
      <c r="FB27" s="57" t="str">
        <f t="shared" si="19"/>
        <v/>
      </c>
      <c r="FC27" s="57" t="str">
        <f t="shared" si="25"/>
        <v/>
      </c>
      <c r="FD27" s="57" t="str">
        <f t="shared" si="25"/>
        <v/>
      </c>
      <c r="FE27" s="57" t="str">
        <f t="shared" si="25"/>
        <v/>
      </c>
      <c r="FF27" s="57" t="str">
        <f t="shared" si="25"/>
        <v/>
      </c>
      <c r="FG27" s="57" t="str">
        <f t="shared" si="25"/>
        <v/>
      </c>
      <c r="FH27" s="57" t="str">
        <f t="shared" si="25"/>
        <v/>
      </c>
      <c r="FI27" s="57" t="str">
        <f t="shared" si="25"/>
        <v/>
      </c>
      <c r="FJ27" s="57" t="str">
        <f t="shared" si="25"/>
        <v/>
      </c>
      <c r="FK27" s="57" t="str">
        <f t="shared" si="25"/>
        <v/>
      </c>
      <c r="FL27" s="57" t="str">
        <f t="shared" si="25"/>
        <v/>
      </c>
      <c r="FM27" s="57" t="str">
        <f t="shared" si="24"/>
        <v/>
      </c>
      <c r="FN27" s="57" t="str">
        <f t="shared" si="24"/>
        <v/>
      </c>
      <c r="FO27" s="57" t="str">
        <f t="shared" si="24"/>
        <v/>
      </c>
      <c r="FP27" s="57" t="str">
        <f t="shared" si="24"/>
        <v/>
      </c>
      <c r="FQ27" s="57" t="str">
        <f t="shared" si="24"/>
        <v/>
      </c>
      <c r="FR27" s="57" t="str">
        <f t="shared" si="24"/>
        <v/>
      </c>
      <c r="FS27" s="57" t="str">
        <f t="shared" si="24"/>
        <v/>
      </c>
      <c r="FT27" s="57" t="str">
        <f t="shared" si="24"/>
        <v/>
      </c>
      <c r="FU27" s="57" t="str">
        <f t="shared" si="24"/>
        <v/>
      </c>
      <c r="FV27" s="57" t="str">
        <f t="shared" si="24"/>
        <v/>
      </c>
      <c r="FW27" s="57" t="str">
        <f t="shared" si="24"/>
        <v/>
      </c>
      <c r="FX27" s="57" t="str">
        <f t="shared" si="24"/>
        <v/>
      </c>
      <c r="FY27" s="57" t="str">
        <f t="shared" si="24"/>
        <v/>
      </c>
      <c r="FZ27" s="57" t="str">
        <f t="shared" si="24"/>
        <v/>
      </c>
      <c r="GA27" s="57" t="str">
        <f t="shared" si="24"/>
        <v/>
      </c>
      <c r="GB27" s="57" t="str">
        <f t="shared" si="24"/>
        <v/>
      </c>
      <c r="GC27" s="57" t="str">
        <f t="shared" si="24"/>
        <v/>
      </c>
      <c r="GD27" s="57" t="str">
        <f t="shared" si="24"/>
        <v/>
      </c>
      <c r="GE27" s="57" t="str">
        <f t="shared" si="24"/>
        <v/>
      </c>
      <c r="GF27" s="57" t="str">
        <f t="shared" si="24"/>
        <v/>
      </c>
      <c r="GG27" s="57" t="str">
        <f t="shared" si="24"/>
        <v/>
      </c>
      <c r="GH27" s="57" t="str">
        <f t="shared" si="24"/>
        <v/>
      </c>
      <c r="GI27" s="57" t="str">
        <f t="shared" si="24"/>
        <v/>
      </c>
      <c r="GJ27" s="57" t="str">
        <f t="shared" si="24"/>
        <v/>
      </c>
      <c r="GK27" s="57" t="str">
        <f t="shared" si="24"/>
        <v/>
      </c>
      <c r="GL27" s="57" t="str">
        <f t="shared" si="22"/>
        <v/>
      </c>
      <c r="GM27" s="57" t="str">
        <f t="shared" si="22"/>
        <v/>
      </c>
      <c r="GN27" s="57" t="str">
        <f t="shared" si="22"/>
        <v/>
      </c>
      <c r="GO27" s="57" t="str">
        <f t="shared" si="22"/>
        <v/>
      </c>
      <c r="GP27" s="57" t="str">
        <f t="shared" si="22"/>
        <v/>
      </c>
      <c r="GQ27" s="57" t="str">
        <f t="shared" si="22"/>
        <v/>
      </c>
      <c r="GR27" s="57" t="str">
        <f t="shared" si="22"/>
        <v/>
      </c>
      <c r="GS27" s="57" t="str">
        <f t="shared" si="22"/>
        <v/>
      </c>
      <c r="GT27" s="57" t="str">
        <f t="shared" si="22"/>
        <v/>
      </c>
      <c r="GU27" s="57" t="str">
        <f t="shared" si="22"/>
        <v/>
      </c>
      <c r="GV27" s="57" t="str">
        <f t="shared" si="22"/>
        <v/>
      </c>
      <c r="GW27" s="57" t="str">
        <f t="shared" si="22"/>
        <v/>
      </c>
      <c r="GX27" s="57" t="str">
        <f t="shared" si="22"/>
        <v/>
      </c>
      <c r="GY27" s="57" t="str">
        <f t="shared" si="22"/>
        <v/>
      </c>
      <c r="GZ27" s="57" t="str">
        <f t="shared" si="22"/>
        <v/>
      </c>
      <c r="HA27" s="57" t="str">
        <f t="shared" si="22"/>
        <v/>
      </c>
      <c r="HB27" s="57" t="str">
        <f t="shared" si="22"/>
        <v/>
      </c>
      <c r="HC27" s="57" t="str">
        <f t="shared" si="22"/>
        <v/>
      </c>
      <c r="HD27" s="57" t="str">
        <f t="shared" si="22"/>
        <v/>
      </c>
      <c r="HE27" s="57" t="str">
        <f t="shared" si="22"/>
        <v/>
      </c>
      <c r="HF27" s="57" t="str">
        <f t="shared" si="22"/>
        <v/>
      </c>
      <c r="HG27" s="57" t="str">
        <f t="shared" si="22"/>
        <v/>
      </c>
      <c r="HH27" s="57" t="str">
        <f t="shared" si="22"/>
        <v/>
      </c>
      <c r="HI27" s="57" t="str">
        <f t="shared" si="22"/>
        <v/>
      </c>
      <c r="HJ27" s="57" t="str">
        <f t="shared" si="22"/>
        <v/>
      </c>
      <c r="HK27" s="57" t="str">
        <f t="shared" si="22"/>
        <v/>
      </c>
      <c r="HL27" s="57" t="str">
        <f t="shared" si="22"/>
        <v/>
      </c>
      <c r="HM27" s="57" t="str">
        <f t="shared" si="22"/>
        <v/>
      </c>
      <c r="HN27" s="57" t="str">
        <f t="shared" si="22"/>
        <v/>
      </c>
      <c r="HO27" s="57" t="str">
        <f t="shared" si="22"/>
        <v/>
      </c>
      <c r="HP27" s="57" t="str">
        <f t="shared" si="22"/>
        <v/>
      </c>
      <c r="HQ27" s="57" t="str">
        <f t="shared" si="22"/>
        <v/>
      </c>
      <c r="HR27" s="123" t="str">
        <f t="shared" si="22"/>
        <v/>
      </c>
    </row>
    <row r="28" spans="1:226" ht="11.15" customHeight="1" x14ac:dyDescent="0.25">
      <c r="A28" s="32"/>
      <c r="B28" s="33"/>
      <c r="C28" s="34" t="str">
        <f>IF(A28=0,"",VLOOKUP(A28,[3]CO!$A$3:$F$5311,2,0))</f>
        <v/>
      </c>
      <c r="D28" s="35"/>
      <c r="E28" s="35"/>
      <c r="F28" s="35"/>
      <c r="G28" s="36" t="str">
        <f>IF(A28=0,"",VLOOKUP(A28,[3]CO!$A$3:$F$5311,3,0))</f>
        <v/>
      </c>
      <c r="H28" s="35"/>
      <c r="I28" s="37"/>
      <c r="J28" s="37"/>
      <c r="K28" s="37"/>
      <c r="L28" s="37"/>
      <c r="M28" s="38" t="str">
        <f t="shared" si="4"/>
        <v/>
      </c>
      <c r="N28" s="38" t="str">
        <f>IF(B28=0,"",IF(H28="M",HLOOKUP(B28,$Y$12:$DT$13,2),IF(A28=0,"",VLOOKUP(A28,[3]CO!$A$3:$F$5311,4,0))))</f>
        <v/>
      </c>
      <c r="O28" s="38" t="str">
        <f t="shared" si="11"/>
        <v/>
      </c>
      <c r="P28" s="39"/>
      <c r="Q28" s="40" t="str">
        <f t="shared" si="5"/>
        <v/>
      </c>
      <c r="R28" s="41" t="str">
        <f t="shared" si="6"/>
        <v/>
      </c>
      <c r="S28" s="131"/>
      <c r="T28" s="60" t="str">
        <f>IF(A28=0,"",VLOOKUP(A28,[3]CO!$A$3:$F$5302,5,0))</f>
        <v/>
      </c>
      <c r="U28" s="61">
        <f t="shared" si="12"/>
        <v>0</v>
      </c>
      <c r="V28" s="30"/>
      <c r="W28" s="31"/>
      <c r="X28" s="31"/>
      <c r="Y28" s="71" t="str">
        <f t="shared" si="15"/>
        <v/>
      </c>
      <c r="Z28" s="62" t="str">
        <f t="shared" si="15"/>
        <v/>
      </c>
      <c r="AA28" s="62" t="str">
        <f t="shared" si="15"/>
        <v/>
      </c>
      <c r="AB28" s="62" t="str">
        <f t="shared" si="15"/>
        <v/>
      </c>
      <c r="AC28" s="62" t="str">
        <f t="shared" si="15"/>
        <v/>
      </c>
      <c r="AD28" s="62" t="str">
        <f t="shared" si="15"/>
        <v/>
      </c>
      <c r="AE28" s="62" t="str">
        <f t="shared" si="15"/>
        <v/>
      </c>
      <c r="AF28" s="62" t="str">
        <f t="shared" si="15"/>
        <v/>
      </c>
      <c r="AG28" s="62" t="str">
        <f t="shared" si="15"/>
        <v/>
      </c>
      <c r="AH28" s="62" t="str">
        <f t="shared" si="15"/>
        <v/>
      </c>
      <c r="AI28" s="62" t="str">
        <f t="shared" si="15"/>
        <v/>
      </c>
      <c r="AJ28" s="62" t="str">
        <f t="shared" si="15"/>
        <v/>
      </c>
      <c r="AK28" s="62" t="str">
        <f t="shared" si="15"/>
        <v/>
      </c>
      <c r="AL28" s="62" t="str">
        <f t="shared" si="15"/>
        <v/>
      </c>
      <c r="AM28" s="62" t="str">
        <f t="shared" si="15"/>
        <v/>
      </c>
      <c r="AN28" s="62" t="str">
        <f t="shared" si="15"/>
        <v/>
      </c>
      <c r="AO28" s="62" t="str">
        <f t="shared" si="16"/>
        <v/>
      </c>
      <c r="AP28" s="62" t="str">
        <f t="shared" si="16"/>
        <v/>
      </c>
      <c r="AQ28" s="62" t="str">
        <f t="shared" si="16"/>
        <v/>
      </c>
      <c r="AR28" s="62" t="str">
        <f t="shared" si="16"/>
        <v/>
      </c>
      <c r="AS28" s="62" t="str">
        <f t="shared" si="16"/>
        <v/>
      </c>
      <c r="AT28" s="62" t="str">
        <f t="shared" si="16"/>
        <v/>
      </c>
      <c r="AU28" s="62" t="str">
        <f t="shared" si="16"/>
        <v/>
      </c>
      <c r="AV28" s="62" t="str">
        <f t="shared" si="16"/>
        <v/>
      </c>
      <c r="AW28" s="62" t="str">
        <f t="shared" si="16"/>
        <v/>
      </c>
      <c r="AX28" s="62" t="str">
        <f t="shared" si="16"/>
        <v/>
      </c>
      <c r="AY28" s="62" t="str">
        <f t="shared" si="16"/>
        <v/>
      </c>
      <c r="AZ28" s="62" t="str">
        <f t="shared" si="16"/>
        <v/>
      </c>
      <c r="BA28" s="62" t="str">
        <f t="shared" si="16"/>
        <v/>
      </c>
      <c r="BB28" s="62" t="str">
        <f t="shared" si="16"/>
        <v/>
      </c>
      <c r="BC28" s="62" t="str">
        <f t="shared" si="16"/>
        <v/>
      </c>
      <c r="BD28" s="62" t="str">
        <f t="shared" si="16"/>
        <v/>
      </c>
      <c r="BE28" s="62" t="str">
        <f t="shared" si="16"/>
        <v/>
      </c>
      <c r="BF28" s="62" t="str">
        <f t="shared" si="16"/>
        <v/>
      </c>
      <c r="BG28" s="62" t="str">
        <f t="shared" si="16"/>
        <v/>
      </c>
      <c r="BH28" s="62" t="str">
        <f t="shared" si="16"/>
        <v/>
      </c>
      <c r="BI28" s="62" t="str">
        <f t="shared" ref="BI28:CI29" si="27">IF($B28=BI$12,$U28,"")</f>
        <v/>
      </c>
      <c r="BJ28" s="62" t="str">
        <f t="shared" si="27"/>
        <v/>
      </c>
      <c r="BK28" s="62" t="str">
        <f t="shared" si="27"/>
        <v/>
      </c>
      <c r="BL28" s="62" t="str">
        <f t="shared" si="27"/>
        <v/>
      </c>
      <c r="BM28" s="62" t="str">
        <f t="shared" si="27"/>
        <v/>
      </c>
      <c r="BN28" s="62" t="str">
        <f t="shared" si="27"/>
        <v/>
      </c>
      <c r="BO28" s="62" t="str">
        <f t="shared" si="27"/>
        <v/>
      </c>
      <c r="BP28" s="62" t="str">
        <f t="shared" si="27"/>
        <v/>
      </c>
      <c r="BQ28" s="62" t="str">
        <f t="shared" si="27"/>
        <v/>
      </c>
      <c r="BR28" s="62" t="str">
        <f t="shared" si="27"/>
        <v/>
      </c>
      <c r="BS28" s="62" t="str">
        <f t="shared" si="27"/>
        <v/>
      </c>
      <c r="BT28" s="62" t="str">
        <f t="shared" si="27"/>
        <v/>
      </c>
      <c r="BU28" s="62" t="str">
        <f t="shared" si="27"/>
        <v/>
      </c>
      <c r="BV28" s="62" t="str">
        <f t="shared" si="27"/>
        <v/>
      </c>
      <c r="BW28" s="62" t="str">
        <f t="shared" si="27"/>
        <v/>
      </c>
      <c r="BX28" s="62" t="str">
        <f t="shared" si="27"/>
        <v/>
      </c>
      <c r="BY28" s="62" t="str">
        <f t="shared" si="27"/>
        <v/>
      </c>
      <c r="BZ28" s="62" t="str">
        <f t="shared" si="27"/>
        <v/>
      </c>
      <c r="CA28" s="62" t="str">
        <f t="shared" si="27"/>
        <v/>
      </c>
      <c r="CB28" s="62" t="str">
        <f t="shared" si="27"/>
        <v/>
      </c>
      <c r="CC28" s="62" t="str">
        <f t="shared" si="27"/>
        <v/>
      </c>
      <c r="CD28" s="62" t="str">
        <f t="shared" si="27"/>
        <v/>
      </c>
      <c r="CE28" s="62" t="str">
        <f t="shared" si="27"/>
        <v/>
      </c>
      <c r="CF28" s="62" t="str">
        <f t="shared" si="27"/>
        <v/>
      </c>
      <c r="CG28" s="62" t="str">
        <f t="shared" si="27"/>
        <v/>
      </c>
      <c r="CH28" s="62" t="str">
        <f t="shared" si="27"/>
        <v/>
      </c>
      <c r="CI28" s="62" t="str">
        <f t="shared" si="27"/>
        <v/>
      </c>
      <c r="CJ28" s="62" t="str">
        <f t="shared" si="13"/>
        <v/>
      </c>
      <c r="CK28" s="62" t="str">
        <f t="shared" si="13"/>
        <v/>
      </c>
      <c r="CL28" s="62" t="str">
        <f t="shared" si="13"/>
        <v/>
      </c>
      <c r="CM28" s="62" t="str">
        <f t="shared" si="13"/>
        <v/>
      </c>
      <c r="CN28" s="62" t="str">
        <f t="shared" si="13"/>
        <v/>
      </c>
      <c r="CO28" s="62" t="str">
        <f t="shared" si="13"/>
        <v/>
      </c>
      <c r="CP28" s="62" t="str">
        <f t="shared" si="13"/>
        <v/>
      </c>
      <c r="CQ28" s="62" t="str">
        <f t="shared" si="13"/>
        <v/>
      </c>
      <c r="CR28" s="62" t="str">
        <f t="shared" si="13"/>
        <v/>
      </c>
      <c r="CS28" s="62" t="str">
        <f t="shared" si="13"/>
        <v/>
      </c>
      <c r="CT28" s="62" t="str">
        <f t="shared" si="13"/>
        <v/>
      </c>
      <c r="CU28" s="62" t="str">
        <f t="shared" si="13"/>
        <v/>
      </c>
      <c r="CV28" s="62" t="str">
        <f t="shared" si="13"/>
        <v/>
      </c>
      <c r="CW28" s="62" t="str">
        <f t="shared" si="13"/>
        <v/>
      </c>
      <c r="CX28" s="62" t="str">
        <f t="shared" si="13"/>
        <v/>
      </c>
      <c r="CY28" s="62" t="str">
        <f t="shared" si="13"/>
        <v/>
      </c>
      <c r="CZ28" s="62" t="str">
        <f t="shared" si="23"/>
        <v/>
      </c>
      <c r="DA28" s="62" t="str">
        <f t="shared" si="23"/>
        <v/>
      </c>
      <c r="DB28" s="62" t="str">
        <f t="shared" si="23"/>
        <v/>
      </c>
      <c r="DC28" s="62" t="str">
        <f t="shared" si="23"/>
        <v/>
      </c>
      <c r="DD28" s="62" t="str">
        <f t="shared" si="23"/>
        <v/>
      </c>
      <c r="DE28" s="62" t="str">
        <f t="shared" si="23"/>
        <v/>
      </c>
      <c r="DF28" s="62" t="str">
        <f t="shared" si="23"/>
        <v/>
      </c>
      <c r="DG28" s="62" t="str">
        <f t="shared" si="23"/>
        <v/>
      </c>
      <c r="DH28" s="62" t="str">
        <f t="shared" si="23"/>
        <v/>
      </c>
      <c r="DI28" s="62" t="str">
        <f t="shared" si="23"/>
        <v/>
      </c>
      <c r="DJ28" s="62" t="str">
        <f t="shared" si="23"/>
        <v/>
      </c>
      <c r="DK28" s="62" t="str">
        <f t="shared" si="23"/>
        <v/>
      </c>
      <c r="DL28" s="62" t="str">
        <f t="shared" si="23"/>
        <v/>
      </c>
      <c r="DM28" s="62" t="str">
        <f t="shared" si="23"/>
        <v/>
      </c>
      <c r="DN28" s="62" t="str">
        <f t="shared" si="23"/>
        <v/>
      </c>
      <c r="DO28" s="62" t="str">
        <f t="shared" si="23"/>
        <v/>
      </c>
      <c r="DP28" s="62" t="str">
        <f t="shared" si="23"/>
        <v/>
      </c>
      <c r="DQ28" s="62" t="str">
        <f t="shared" si="23"/>
        <v/>
      </c>
      <c r="DR28" s="62" t="str">
        <f t="shared" si="23"/>
        <v/>
      </c>
      <c r="DS28" s="62" t="str">
        <f t="shared" si="23"/>
        <v/>
      </c>
      <c r="DT28" s="117" t="str">
        <f t="shared" si="23"/>
        <v/>
      </c>
      <c r="DU28" s="61"/>
      <c r="DV28" s="31"/>
      <c r="DW28" s="68" t="str">
        <f t="shared" si="18"/>
        <v/>
      </c>
      <c r="DX28" s="57" t="str">
        <f t="shared" si="18"/>
        <v/>
      </c>
      <c r="DY28" s="57" t="str">
        <f t="shared" si="18"/>
        <v/>
      </c>
      <c r="DZ28" s="57" t="str">
        <f t="shared" si="18"/>
        <v/>
      </c>
      <c r="EA28" s="57" t="str">
        <f t="shared" si="18"/>
        <v/>
      </c>
      <c r="EB28" s="57" t="str">
        <f t="shared" si="18"/>
        <v/>
      </c>
      <c r="EC28" s="57" t="str">
        <f t="shared" si="18"/>
        <v/>
      </c>
      <c r="ED28" s="57" t="str">
        <f t="shared" si="18"/>
        <v/>
      </c>
      <c r="EE28" s="57" t="str">
        <f t="shared" si="18"/>
        <v/>
      </c>
      <c r="EF28" s="57" t="str">
        <f t="shared" si="18"/>
        <v/>
      </c>
      <c r="EG28" s="57" t="str">
        <f t="shared" si="18"/>
        <v/>
      </c>
      <c r="EH28" s="57" t="str">
        <f t="shared" si="18"/>
        <v/>
      </c>
      <c r="EI28" s="57" t="str">
        <f t="shared" si="18"/>
        <v/>
      </c>
      <c r="EJ28" s="57" t="str">
        <f t="shared" si="18"/>
        <v/>
      </c>
      <c r="EK28" s="57" t="str">
        <f t="shared" si="18"/>
        <v/>
      </c>
      <c r="EL28" s="57" t="str">
        <f t="shared" si="18"/>
        <v/>
      </c>
      <c r="EM28" s="57" t="str">
        <f t="shared" si="19"/>
        <v/>
      </c>
      <c r="EN28" s="57" t="str">
        <f t="shared" si="19"/>
        <v/>
      </c>
      <c r="EO28" s="57" t="str">
        <f t="shared" si="19"/>
        <v/>
      </c>
      <c r="EP28" s="57" t="str">
        <f t="shared" si="19"/>
        <v/>
      </c>
      <c r="EQ28" s="57" t="str">
        <f t="shared" si="19"/>
        <v/>
      </c>
      <c r="ER28" s="57" t="str">
        <f t="shared" si="19"/>
        <v/>
      </c>
      <c r="ES28" s="57" t="str">
        <f t="shared" si="19"/>
        <v/>
      </c>
      <c r="ET28" s="57" t="str">
        <f t="shared" si="19"/>
        <v/>
      </c>
      <c r="EU28" s="57" t="str">
        <f t="shared" si="19"/>
        <v/>
      </c>
      <c r="EV28" s="57" t="str">
        <f t="shared" si="19"/>
        <v/>
      </c>
      <c r="EW28" s="57" t="str">
        <f t="shared" si="19"/>
        <v/>
      </c>
      <c r="EX28" s="57" t="str">
        <f t="shared" si="19"/>
        <v/>
      </c>
      <c r="EY28" s="57" t="str">
        <f t="shared" si="19"/>
        <v/>
      </c>
      <c r="EZ28" s="57" t="str">
        <f t="shared" si="19"/>
        <v/>
      </c>
      <c r="FA28" s="57" t="str">
        <f t="shared" si="19"/>
        <v/>
      </c>
      <c r="FB28" s="57" t="str">
        <f t="shared" si="19"/>
        <v/>
      </c>
      <c r="FC28" s="57" t="str">
        <f t="shared" si="25"/>
        <v/>
      </c>
      <c r="FD28" s="57" t="str">
        <f t="shared" si="25"/>
        <v/>
      </c>
      <c r="FE28" s="57" t="str">
        <f t="shared" si="25"/>
        <v/>
      </c>
      <c r="FF28" s="57" t="str">
        <f t="shared" si="25"/>
        <v/>
      </c>
      <c r="FG28" s="57" t="str">
        <f t="shared" si="25"/>
        <v/>
      </c>
      <c r="FH28" s="57" t="str">
        <f t="shared" si="25"/>
        <v/>
      </c>
      <c r="FI28" s="57" t="str">
        <f t="shared" si="25"/>
        <v/>
      </c>
      <c r="FJ28" s="57" t="str">
        <f t="shared" si="25"/>
        <v/>
      </c>
      <c r="FK28" s="57" t="str">
        <f t="shared" si="25"/>
        <v/>
      </c>
      <c r="FL28" s="57" t="str">
        <f t="shared" si="25"/>
        <v/>
      </c>
      <c r="FM28" s="57" t="str">
        <f t="shared" si="24"/>
        <v/>
      </c>
      <c r="FN28" s="57" t="str">
        <f t="shared" si="24"/>
        <v/>
      </c>
      <c r="FO28" s="57" t="str">
        <f t="shared" si="24"/>
        <v/>
      </c>
      <c r="FP28" s="57" t="str">
        <f t="shared" si="24"/>
        <v/>
      </c>
      <c r="FQ28" s="57" t="str">
        <f t="shared" si="24"/>
        <v/>
      </c>
      <c r="FR28" s="57" t="str">
        <f t="shared" si="24"/>
        <v/>
      </c>
      <c r="FS28" s="57" t="str">
        <f t="shared" si="24"/>
        <v/>
      </c>
      <c r="FT28" s="57" t="str">
        <f t="shared" si="24"/>
        <v/>
      </c>
      <c r="FU28" s="57" t="str">
        <f t="shared" si="24"/>
        <v/>
      </c>
      <c r="FV28" s="57" t="str">
        <f t="shared" si="24"/>
        <v/>
      </c>
      <c r="FW28" s="57" t="str">
        <f t="shared" si="24"/>
        <v/>
      </c>
      <c r="FX28" s="57" t="str">
        <f t="shared" si="24"/>
        <v/>
      </c>
      <c r="FY28" s="57" t="str">
        <f t="shared" si="24"/>
        <v/>
      </c>
      <c r="FZ28" s="57" t="str">
        <f t="shared" si="24"/>
        <v/>
      </c>
      <c r="GA28" s="57" t="str">
        <f t="shared" si="24"/>
        <v/>
      </c>
      <c r="GB28" s="57" t="str">
        <f t="shared" si="24"/>
        <v/>
      </c>
      <c r="GC28" s="57" t="str">
        <f t="shared" si="24"/>
        <v/>
      </c>
      <c r="GD28" s="57" t="str">
        <f t="shared" si="24"/>
        <v/>
      </c>
      <c r="GE28" s="57" t="str">
        <f t="shared" si="24"/>
        <v/>
      </c>
      <c r="GF28" s="57" t="str">
        <f t="shared" si="24"/>
        <v/>
      </c>
      <c r="GG28" s="57" t="str">
        <f t="shared" si="24"/>
        <v/>
      </c>
      <c r="GH28" s="57" t="str">
        <f t="shared" si="24"/>
        <v/>
      </c>
      <c r="GI28" s="57" t="str">
        <f t="shared" si="24"/>
        <v/>
      </c>
      <c r="GJ28" s="57" t="str">
        <f t="shared" si="24"/>
        <v/>
      </c>
      <c r="GK28" s="57" t="str">
        <f t="shared" si="24"/>
        <v/>
      </c>
      <c r="GL28" s="57" t="str">
        <f t="shared" si="22"/>
        <v/>
      </c>
      <c r="GM28" s="57" t="str">
        <f t="shared" si="22"/>
        <v/>
      </c>
      <c r="GN28" s="57" t="str">
        <f t="shared" si="22"/>
        <v/>
      </c>
      <c r="GO28" s="57" t="str">
        <f t="shared" si="22"/>
        <v/>
      </c>
      <c r="GP28" s="57" t="str">
        <f t="shared" si="22"/>
        <v/>
      </c>
      <c r="GQ28" s="57" t="str">
        <f t="shared" si="22"/>
        <v/>
      </c>
      <c r="GR28" s="57" t="str">
        <f t="shared" si="22"/>
        <v/>
      </c>
      <c r="GS28" s="57" t="str">
        <f t="shared" si="22"/>
        <v/>
      </c>
      <c r="GT28" s="57" t="str">
        <f t="shared" si="22"/>
        <v/>
      </c>
      <c r="GU28" s="57" t="str">
        <f t="shared" si="22"/>
        <v/>
      </c>
      <c r="GV28" s="57" t="str">
        <f t="shared" si="22"/>
        <v/>
      </c>
      <c r="GW28" s="57" t="str">
        <f t="shared" si="22"/>
        <v/>
      </c>
      <c r="GX28" s="57" t="str">
        <f t="shared" si="22"/>
        <v/>
      </c>
      <c r="GY28" s="57" t="str">
        <f t="shared" si="22"/>
        <v/>
      </c>
      <c r="GZ28" s="57" t="str">
        <f t="shared" si="22"/>
        <v/>
      </c>
      <c r="HA28" s="57" t="str">
        <f t="shared" si="22"/>
        <v/>
      </c>
      <c r="HB28" s="57" t="str">
        <f t="shared" si="22"/>
        <v/>
      </c>
      <c r="HC28" s="57" t="str">
        <f t="shared" si="22"/>
        <v/>
      </c>
      <c r="HD28" s="57" t="str">
        <f t="shared" si="22"/>
        <v/>
      </c>
      <c r="HE28" s="57" t="str">
        <f t="shared" si="22"/>
        <v/>
      </c>
      <c r="HF28" s="57" t="str">
        <f t="shared" si="22"/>
        <v/>
      </c>
      <c r="HG28" s="57" t="str">
        <f t="shared" si="22"/>
        <v/>
      </c>
      <c r="HH28" s="57" t="str">
        <f t="shared" si="22"/>
        <v/>
      </c>
      <c r="HI28" s="57" t="str">
        <f t="shared" si="22"/>
        <v/>
      </c>
      <c r="HJ28" s="57" t="str">
        <f t="shared" si="22"/>
        <v/>
      </c>
      <c r="HK28" s="57" t="str">
        <f t="shared" si="22"/>
        <v/>
      </c>
      <c r="HL28" s="57" t="str">
        <f t="shared" si="22"/>
        <v/>
      </c>
      <c r="HM28" s="57" t="str">
        <f t="shared" si="22"/>
        <v/>
      </c>
      <c r="HN28" s="57" t="str">
        <f t="shared" si="22"/>
        <v/>
      </c>
      <c r="HO28" s="57" t="str">
        <f t="shared" si="22"/>
        <v/>
      </c>
      <c r="HP28" s="57" t="str">
        <f t="shared" si="22"/>
        <v/>
      </c>
      <c r="HQ28" s="57" t="str">
        <f t="shared" si="22"/>
        <v/>
      </c>
      <c r="HR28" s="123" t="str">
        <f t="shared" si="22"/>
        <v/>
      </c>
    </row>
    <row r="29" spans="1:226" ht="11.15" customHeight="1" thickBot="1" x14ac:dyDescent="0.3">
      <c r="A29" s="73"/>
      <c r="B29" s="74"/>
      <c r="C29" s="75" t="str">
        <f>IF(A29=0,"",VLOOKUP(A29,[3]CO!$A$3:$F$5311,2,0))</f>
        <v/>
      </c>
      <c r="D29" s="76"/>
      <c r="E29" s="76"/>
      <c r="F29" s="76"/>
      <c r="G29" s="77" t="str">
        <f>IF(A29=0,"",VLOOKUP(A29,[3]CO!$A$3:$F$5311,3,0))</f>
        <v/>
      </c>
      <c r="H29" s="76"/>
      <c r="I29" s="78"/>
      <c r="J29" s="78"/>
      <c r="K29" s="78"/>
      <c r="L29" s="78"/>
      <c r="M29" s="79" t="str">
        <f t="shared" si="4"/>
        <v/>
      </c>
      <c r="N29" s="79" t="str">
        <f>IF(B29=0,"",IF(H29="M",HLOOKUP(B29,$Y$12:$DT$13,2),IF(A29=0,"",VLOOKUP(A29,[3]CO!$A$3:$F$5311,4,0))))</f>
        <v/>
      </c>
      <c r="O29" s="79" t="str">
        <f t="shared" si="11"/>
        <v/>
      </c>
      <c r="P29" s="80"/>
      <c r="Q29" s="81" t="str">
        <f t="shared" si="5"/>
        <v/>
      </c>
      <c r="R29" s="82" t="str">
        <f t="shared" si="6"/>
        <v/>
      </c>
      <c r="S29" s="131"/>
      <c r="T29" s="60" t="str">
        <f>IF(A29=0,"",VLOOKUP(A29,[3]CO!$A$3:$F$5302,5,0))</f>
        <v/>
      </c>
      <c r="U29" s="61">
        <f t="shared" si="12"/>
        <v>0</v>
      </c>
      <c r="V29" s="30"/>
      <c r="W29" s="31"/>
      <c r="X29" s="31"/>
      <c r="Y29" s="83" t="str">
        <f t="shared" si="15"/>
        <v/>
      </c>
      <c r="Z29" s="84" t="str">
        <f t="shared" si="15"/>
        <v/>
      </c>
      <c r="AA29" s="84" t="str">
        <f t="shared" si="15"/>
        <v/>
      </c>
      <c r="AB29" s="84" t="str">
        <f t="shared" si="15"/>
        <v/>
      </c>
      <c r="AC29" s="84" t="str">
        <f t="shared" si="15"/>
        <v/>
      </c>
      <c r="AD29" s="84" t="str">
        <f t="shared" si="15"/>
        <v/>
      </c>
      <c r="AE29" s="84" t="str">
        <f t="shared" si="15"/>
        <v/>
      </c>
      <c r="AF29" s="84" t="str">
        <f t="shared" si="15"/>
        <v/>
      </c>
      <c r="AG29" s="84" t="str">
        <f t="shared" si="15"/>
        <v/>
      </c>
      <c r="AH29" s="84" t="str">
        <f t="shared" si="15"/>
        <v/>
      </c>
      <c r="AI29" s="84" t="str">
        <f t="shared" si="15"/>
        <v/>
      </c>
      <c r="AJ29" s="84" t="str">
        <f t="shared" si="15"/>
        <v/>
      </c>
      <c r="AK29" s="84" t="str">
        <f t="shared" si="15"/>
        <v/>
      </c>
      <c r="AL29" s="84" t="str">
        <f t="shared" si="15"/>
        <v/>
      </c>
      <c r="AM29" s="84" t="str">
        <f t="shared" si="15"/>
        <v/>
      </c>
      <c r="AN29" s="84" t="str">
        <f t="shared" si="15"/>
        <v/>
      </c>
      <c r="AO29" s="84" t="str">
        <f t="shared" si="16"/>
        <v/>
      </c>
      <c r="AP29" s="84" t="str">
        <f t="shared" si="16"/>
        <v/>
      </c>
      <c r="AQ29" s="84" t="str">
        <f t="shared" si="16"/>
        <v/>
      </c>
      <c r="AR29" s="84" t="str">
        <f t="shared" si="16"/>
        <v/>
      </c>
      <c r="AS29" s="84" t="str">
        <f t="shared" si="16"/>
        <v/>
      </c>
      <c r="AT29" s="84" t="str">
        <f t="shared" si="16"/>
        <v/>
      </c>
      <c r="AU29" s="84" t="str">
        <f t="shared" si="16"/>
        <v/>
      </c>
      <c r="AV29" s="84" t="str">
        <f t="shared" si="16"/>
        <v/>
      </c>
      <c r="AW29" s="84" t="str">
        <f t="shared" si="16"/>
        <v/>
      </c>
      <c r="AX29" s="84" t="str">
        <f t="shared" si="16"/>
        <v/>
      </c>
      <c r="AY29" s="84" t="str">
        <f t="shared" si="16"/>
        <v/>
      </c>
      <c r="AZ29" s="84" t="str">
        <f t="shared" si="16"/>
        <v/>
      </c>
      <c r="BA29" s="84" t="str">
        <f t="shared" si="16"/>
        <v/>
      </c>
      <c r="BB29" s="84" t="str">
        <f t="shared" si="16"/>
        <v/>
      </c>
      <c r="BC29" s="84" t="str">
        <f t="shared" si="16"/>
        <v/>
      </c>
      <c r="BD29" s="84" t="str">
        <f t="shared" si="16"/>
        <v/>
      </c>
      <c r="BE29" s="84" t="str">
        <f t="shared" si="16"/>
        <v/>
      </c>
      <c r="BF29" s="84" t="str">
        <f t="shared" si="16"/>
        <v/>
      </c>
      <c r="BG29" s="84" t="str">
        <f t="shared" si="16"/>
        <v/>
      </c>
      <c r="BH29" s="84" t="str">
        <f t="shared" si="16"/>
        <v/>
      </c>
      <c r="BI29" s="84" t="str">
        <f t="shared" si="27"/>
        <v/>
      </c>
      <c r="BJ29" s="84" t="str">
        <f t="shared" si="27"/>
        <v/>
      </c>
      <c r="BK29" s="84" t="str">
        <f t="shared" si="27"/>
        <v/>
      </c>
      <c r="BL29" s="84" t="str">
        <f t="shared" si="27"/>
        <v/>
      </c>
      <c r="BM29" s="84" t="str">
        <f t="shared" si="27"/>
        <v/>
      </c>
      <c r="BN29" s="84" t="str">
        <f t="shared" si="27"/>
        <v/>
      </c>
      <c r="BO29" s="84" t="str">
        <f t="shared" si="27"/>
        <v/>
      </c>
      <c r="BP29" s="84" t="str">
        <f t="shared" si="27"/>
        <v/>
      </c>
      <c r="BQ29" s="84" t="str">
        <f t="shared" si="27"/>
        <v/>
      </c>
      <c r="BR29" s="84" t="str">
        <f t="shared" si="27"/>
        <v/>
      </c>
      <c r="BS29" s="84" t="str">
        <f t="shared" si="27"/>
        <v/>
      </c>
      <c r="BT29" s="84" t="str">
        <f t="shared" si="27"/>
        <v/>
      </c>
      <c r="BU29" s="84" t="str">
        <f t="shared" si="27"/>
        <v/>
      </c>
      <c r="BV29" s="84" t="str">
        <f t="shared" si="27"/>
        <v/>
      </c>
      <c r="BW29" s="84" t="str">
        <f t="shared" si="27"/>
        <v/>
      </c>
      <c r="BX29" s="84" t="str">
        <f t="shared" si="27"/>
        <v/>
      </c>
      <c r="BY29" s="84" t="str">
        <f t="shared" si="27"/>
        <v/>
      </c>
      <c r="BZ29" s="84" t="str">
        <f t="shared" si="27"/>
        <v/>
      </c>
      <c r="CA29" s="84" t="str">
        <f t="shared" si="27"/>
        <v/>
      </c>
      <c r="CB29" s="84" t="str">
        <f t="shared" si="27"/>
        <v/>
      </c>
      <c r="CC29" s="84" t="str">
        <f t="shared" si="27"/>
        <v/>
      </c>
      <c r="CD29" s="84" t="str">
        <f t="shared" si="27"/>
        <v/>
      </c>
      <c r="CE29" s="84" t="str">
        <f t="shared" si="27"/>
        <v/>
      </c>
      <c r="CF29" s="84" t="str">
        <f t="shared" si="27"/>
        <v/>
      </c>
      <c r="CG29" s="84" t="str">
        <f t="shared" si="27"/>
        <v/>
      </c>
      <c r="CH29" s="84" t="str">
        <f t="shared" si="27"/>
        <v/>
      </c>
      <c r="CI29" s="84" t="str">
        <f t="shared" si="27"/>
        <v/>
      </c>
      <c r="CJ29" s="84" t="str">
        <f t="shared" si="13"/>
        <v/>
      </c>
      <c r="CK29" s="84" t="str">
        <f t="shared" si="13"/>
        <v/>
      </c>
      <c r="CL29" s="84" t="str">
        <f t="shared" si="13"/>
        <v/>
      </c>
      <c r="CM29" s="84" t="str">
        <f t="shared" si="13"/>
        <v/>
      </c>
      <c r="CN29" s="84" t="str">
        <f t="shared" si="13"/>
        <v/>
      </c>
      <c r="CO29" s="84" t="str">
        <f t="shared" si="13"/>
        <v/>
      </c>
      <c r="CP29" s="84" t="str">
        <f t="shared" si="13"/>
        <v/>
      </c>
      <c r="CQ29" s="84" t="str">
        <f t="shared" si="13"/>
        <v/>
      </c>
      <c r="CR29" s="84" t="str">
        <f t="shared" si="13"/>
        <v/>
      </c>
      <c r="CS29" s="84" t="str">
        <f t="shared" si="13"/>
        <v/>
      </c>
      <c r="CT29" s="84" t="str">
        <f t="shared" si="13"/>
        <v/>
      </c>
      <c r="CU29" s="84" t="str">
        <f t="shared" si="13"/>
        <v/>
      </c>
      <c r="CV29" s="84" t="str">
        <f t="shared" si="13"/>
        <v/>
      </c>
      <c r="CW29" s="84" t="str">
        <f t="shared" si="13"/>
        <v/>
      </c>
      <c r="CX29" s="84" t="str">
        <f t="shared" si="13"/>
        <v/>
      </c>
      <c r="CY29" s="84" t="str">
        <f t="shared" si="13"/>
        <v/>
      </c>
      <c r="CZ29" s="84" t="str">
        <f t="shared" si="23"/>
        <v/>
      </c>
      <c r="DA29" s="84" t="str">
        <f t="shared" si="23"/>
        <v/>
      </c>
      <c r="DB29" s="84" t="str">
        <f t="shared" si="23"/>
        <v/>
      </c>
      <c r="DC29" s="84" t="str">
        <f t="shared" si="23"/>
        <v/>
      </c>
      <c r="DD29" s="84" t="str">
        <f t="shared" si="23"/>
        <v/>
      </c>
      <c r="DE29" s="84" t="str">
        <f t="shared" si="23"/>
        <v/>
      </c>
      <c r="DF29" s="84" t="str">
        <f t="shared" si="23"/>
        <v/>
      </c>
      <c r="DG29" s="84" t="str">
        <f t="shared" si="23"/>
        <v/>
      </c>
      <c r="DH29" s="84" t="str">
        <f t="shared" si="23"/>
        <v/>
      </c>
      <c r="DI29" s="84" t="str">
        <f t="shared" si="23"/>
        <v/>
      </c>
      <c r="DJ29" s="84" t="str">
        <f t="shared" si="23"/>
        <v/>
      </c>
      <c r="DK29" s="84" t="str">
        <f t="shared" si="23"/>
        <v/>
      </c>
      <c r="DL29" s="84" t="str">
        <f t="shared" si="23"/>
        <v/>
      </c>
      <c r="DM29" s="84" t="str">
        <f t="shared" si="23"/>
        <v/>
      </c>
      <c r="DN29" s="84" t="str">
        <f t="shared" si="23"/>
        <v/>
      </c>
      <c r="DO29" s="84" t="str">
        <f t="shared" si="23"/>
        <v/>
      </c>
      <c r="DP29" s="84" t="str">
        <f t="shared" si="23"/>
        <v/>
      </c>
      <c r="DQ29" s="84" t="str">
        <f t="shared" si="23"/>
        <v/>
      </c>
      <c r="DR29" s="84" t="str">
        <f t="shared" si="23"/>
        <v/>
      </c>
      <c r="DS29" s="84" t="str">
        <f t="shared" si="23"/>
        <v/>
      </c>
      <c r="DT29" s="118" t="str">
        <f t="shared" si="23"/>
        <v/>
      </c>
      <c r="DU29" s="61"/>
      <c r="DV29" s="31"/>
      <c r="DW29" s="85" t="str">
        <f t="shared" si="18"/>
        <v/>
      </c>
      <c r="DX29" s="86" t="str">
        <f t="shared" si="18"/>
        <v/>
      </c>
      <c r="DY29" s="86" t="str">
        <f t="shared" si="18"/>
        <v/>
      </c>
      <c r="DZ29" s="86" t="str">
        <f t="shared" si="18"/>
        <v/>
      </c>
      <c r="EA29" s="86" t="str">
        <f t="shared" si="18"/>
        <v/>
      </c>
      <c r="EB29" s="86" t="str">
        <f t="shared" si="18"/>
        <v/>
      </c>
      <c r="EC29" s="86" t="str">
        <f t="shared" si="18"/>
        <v/>
      </c>
      <c r="ED29" s="86" t="str">
        <f t="shared" si="18"/>
        <v/>
      </c>
      <c r="EE29" s="86" t="str">
        <f t="shared" si="18"/>
        <v/>
      </c>
      <c r="EF29" s="86" t="str">
        <f t="shared" si="18"/>
        <v/>
      </c>
      <c r="EG29" s="86" t="str">
        <f t="shared" si="18"/>
        <v/>
      </c>
      <c r="EH29" s="86" t="str">
        <f t="shared" si="18"/>
        <v/>
      </c>
      <c r="EI29" s="86" t="str">
        <f>IF($B29=EI$12,$O29,"")</f>
        <v/>
      </c>
      <c r="EJ29" s="86" t="str">
        <f>IF($B29=EJ$12,$O29,"")</f>
        <v/>
      </c>
      <c r="EK29" s="86" t="str">
        <f>IF($B29=EK$12,$O29,"")</f>
        <v/>
      </c>
      <c r="EL29" s="86" t="str">
        <f>IF($B29=EL$12,$O29,"")</f>
        <v/>
      </c>
      <c r="EM29" s="86" t="str">
        <f>IF($B29=EM$12,$O29,"")</f>
        <v/>
      </c>
      <c r="EN29" s="86" t="str">
        <f t="shared" si="19"/>
        <v/>
      </c>
      <c r="EO29" s="86" t="str">
        <f t="shared" si="19"/>
        <v/>
      </c>
      <c r="EP29" s="86" t="str">
        <f t="shared" si="19"/>
        <v/>
      </c>
      <c r="EQ29" s="86" t="str">
        <f t="shared" si="19"/>
        <v/>
      </c>
      <c r="ER29" s="86" t="str">
        <f t="shared" si="19"/>
        <v/>
      </c>
      <c r="ES29" s="86" t="str">
        <f t="shared" si="19"/>
        <v/>
      </c>
      <c r="ET29" s="86" t="str">
        <f t="shared" si="19"/>
        <v/>
      </c>
      <c r="EU29" s="86" t="str">
        <f t="shared" si="19"/>
        <v/>
      </c>
      <c r="EV29" s="86" t="str">
        <f t="shared" si="19"/>
        <v/>
      </c>
      <c r="EW29" s="86" t="str">
        <f t="shared" si="19"/>
        <v/>
      </c>
      <c r="EX29" s="86" t="str">
        <f t="shared" si="19"/>
        <v/>
      </c>
      <c r="EY29" s="86" t="str">
        <f t="shared" si="19"/>
        <v/>
      </c>
      <c r="EZ29" s="86" t="str">
        <f t="shared" si="19"/>
        <v/>
      </c>
      <c r="FA29" s="86" t="str">
        <f t="shared" si="19"/>
        <v/>
      </c>
      <c r="FB29" s="86" t="str">
        <f t="shared" si="19"/>
        <v/>
      </c>
      <c r="FC29" s="86" t="str">
        <f t="shared" si="25"/>
        <v/>
      </c>
      <c r="FD29" s="86" t="str">
        <f t="shared" si="25"/>
        <v/>
      </c>
      <c r="FE29" s="86" t="str">
        <f t="shared" si="25"/>
        <v/>
      </c>
      <c r="FF29" s="86" t="str">
        <f t="shared" si="25"/>
        <v/>
      </c>
      <c r="FG29" s="86" t="str">
        <f t="shared" si="25"/>
        <v/>
      </c>
      <c r="FH29" s="86" t="str">
        <f t="shared" si="25"/>
        <v/>
      </c>
      <c r="FI29" s="86" t="str">
        <f t="shared" si="25"/>
        <v/>
      </c>
      <c r="FJ29" s="86" t="str">
        <f t="shared" si="25"/>
        <v/>
      </c>
      <c r="FK29" s="86" t="str">
        <f t="shared" si="25"/>
        <v/>
      </c>
      <c r="FL29" s="86" t="str">
        <f t="shared" si="25"/>
        <v/>
      </c>
      <c r="FM29" s="86" t="str">
        <f t="shared" si="25"/>
        <v/>
      </c>
      <c r="FN29" s="86" t="str">
        <f t="shared" si="25"/>
        <v/>
      </c>
      <c r="FO29" s="86" t="str">
        <f t="shared" si="25"/>
        <v/>
      </c>
      <c r="FP29" s="86" t="str">
        <f t="shared" si="25"/>
        <v/>
      </c>
      <c r="FQ29" s="86" t="str">
        <f t="shared" si="25"/>
        <v/>
      </c>
      <c r="FR29" s="86" t="str">
        <f t="shared" si="25"/>
        <v/>
      </c>
      <c r="FS29" s="86" t="str">
        <f t="shared" si="24"/>
        <v/>
      </c>
      <c r="FT29" s="86" t="str">
        <f t="shared" si="24"/>
        <v/>
      </c>
      <c r="FU29" s="86" t="str">
        <f t="shared" si="24"/>
        <v/>
      </c>
      <c r="FV29" s="86" t="str">
        <f t="shared" si="24"/>
        <v/>
      </c>
      <c r="FW29" s="86" t="str">
        <f t="shared" si="24"/>
        <v/>
      </c>
      <c r="FX29" s="86" t="str">
        <f t="shared" si="24"/>
        <v/>
      </c>
      <c r="FY29" s="86" t="str">
        <f t="shared" si="24"/>
        <v/>
      </c>
      <c r="FZ29" s="86" t="str">
        <f t="shared" si="24"/>
        <v/>
      </c>
      <c r="GA29" s="86" t="str">
        <f t="shared" si="24"/>
        <v/>
      </c>
      <c r="GB29" s="86" t="str">
        <f t="shared" si="24"/>
        <v/>
      </c>
      <c r="GC29" s="86" t="str">
        <f t="shared" si="24"/>
        <v/>
      </c>
      <c r="GD29" s="86" t="str">
        <f t="shared" si="24"/>
        <v/>
      </c>
      <c r="GE29" s="86" t="str">
        <f t="shared" si="24"/>
        <v/>
      </c>
      <c r="GF29" s="86" t="str">
        <f t="shared" si="24"/>
        <v/>
      </c>
      <c r="GG29" s="86" t="str">
        <f t="shared" si="24"/>
        <v/>
      </c>
      <c r="GH29" s="86" t="str">
        <f t="shared" si="24"/>
        <v/>
      </c>
      <c r="GI29" s="86" t="str">
        <f t="shared" si="24"/>
        <v/>
      </c>
      <c r="GJ29" s="86" t="str">
        <f t="shared" si="24"/>
        <v/>
      </c>
      <c r="GK29" s="86" t="str">
        <f t="shared" si="24"/>
        <v/>
      </c>
      <c r="GL29" s="86" t="str">
        <f t="shared" si="22"/>
        <v/>
      </c>
      <c r="GM29" s="86" t="str">
        <f t="shared" si="22"/>
        <v/>
      </c>
      <c r="GN29" s="86" t="str">
        <f t="shared" si="22"/>
        <v/>
      </c>
      <c r="GO29" s="86" t="str">
        <f t="shared" si="22"/>
        <v/>
      </c>
      <c r="GP29" s="86" t="str">
        <f t="shared" si="22"/>
        <v/>
      </c>
      <c r="GQ29" s="86" t="str">
        <f t="shared" si="22"/>
        <v/>
      </c>
      <c r="GR29" s="86" t="str">
        <f t="shared" si="22"/>
        <v/>
      </c>
      <c r="GS29" s="86" t="str">
        <f t="shared" si="22"/>
        <v/>
      </c>
      <c r="GT29" s="86" t="str">
        <f t="shared" si="22"/>
        <v/>
      </c>
      <c r="GU29" s="86" t="str">
        <f t="shared" si="22"/>
        <v/>
      </c>
      <c r="GV29" s="86" t="str">
        <f t="shared" si="22"/>
        <v/>
      </c>
      <c r="GW29" s="86" t="str">
        <f t="shared" si="22"/>
        <v/>
      </c>
      <c r="GX29" s="86" t="str">
        <f t="shared" si="22"/>
        <v/>
      </c>
      <c r="GY29" s="86" t="str">
        <f t="shared" si="22"/>
        <v/>
      </c>
      <c r="GZ29" s="86" t="str">
        <f t="shared" si="22"/>
        <v/>
      </c>
      <c r="HA29" s="86" t="str">
        <f t="shared" si="22"/>
        <v/>
      </c>
      <c r="HB29" s="86" t="str">
        <f t="shared" si="22"/>
        <v/>
      </c>
      <c r="HC29" s="86" t="str">
        <f t="shared" si="22"/>
        <v/>
      </c>
      <c r="HD29" s="86" t="str">
        <f t="shared" si="22"/>
        <v/>
      </c>
      <c r="HE29" s="86" t="str">
        <f t="shared" si="22"/>
        <v/>
      </c>
      <c r="HF29" s="86" t="str">
        <f t="shared" si="22"/>
        <v/>
      </c>
      <c r="HG29" s="86" t="str">
        <f t="shared" si="22"/>
        <v/>
      </c>
      <c r="HH29" s="86" t="str">
        <f t="shared" si="22"/>
        <v/>
      </c>
      <c r="HI29" s="86" t="str">
        <f t="shared" si="22"/>
        <v/>
      </c>
      <c r="HJ29" s="86" t="str">
        <f t="shared" ref="HJ29:HR29" si="28">IF($B29=HJ$12,$O29,"")</f>
        <v/>
      </c>
      <c r="HK29" s="86" t="str">
        <f t="shared" si="28"/>
        <v/>
      </c>
      <c r="HL29" s="86" t="str">
        <f t="shared" si="28"/>
        <v/>
      </c>
      <c r="HM29" s="86" t="str">
        <f t="shared" si="28"/>
        <v/>
      </c>
      <c r="HN29" s="86" t="str">
        <f t="shared" si="28"/>
        <v/>
      </c>
      <c r="HO29" s="86" t="str">
        <f t="shared" si="28"/>
        <v/>
      </c>
      <c r="HP29" s="86" t="str">
        <f t="shared" si="28"/>
        <v/>
      </c>
      <c r="HQ29" s="86" t="str">
        <f t="shared" si="28"/>
        <v/>
      </c>
      <c r="HR29" s="124" t="str">
        <f t="shared" si="28"/>
        <v/>
      </c>
    </row>
    <row r="30" spans="1:226" ht="11.15" customHeight="1" thickTop="1" x14ac:dyDescent="0.25"/>
    <row r="31" spans="1:226" ht="13" x14ac:dyDescent="0.3">
      <c r="O31" s="54" t="s">
        <v>17</v>
      </c>
      <c r="P31" s="55"/>
      <c r="Q31" s="115">
        <f>SUM(Q14:Q29)</f>
        <v>0</v>
      </c>
      <c r="R31" s="115">
        <f>SUM(R14:R29)</f>
        <v>0</v>
      </c>
      <c r="S31" s="107"/>
    </row>
    <row r="32" spans="1:226" ht="11.15" customHeight="1" thickBot="1" x14ac:dyDescent="0.3"/>
    <row r="33" spans="1:226" ht="16" thickBot="1" x14ac:dyDescent="0.3">
      <c r="A33" s="108"/>
      <c r="B33" s="109"/>
      <c r="C33" s="109"/>
      <c r="D33" s="109"/>
      <c r="E33" s="109"/>
      <c r="F33" s="109"/>
      <c r="G33" s="109" t="s">
        <v>26</v>
      </c>
      <c r="H33" s="109"/>
      <c r="I33" s="109"/>
      <c r="J33" s="111"/>
      <c r="K33" s="109"/>
      <c r="L33" s="109"/>
      <c r="M33" s="109"/>
      <c r="N33" s="109"/>
      <c r="O33" s="109"/>
      <c r="P33" s="109"/>
      <c r="Q33" s="109"/>
      <c r="R33" s="110"/>
    </row>
    <row r="34" spans="1:226" ht="11.15" customHeight="1" thickBot="1" x14ac:dyDescent="0.3"/>
    <row r="35" spans="1:226" ht="11.15" customHeight="1" thickTop="1" x14ac:dyDescent="0.25">
      <c r="A35" s="87"/>
      <c r="B35" s="88"/>
      <c r="C35" s="89" t="str">
        <f>IF(A35=0,"",VLOOKUP(A35,[3]CO!$A$3:$F$5311,2,0))</f>
        <v/>
      </c>
      <c r="D35" s="90"/>
      <c r="E35" s="90"/>
      <c r="F35" s="90"/>
      <c r="G35" s="91" t="str">
        <f>IF(A35=0,"",VLOOKUP(A35,[3]CO!$A$3:$F$5311,3,0))</f>
        <v/>
      </c>
      <c r="H35" s="101"/>
      <c r="I35" s="92"/>
      <c r="J35" s="92"/>
      <c r="K35" s="92"/>
      <c r="L35" s="92"/>
      <c r="M35" s="93" t="str">
        <f>IF(H35&gt;0,H35*Q$31/N35,IF(L35&gt;0,L35,""))</f>
        <v/>
      </c>
      <c r="N35" s="93" t="str">
        <f>IF(B35=0,"",IF(H35="M",HLOOKUP(B35,$Y$12:$DT$13,2),IF(A35=0,"",VLOOKUP(A35,[3]CO!$A$3:$F$5311,4,0))))</f>
        <v/>
      </c>
      <c r="O35" s="93" t="str">
        <f t="shared" si="11"/>
        <v/>
      </c>
      <c r="P35" s="94"/>
      <c r="Q35" s="95" t="str">
        <f t="shared" ref="Q35:Q42" si="29">IF(P35=0,"",(HLOOKUP(P35,$DW$12:$HR$13,2)))</f>
        <v/>
      </c>
      <c r="R35" s="96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RESIDENTE"),VLOOKUP(B35,P$14:Q$54,2),"")*S35)</f>
        <v/>
      </c>
      <c r="S35" s="105"/>
      <c r="T35" s="60" t="str">
        <f>IF(A35=0,"",VLOOKUP(A35,[3]CO!$A$3:$F$5302,5,0))</f>
        <v/>
      </c>
      <c r="U35" s="61">
        <f t="shared" si="12"/>
        <v>0</v>
      </c>
      <c r="V35" s="30"/>
      <c r="W35" s="31"/>
      <c r="X35" s="31"/>
      <c r="Y35" s="97" t="str">
        <f t="shared" ref="Y35:AN50" si="30">IF($B35=Y$12,$U35,"")</f>
        <v/>
      </c>
      <c r="Z35" s="98" t="str">
        <f t="shared" si="30"/>
        <v/>
      </c>
      <c r="AA35" s="98" t="str">
        <f t="shared" si="30"/>
        <v/>
      </c>
      <c r="AB35" s="98" t="str">
        <f t="shared" si="30"/>
        <v/>
      </c>
      <c r="AC35" s="98" t="str">
        <f t="shared" si="30"/>
        <v/>
      </c>
      <c r="AD35" s="98" t="str">
        <f t="shared" si="30"/>
        <v/>
      </c>
      <c r="AE35" s="98" t="str">
        <f t="shared" si="30"/>
        <v/>
      </c>
      <c r="AF35" s="98" t="str">
        <f t="shared" si="30"/>
        <v/>
      </c>
      <c r="AG35" s="98" t="str">
        <f t="shared" si="30"/>
        <v/>
      </c>
      <c r="AH35" s="98" t="str">
        <f t="shared" si="30"/>
        <v/>
      </c>
      <c r="AI35" s="98" t="str">
        <f t="shared" si="30"/>
        <v/>
      </c>
      <c r="AJ35" s="98" t="str">
        <f t="shared" si="30"/>
        <v/>
      </c>
      <c r="AK35" s="98" t="str">
        <f t="shared" si="30"/>
        <v/>
      </c>
      <c r="AL35" s="98" t="str">
        <f t="shared" si="30"/>
        <v/>
      </c>
      <c r="AM35" s="98" t="str">
        <f t="shared" si="30"/>
        <v/>
      </c>
      <c r="AN35" s="98" t="str">
        <f t="shared" si="30"/>
        <v/>
      </c>
      <c r="AO35" s="98" t="str">
        <f t="shared" ref="AO35:CZ38" si="31">IF($B35=AO$12,$U35,"")</f>
        <v/>
      </c>
      <c r="AP35" s="98" t="str">
        <f t="shared" si="31"/>
        <v/>
      </c>
      <c r="AQ35" s="98" t="str">
        <f t="shared" si="31"/>
        <v/>
      </c>
      <c r="AR35" s="98" t="str">
        <f t="shared" si="31"/>
        <v/>
      </c>
      <c r="AS35" s="98" t="str">
        <f t="shared" si="31"/>
        <v/>
      </c>
      <c r="AT35" s="98" t="str">
        <f t="shared" si="31"/>
        <v/>
      </c>
      <c r="AU35" s="98" t="str">
        <f t="shared" si="31"/>
        <v/>
      </c>
      <c r="AV35" s="98" t="str">
        <f t="shared" si="31"/>
        <v/>
      </c>
      <c r="AW35" s="98" t="str">
        <f t="shared" si="31"/>
        <v/>
      </c>
      <c r="AX35" s="98" t="str">
        <f t="shared" si="31"/>
        <v/>
      </c>
      <c r="AY35" s="98" t="str">
        <f t="shared" si="31"/>
        <v/>
      </c>
      <c r="AZ35" s="98" t="str">
        <f t="shared" si="31"/>
        <v/>
      </c>
      <c r="BA35" s="98" t="str">
        <f t="shared" si="31"/>
        <v/>
      </c>
      <c r="BB35" s="98" t="str">
        <f t="shared" si="31"/>
        <v/>
      </c>
      <c r="BC35" s="98" t="str">
        <f t="shared" si="31"/>
        <v/>
      </c>
      <c r="BD35" s="98" t="str">
        <f t="shared" si="31"/>
        <v/>
      </c>
      <c r="BE35" s="98" t="str">
        <f t="shared" si="31"/>
        <v/>
      </c>
      <c r="BF35" s="98" t="str">
        <f t="shared" si="31"/>
        <v/>
      </c>
      <c r="BG35" s="98" t="str">
        <f t="shared" si="31"/>
        <v/>
      </c>
      <c r="BH35" s="98" t="str">
        <f t="shared" si="31"/>
        <v/>
      </c>
      <c r="BI35" s="98" t="str">
        <f t="shared" si="31"/>
        <v/>
      </c>
      <c r="BJ35" s="98" t="str">
        <f t="shared" si="31"/>
        <v/>
      </c>
      <c r="BK35" s="98" t="str">
        <f t="shared" si="31"/>
        <v/>
      </c>
      <c r="BL35" s="98" t="str">
        <f t="shared" si="31"/>
        <v/>
      </c>
      <c r="BM35" s="98" t="str">
        <f t="shared" si="31"/>
        <v/>
      </c>
      <c r="BN35" s="98" t="str">
        <f t="shared" si="31"/>
        <v/>
      </c>
      <c r="BO35" s="98" t="str">
        <f t="shared" si="31"/>
        <v/>
      </c>
      <c r="BP35" s="98" t="str">
        <f t="shared" si="31"/>
        <v/>
      </c>
      <c r="BQ35" s="98" t="str">
        <f t="shared" si="31"/>
        <v/>
      </c>
      <c r="BR35" s="98" t="str">
        <f t="shared" si="31"/>
        <v/>
      </c>
      <c r="BS35" s="98" t="str">
        <f t="shared" si="31"/>
        <v/>
      </c>
      <c r="BT35" s="98" t="str">
        <f t="shared" si="31"/>
        <v/>
      </c>
      <c r="BU35" s="98" t="str">
        <f t="shared" si="31"/>
        <v/>
      </c>
      <c r="BV35" s="98" t="str">
        <f t="shared" si="31"/>
        <v/>
      </c>
      <c r="BW35" s="98" t="str">
        <f t="shared" si="31"/>
        <v/>
      </c>
      <c r="BX35" s="98" t="str">
        <f t="shared" si="31"/>
        <v/>
      </c>
      <c r="BY35" s="98" t="str">
        <f t="shared" si="31"/>
        <v/>
      </c>
      <c r="BZ35" s="98" t="str">
        <f t="shared" si="31"/>
        <v/>
      </c>
      <c r="CA35" s="98" t="str">
        <f t="shared" si="31"/>
        <v/>
      </c>
      <c r="CB35" s="98" t="str">
        <f t="shared" si="31"/>
        <v/>
      </c>
      <c r="CC35" s="98" t="str">
        <f t="shared" si="31"/>
        <v/>
      </c>
      <c r="CD35" s="98" t="str">
        <f t="shared" si="31"/>
        <v/>
      </c>
      <c r="CE35" s="98" t="str">
        <f t="shared" si="31"/>
        <v/>
      </c>
      <c r="CF35" s="98" t="str">
        <f t="shared" si="31"/>
        <v/>
      </c>
      <c r="CG35" s="98" t="str">
        <f t="shared" si="31"/>
        <v/>
      </c>
      <c r="CH35" s="98" t="str">
        <f t="shared" si="31"/>
        <v/>
      </c>
      <c r="CI35" s="98" t="str">
        <f t="shared" si="31"/>
        <v/>
      </c>
      <c r="CJ35" s="98" t="str">
        <f t="shared" si="31"/>
        <v/>
      </c>
      <c r="CK35" s="98" t="str">
        <f t="shared" si="31"/>
        <v/>
      </c>
      <c r="CL35" s="98" t="str">
        <f t="shared" si="31"/>
        <v/>
      </c>
      <c r="CM35" s="98" t="str">
        <f t="shared" si="31"/>
        <v/>
      </c>
      <c r="CN35" s="98" t="str">
        <f t="shared" si="31"/>
        <v/>
      </c>
      <c r="CO35" s="98" t="str">
        <f t="shared" si="31"/>
        <v/>
      </c>
      <c r="CP35" s="98" t="str">
        <f t="shared" si="31"/>
        <v/>
      </c>
      <c r="CQ35" s="98" t="str">
        <f t="shared" si="31"/>
        <v/>
      </c>
      <c r="CR35" s="98" t="str">
        <f t="shared" si="31"/>
        <v/>
      </c>
      <c r="CS35" s="98" t="str">
        <f t="shared" si="31"/>
        <v/>
      </c>
      <c r="CT35" s="98" t="str">
        <f t="shared" si="31"/>
        <v/>
      </c>
      <c r="CU35" s="98" t="str">
        <f t="shared" si="31"/>
        <v/>
      </c>
      <c r="CV35" s="98" t="str">
        <f t="shared" si="31"/>
        <v/>
      </c>
      <c r="CW35" s="98" t="str">
        <f t="shared" si="31"/>
        <v/>
      </c>
      <c r="CX35" s="98" t="str">
        <f t="shared" si="31"/>
        <v/>
      </c>
      <c r="CY35" s="98" t="str">
        <f t="shared" si="31"/>
        <v/>
      </c>
      <c r="CZ35" s="98" t="str">
        <f t="shared" si="31"/>
        <v/>
      </c>
      <c r="DA35" s="98" t="str">
        <f t="shared" ref="DA35:DT42" si="32">IF($B35=DA$12,$U35,"")</f>
        <v/>
      </c>
      <c r="DB35" s="98" t="str">
        <f t="shared" si="32"/>
        <v/>
      </c>
      <c r="DC35" s="98" t="str">
        <f t="shared" si="32"/>
        <v/>
      </c>
      <c r="DD35" s="98" t="str">
        <f t="shared" si="32"/>
        <v/>
      </c>
      <c r="DE35" s="98" t="str">
        <f t="shared" si="32"/>
        <v/>
      </c>
      <c r="DF35" s="98" t="str">
        <f t="shared" si="32"/>
        <v/>
      </c>
      <c r="DG35" s="98" t="str">
        <f t="shared" si="32"/>
        <v/>
      </c>
      <c r="DH35" s="98" t="str">
        <f t="shared" si="32"/>
        <v/>
      </c>
      <c r="DI35" s="98" t="str">
        <f t="shared" si="32"/>
        <v/>
      </c>
      <c r="DJ35" s="98" t="str">
        <f t="shared" si="32"/>
        <v/>
      </c>
      <c r="DK35" s="98" t="str">
        <f t="shared" si="32"/>
        <v/>
      </c>
      <c r="DL35" s="98" t="str">
        <f t="shared" si="32"/>
        <v/>
      </c>
      <c r="DM35" s="98" t="str">
        <f t="shared" si="32"/>
        <v/>
      </c>
      <c r="DN35" s="98" t="str">
        <f t="shared" si="32"/>
        <v/>
      </c>
      <c r="DO35" s="98" t="str">
        <f t="shared" si="32"/>
        <v/>
      </c>
      <c r="DP35" s="98" t="str">
        <f t="shared" si="32"/>
        <v/>
      </c>
      <c r="DQ35" s="98" t="str">
        <f t="shared" si="32"/>
        <v/>
      </c>
      <c r="DR35" s="98" t="str">
        <f t="shared" si="32"/>
        <v/>
      </c>
      <c r="DS35" s="98" t="str">
        <f t="shared" si="32"/>
        <v/>
      </c>
      <c r="DT35" s="116" t="str">
        <f t="shared" si="32"/>
        <v/>
      </c>
      <c r="DU35" s="61"/>
      <c r="DV35" s="31"/>
      <c r="DW35" s="99" t="str">
        <f t="shared" ref="DW35:FB42" si="33">IF($B35=DW$12,$O35,"")</f>
        <v/>
      </c>
      <c r="DX35" s="100" t="str">
        <f t="shared" si="33"/>
        <v/>
      </c>
      <c r="DY35" s="100" t="str">
        <f t="shared" si="33"/>
        <v/>
      </c>
      <c r="DZ35" s="100" t="str">
        <f t="shared" si="33"/>
        <v/>
      </c>
      <c r="EA35" s="100" t="str">
        <f t="shared" si="33"/>
        <v/>
      </c>
      <c r="EB35" s="100" t="str">
        <f t="shared" si="33"/>
        <v/>
      </c>
      <c r="EC35" s="100" t="str">
        <f t="shared" si="33"/>
        <v/>
      </c>
      <c r="ED35" s="100" t="str">
        <f t="shared" si="33"/>
        <v/>
      </c>
      <c r="EE35" s="100" t="str">
        <f t="shared" si="33"/>
        <v/>
      </c>
      <c r="EF35" s="100" t="str">
        <f t="shared" si="33"/>
        <v/>
      </c>
      <c r="EG35" s="100" t="str">
        <f t="shared" si="33"/>
        <v/>
      </c>
      <c r="EH35" s="100" t="str">
        <f t="shared" si="33"/>
        <v/>
      </c>
      <c r="EI35" s="100" t="str">
        <f t="shared" si="33"/>
        <v/>
      </c>
      <c r="EJ35" s="100" t="str">
        <f t="shared" si="33"/>
        <v/>
      </c>
      <c r="EK35" s="100" t="str">
        <f t="shared" si="33"/>
        <v/>
      </c>
      <c r="EL35" s="100" t="str">
        <f t="shared" si="33"/>
        <v/>
      </c>
      <c r="EM35" s="100" t="str">
        <f t="shared" si="33"/>
        <v/>
      </c>
      <c r="EN35" s="100" t="str">
        <f t="shared" si="33"/>
        <v/>
      </c>
      <c r="EO35" s="100" t="str">
        <f t="shared" si="33"/>
        <v/>
      </c>
      <c r="EP35" s="100" t="str">
        <f t="shared" si="33"/>
        <v/>
      </c>
      <c r="EQ35" s="100" t="str">
        <f t="shared" si="33"/>
        <v/>
      </c>
      <c r="ER35" s="100" t="str">
        <f t="shared" si="33"/>
        <v/>
      </c>
      <c r="ES35" s="100" t="str">
        <f t="shared" si="33"/>
        <v/>
      </c>
      <c r="ET35" s="100" t="str">
        <f t="shared" si="33"/>
        <v/>
      </c>
      <c r="EU35" s="100" t="str">
        <f t="shared" si="33"/>
        <v/>
      </c>
      <c r="EV35" s="100" t="str">
        <f t="shared" si="33"/>
        <v/>
      </c>
      <c r="EW35" s="100" t="str">
        <f t="shared" si="33"/>
        <v/>
      </c>
      <c r="EX35" s="100" t="str">
        <f t="shared" si="33"/>
        <v/>
      </c>
      <c r="EY35" s="100" t="str">
        <f t="shared" si="33"/>
        <v/>
      </c>
      <c r="EZ35" s="100" t="str">
        <f t="shared" si="33"/>
        <v/>
      </c>
      <c r="FA35" s="100" t="str">
        <f t="shared" si="33"/>
        <v/>
      </c>
      <c r="FB35" s="100" t="str">
        <f t="shared" si="33"/>
        <v/>
      </c>
      <c r="FC35" s="100" t="str">
        <f t="shared" ref="FC35:HN38" si="34">IF($B35=FC$12,$O35,"")</f>
        <v/>
      </c>
      <c r="FD35" s="100" t="str">
        <f t="shared" si="34"/>
        <v/>
      </c>
      <c r="FE35" s="100" t="str">
        <f t="shared" si="34"/>
        <v/>
      </c>
      <c r="FF35" s="100" t="str">
        <f t="shared" si="34"/>
        <v/>
      </c>
      <c r="FG35" s="100" t="str">
        <f t="shared" si="34"/>
        <v/>
      </c>
      <c r="FH35" s="100" t="str">
        <f t="shared" si="34"/>
        <v/>
      </c>
      <c r="FI35" s="100" t="str">
        <f t="shared" si="34"/>
        <v/>
      </c>
      <c r="FJ35" s="100" t="str">
        <f t="shared" si="34"/>
        <v/>
      </c>
      <c r="FK35" s="100" t="str">
        <f t="shared" si="34"/>
        <v/>
      </c>
      <c r="FL35" s="100" t="str">
        <f t="shared" si="34"/>
        <v/>
      </c>
      <c r="FM35" s="100" t="str">
        <f t="shared" si="34"/>
        <v/>
      </c>
      <c r="FN35" s="100" t="str">
        <f t="shared" si="34"/>
        <v/>
      </c>
      <c r="FO35" s="100" t="str">
        <f t="shared" si="34"/>
        <v/>
      </c>
      <c r="FP35" s="100" t="str">
        <f t="shared" si="34"/>
        <v/>
      </c>
      <c r="FQ35" s="100" t="str">
        <f t="shared" si="34"/>
        <v/>
      </c>
      <c r="FR35" s="100" t="str">
        <f t="shared" si="34"/>
        <v/>
      </c>
      <c r="FS35" s="100" t="str">
        <f t="shared" si="34"/>
        <v/>
      </c>
      <c r="FT35" s="100" t="str">
        <f t="shared" si="34"/>
        <v/>
      </c>
      <c r="FU35" s="100" t="str">
        <f t="shared" si="34"/>
        <v/>
      </c>
      <c r="FV35" s="100" t="str">
        <f t="shared" si="34"/>
        <v/>
      </c>
      <c r="FW35" s="100" t="str">
        <f t="shared" si="34"/>
        <v/>
      </c>
      <c r="FX35" s="100" t="str">
        <f t="shared" si="34"/>
        <v/>
      </c>
      <c r="FY35" s="100" t="str">
        <f t="shared" si="34"/>
        <v/>
      </c>
      <c r="FZ35" s="100" t="str">
        <f t="shared" si="34"/>
        <v/>
      </c>
      <c r="GA35" s="100" t="str">
        <f t="shared" si="34"/>
        <v/>
      </c>
      <c r="GB35" s="100" t="str">
        <f t="shared" si="34"/>
        <v/>
      </c>
      <c r="GC35" s="100" t="str">
        <f t="shared" si="34"/>
        <v/>
      </c>
      <c r="GD35" s="100" t="str">
        <f t="shared" si="34"/>
        <v/>
      </c>
      <c r="GE35" s="100" t="str">
        <f t="shared" si="34"/>
        <v/>
      </c>
      <c r="GF35" s="100" t="str">
        <f t="shared" si="34"/>
        <v/>
      </c>
      <c r="GG35" s="100" t="str">
        <f t="shared" si="34"/>
        <v/>
      </c>
      <c r="GH35" s="100" t="str">
        <f t="shared" si="34"/>
        <v/>
      </c>
      <c r="GI35" s="100" t="str">
        <f t="shared" si="34"/>
        <v/>
      </c>
      <c r="GJ35" s="100" t="str">
        <f t="shared" si="34"/>
        <v/>
      </c>
      <c r="GK35" s="100" t="str">
        <f t="shared" si="34"/>
        <v/>
      </c>
      <c r="GL35" s="100" t="str">
        <f t="shared" si="34"/>
        <v/>
      </c>
      <c r="GM35" s="100" t="str">
        <f t="shared" si="34"/>
        <v/>
      </c>
      <c r="GN35" s="100" t="str">
        <f t="shared" si="34"/>
        <v/>
      </c>
      <c r="GO35" s="100" t="str">
        <f t="shared" si="34"/>
        <v/>
      </c>
      <c r="GP35" s="100" t="str">
        <f t="shared" si="34"/>
        <v/>
      </c>
      <c r="GQ35" s="100" t="str">
        <f t="shared" si="34"/>
        <v/>
      </c>
      <c r="GR35" s="100" t="str">
        <f t="shared" si="34"/>
        <v/>
      </c>
      <c r="GS35" s="100" t="str">
        <f t="shared" si="34"/>
        <v/>
      </c>
      <c r="GT35" s="100" t="str">
        <f t="shared" si="34"/>
        <v/>
      </c>
      <c r="GU35" s="100" t="str">
        <f t="shared" si="34"/>
        <v/>
      </c>
      <c r="GV35" s="100" t="str">
        <f t="shared" si="34"/>
        <v/>
      </c>
      <c r="GW35" s="100" t="str">
        <f t="shared" si="34"/>
        <v/>
      </c>
      <c r="GX35" s="100" t="str">
        <f t="shared" si="34"/>
        <v/>
      </c>
      <c r="GY35" s="100" t="str">
        <f t="shared" si="34"/>
        <v/>
      </c>
      <c r="GZ35" s="100" t="str">
        <f t="shared" si="34"/>
        <v/>
      </c>
      <c r="HA35" s="100" t="str">
        <f t="shared" si="34"/>
        <v/>
      </c>
      <c r="HB35" s="100" t="str">
        <f t="shared" si="34"/>
        <v/>
      </c>
      <c r="HC35" s="100" t="str">
        <f t="shared" si="34"/>
        <v/>
      </c>
      <c r="HD35" s="100" t="str">
        <f t="shared" si="34"/>
        <v/>
      </c>
      <c r="HE35" s="100" t="str">
        <f t="shared" si="34"/>
        <v/>
      </c>
      <c r="HF35" s="100" t="str">
        <f t="shared" si="34"/>
        <v/>
      </c>
      <c r="HG35" s="100" t="str">
        <f t="shared" si="34"/>
        <v/>
      </c>
      <c r="HH35" s="100" t="str">
        <f t="shared" si="34"/>
        <v/>
      </c>
      <c r="HI35" s="100" t="str">
        <f t="shared" si="34"/>
        <v/>
      </c>
      <c r="HJ35" s="100" t="str">
        <f t="shared" si="34"/>
        <v/>
      </c>
      <c r="HK35" s="100" t="str">
        <f t="shared" si="34"/>
        <v/>
      </c>
      <c r="HL35" s="100" t="str">
        <f t="shared" si="34"/>
        <v/>
      </c>
      <c r="HM35" s="100" t="str">
        <f t="shared" si="34"/>
        <v/>
      </c>
      <c r="HN35" s="100" t="str">
        <f t="shared" si="34"/>
        <v/>
      </c>
      <c r="HO35" s="100" t="str">
        <f t="shared" ref="HO35:HR37" si="35">IF($B35=HO$12,$O35,"")</f>
        <v/>
      </c>
      <c r="HP35" s="100" t="str">
        <f t="shared" si="35"/>
        <v/>
      </c>
      <c r="HQ35" s="100" t="str">
        <f t="shared" si="35"/>
        <v/>
      </c>
      <c r="HR35" s="122" t="str">
        <f t="shared" si="35"/>
        <v/>
      </c>
    </row>
    <row r="36" spans="1:226" ht="11.15" customHeight="1" x14ac:dyDescent="0.25">
      <c r="A36" s="32"/>
      <c r="B36" s="33"/>
      <c r="C36" s="34" t="str">
        <f>IF(A36=0,"",VLOOKUP(A36,[3]CO!$A$3:$F$5311,2,0))</f>
        <v/>
      </c>
      <c r="D36" s="35"/>
      <c r="E36" s="35"/>
      <c r="F36" s="35"/>
      <c r="G36" s="36" t="str">
        <f>IF(A36=0,"",VLOOKUP(A36,[3]CO!$A$3:$F$5311,3,0))</f>
        <v/>
      </c>
      <c r="H36" s="102"/>
      <c r="I36" s="37"/>
      <c r="J36" s="37"/>
      <c r="K36" s="37"/>
      <c r="L36" s="37"/>
      <c r="M36" s="38" t="str">
        <f t="shared" ref="M36:M41" si="36">IF(H36&gt;0,H36*Q$31/N36,IF(L36&gt;0,L36,""))</f>
        <v/>
      </c>
      <c r="N36" s="38" t="str">
        <f>IF(B36=0,"",IF(H36="M",HLOOKUP(B36,$Y$12:$DT$13,2),IF(A36=0,"",VLOOKUP(A36,[3]CO!$A$3:$F$5311,4,0))))</f>
        <v/>
      </c>
      <c r="O36" s="38" t="str">
        <f t="shared" si="11"/>
        <v/>
      </c>
      <c r="P36" s="39"/>
      <c r="Q36" s="40" t="str">
        <f t="shared" si="29"/>
        <v/>
      </c>
      <c r="R36" s="41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RESIDENTE",G36="TOPOGRAFIA",G36="DESTAJOS"),VLOOKUP(B36,P$14:Q$54,2),"")*S36)</f>
        <v/>
      </c>
      <c r="S36" s="105"/>
      <c r="T36" s="60" t="str">
        <f>IF(A36=0,"",VLOOKUP(A36,[3]CO!$A$3:$F$5302,5,0))</f>
        <v/>
      </c>
      <c r="U36" s="61">
        <f t="shared" si="12"/>
        <v>0</v>
      </c>
      <c r="V36" s="30"/>
      <c r="W36" s="31"/>
      <c r="X36" s="31"/>
      <c r="Y36" s="71" t="str">
        <f t="shared" si="30"/>
        <v/>
      </c>
      <c r="Z36" s="62" t="str">
        <f t="shared" si="30"/>
        <v/>
      </c>
      <c r="AA36" s="62" t="str">
        <f t="shared" si="30"/>
        <v/>
      </c>
      <c r="AB36" s="62" t="str">
        <f t="shared" si="30"/>
        <v/>
      </c>
      <c r="AC36" s="62" t="str">
        <f t="shared" si="30"/>
        <v/>
      </c>
      <c r="AD36" s="62" t="str">
        <f t="shared" si="30"/>
        <v/>
      </c>
      <c r="AE36" s="62" t="str">
        <f t="shared" si="30"/>
        <v/>
      </c>
      <c r="AF36" s="62" t="str">
        <f t="shared" si="30"/>
        <v/>
      </c>
      <c r="AG36" s="62" t="str">
        <f t="shared" si="30"/>
        <v/>
      </c>
      <c r="AH36" s="62" t="str">
        <f t="shared" si="30"/>
        <v/>
      </c>
      <c r="AI36" s="62" t="str">
        <f t="shared" si="30"/>
        <v/>
      </c>
      <c r="AJ36" s="62" t="str">
        <f t="shared" si="30"/>
        <v/>
      </c>
      <c r="AK36" s="62" t="str">
        <f t="shared" si="30"/>
        <v/>
      </c>
      <c r="AL36" s="62" t="str">
        <f t="shared" si="30"/>
        <v/>
      </c>
      <c r="AM36" s="62" t="str">
        <f t="shared" si="30"/>
        <v/>
      </c>
      <c r="AN36" s="62" t="str">
        <f t="shared" si="30"/>
        <v/>
      </c>
      <c r="AO36" s="62" t="str">
        <f t="shared" si="31"/>
        <v/>
      </c>
      <c r="AP36" s="62" t="str">
        <f t="shared" si="31"/>
        <v/>
      </c>
      <c r="AQ36" s="62" t="str">
        <f t="shared" si="31"/>
        <v/>
      </c>
      <c r="AR36" s="62" t="str">
        <f t="shared" si="31"/>
        <v/>
      </c>
      <c r="AS36" s="62" t="str">
        <f t="shared" si="31"/>
        <v/>
      </c>
      <c r="AT36" s="62" t="str">
        <f t="shared" si="31"/>
        <v/>
      </c>
      <c r="AU36" s="62" t="str">
        <f t="shared" si="31"/>
        <v/>
      </c>
      <c r="AV36" s="62" t="str">
        <f t="shared" si="31"/>
        <v/>
      </c>
      <c r="AW36" s="62" t="str">
        <f t="shared" si="31"/>
        <v/>
      </c>
      <c r="AX36" s="62" t="str">
        <f t="shared" si="31"/>
        <v/>
      </c>
      <c r="AY36" s="62" t="str">
        <f t="shared" si="31"/>
        <v/>
      </c>
      <c r="AZ36" s="62" t="str">
        <f t="shared" si="31"/>
        <v/>
      </c>
      <c r="BA36" s="62" t="str">
        <f t="shared" si="31"/>
        <v/>
      </c>
      <c r="BB36" s="62" t="str">
        <f t="shared" si="31"/>
        <v/>
      </c>
      <c r="BC36" s="62" t="str">
        <f t="shared" si="31"/>
        <v/>
      </c>
      <c r="BD36" s="62" t="str">
        <f t="shared" si="31"/>
        <v/>
      </c>
      <c r="BE36" s="62" t="str">
        <f t="shared" si="31"/>
        <v/>
      </c>
      <c r="BF36" s="62" t="str">
        <f t="shared" si="31"/>
        <v/>
      </c>
      <c r="BG36" s="62" t="str">
        <f t="shared" si="31"/>
        <v/>
      </c>
      <c r="BH36" s="62" t="str">
        <f t="shared" si="31"/>
        <v/>
      </c>
      <c r="BI36" s="62" t="str">
        <f t="shared" si="31"/>
        <v/>
      </c>
      <c r="BJ36" s="62" t="str">
        <f t="shared" si="31"/>
        <v/>
      </c>
      <c r="BK36" s="62" t="str">
        <f t="shared" si="31"/>
        <v/>
      </c>
      <c r="BL36" s="62" t="str">
        <f t="shared" si="31"/>
        <v/>
      </c>
      <c r="BM36" s="62" t="str">
        <f t="shared" si="31"/>
        <v/>
      </c>
      <c r="BN36" s="62" t="str">
        <f t="shared" si="31"/>
        <v/>
      </c>
      <c r="BO36" s="62" t="str">
        <f t="shared" si="31"/>
        <v/>
      </c>
      <c r="BP36" s="62" t="str">
        <f t="shared" si="31"/>
        <v/>
      </c>
      <c r="BQ36" s="62" t="str">
        <f t="shared" si="31"/>
        <v/>
      </c>
      <c r="BR36" s="62" t="str">
        <f t="shared" si="31"/>
        <v/>
      </c>
      <c r="BS36" s="62" t="str">
        <f t="shared" si="31"/>
        <v/>
      </c>
      <c r="BT36" s="62" t="str">
        <f t="shared" si="31"/>
        <v/>
      </c>
      <c r="BU36" s="62" t="str">
        <f t="shared" si="31"/>
        <v/>
      </c>
      <c r="BV36" s="62" t="str">
        <f t="shared" si="31"/>
        <v/>
      </c>
      <c r="BW36" s="62" t="str">
        <f t="shared" si="31"/>
        <v/>
      </c>
      <c r="BX36" s="62" t="str">
        <f t="shared" si="31"/>
        <v/>
      </c>
      <c r="BY36" s="62" t="str">
        <f t="shared" si="31"/>
        <v/>
      </c>
      <c r="BZ36" s="62" t="str">
        <f t="shared" si="31"/>
        <v/>
      </c>
      <c r="CA36" s="62" t="str">
        <f t="shared" si="31"/>
        <v/>
      </c>
      <c r="CB36" s="62" t="str">
        <f t="shared" si="31"/>
        <v/>
      </c>
      <c r="CC36" s="62" t="str">
        <f t="shared" si="31"/>
        <v/>
      </c>
      <c r="CD36" s="62" t="str">
        <f t="shared" si="31"/>
        <v/>
      </c>
      <c r="CE36" s="62" t="str">
        <f t="shared" si="31"/>
        <v/>
      </c>
      <c r="CF36" s="62" t="str">
        <f t="shared" si="31"/>
        <v/>
      </c>
      <c r="CG36" s="62" t="str">
        <f t="shared" si="31"/>
        <v/>
      </c>
      <c r="CH36" s="62" t="str">
        <f t="shared" si="31"/>
        <v/>
      </c>
      <c r="CI36" s="62" t="str">
        <f t="shared" si="31"/>
        <v/>
      </c>
      <c r="CJ36" s="62" t="str">
        <f t="shared" si="31"/>
        <v/>
      </c>
      <c r="CK36" s="62" t="str">
        <f t="shared" si="31"/>
        <v/>
      </c>
      <c r="CL36" s="62" t="str">
        <f t="shared" si="31"/>
        <v/>
      </c>
      <c r="CM36" s="62" t="str">
        <f t="shared" si="31"/>
        <v/>
      </c>
      <c r="CN36" s="62" t="str">
        <f t="shared" si="31"/>
        <v/>
      </c>
      <c r="CO36" s="62" t="str">
        <f t="shared" si="31"/>
        <v/>
      </c>
      <c r="CP36" s="62" t="str">
        <f t="shared" si="31"/>
        <v/>
      </c>
      <c r="CQ36" s="62" t="str">
        <f t="shared" si="31"/>
        <v/>
      </c>
      <c r="CR36" s="62" t="str">
        <f t="shared" si="31"/>
        <v/>
      </c>
      <c r="CS36" s="62" t="str">
        <f t="shared" si="31"/>
        <v/>
      </c>
      <c r="CT36" s="62" t="str">
        <f t="shared" si="31"/>
        <v/>
      </c>
      <c r="CU36" s="62" t="str">
        <f t="shared" si="31"/>
        <v/>
      </c>
      <c r="CV36" s="62" t="str">
        <f t="shared" si="31"/>
        <v/>
      </c>
      <c r="CW36" s="62" t="str">
        <f t="shared" si="31"/>
        <v/>
      </c>
      <c r="CX36" s="62" t="str">
        <f t="shared" si="31"/>
        <v/>
      </c>
      <c r="CY36" s="62" t="str">
        <f t="shared" si="31"/>
        <v/>
      </c>
      <c r="CZ36" s="62" t="str">
        <f t="shared" si="31"/>
        <v/>
      </c>
      <c r="DA36" s="62" t="str">
        <f t="shared" si="32"/>
        <v/>
      </c>
      <c r="DB36" s="62" t="str">
        <f t="shared" si="32"/>
        <v/>
      </c>
      <c r="DC36" s="62" t="str">
        <f t="shared" si="32"/>
        <v/>
      </c>
      <c r="DD36" s="62" t="str">
        <f t="shared" si="32"/>
        <v/>
      </c>
      <c r="DE36" s="62" t="str">
        <f t="shared" si="32"/>
        <v/>
      </c>
      <c r="DF36" s="62" t="str">
        <f t="shared" si="32"/>
        <v/>
      </c>
      <c r="DG36" s="62" t="str">
        <f t="shared" si="32"/>
        <v/>
      </c>
      <c r="DH36" s="62" t="str">
        <f t="shared" si="32"/>
        <v/>
      </c>
      <c r="DI36" s="62" t="str">
        <f t="shared" si="32"/>
        <v/>
      </c>
      <c r="DJ36" s="62" t="str">
        <f t="shared" si="32"/>
        <v/>
      </c>
      <c r="DK36" s="62" t="str">
        <f t="shared" si="32"/>
        <v/>
      </c>
      <c r="DL36" s="62" t="str">
        <f t="shared" si="32"/>
        <v/>
      </c>
      <c r="DM36" s="62" t="str">
        <f t="shared" si="32"/>
        <v/>
      </c>
      <c r="DN36" s="62" t="str">
        <f t="shared" si="32"/>
        <v/>
      </c>
      <c r="DO36" s="62" t="str">
        <f t="shared" si="32"/>
        <v/>
      </c>
      <c r="DP36" s="62" t="str">
        <f t="shared" si="32"/>
        <v/>
      </c>
      <c r="DQ36" s="62" t="str">
        <f t="shared" si="32"/>
        <v/>
      </c>
      <c r="DR36" s="62" t="str">
        <f t="shared" si="32"/>
        <v/>
      </c>
      <c r="DS36" s="62" t="str">
        <f t="shared" si="32"/>
        <v/>
      </c>
      <c r="DT36" s="117" t="str">
        <f t="shared" si="32"/>
        <v/>
      </c>
      <c r="DU36" s="61"/>
      <c r="DV36" s="31"/>
      <c r="DW36" s="68" t="str">
        <f t="shared" si="33"/>
        <v/>
      </c>
      <c r="DX36" s="57" t="str">
        <f t="shared" si="33"/>
        <v/>
      </c>
      <c r="DY36" s="57" t="str">
        <f t="shared" si="33"/>
        <v/>
      </c>
      <c r="DZ36" s="57" t="str">
        <f t="shared" si="33"/>
        <v/>
      </c>
      <c r="EA36" s="57" t="str">
        <f t="shared" si="33"/>
        <v/>
      </c>
      <c r="EB36" s="57" t="str">
        <f t="shared" si="33"/>
        <v/>
      </c>
      <c r="EC36" s="57" t="str">
        <f t="shared" si="33"/>
        <v/>
      </c>
      <c r="ED36" s="57" t="str">
        <f t="shared" si="33"/>
        <v/>
      </c>
      <c r="EE36" s="57" t="str">
        <f t="shared" si="33"/>
        <v/>
      </c>
      <c r="EF36" s="57" t="str">
        <f t="shared" si="33"/>
        <v/>
      </c>
      <c r="EG36" s="57" t="str">
        <f t="shared" si="33"/>
        <v/>
      </c>
      <c r="EH36" s="57" t="str">
        <f t="shared" si="33"/>
        <v/>
      </c>
      <c r="EI36" s="57" t="str">
        <f t="shared" si="33"/>
        <v/>
      </c>
      <c r="EJ36" s="57" t="str">
        <f t="shared" si="33"/>
        <v/>
      </c>
      <c r="EK36" s="57" t="str">
        <f t="shared" si="33"/>
        <v/>
      </c>
      <c r="EL36" s="57" t="str">
        <f t="shared" si="33"/>
        <v/>
      </c>
      <c r="EM36" s="57" t="str">
        <f t="shared" si="33"/>
        <v/>
      </c>
      <c r="EN36" s="57" t="str">
        <f t="shared" si="33"/>
        <v/>
      </c>
      <c r="EO36" s="57" t="str">
        <f t="shared" si="33"/>
        <v/>
      </c>
      <c r="EP36" s="57" t="str">
        <f t="shared" si="33"/>
        <v/>
      </c>
      <c r="EQ36" s="57" t="str">
        <f t="shared" si="33"/>
        <v/>
      </c>
      <c r="ER36" s="57" t="str">
        <f t="shared" si="33"/>
        <v/>
      </c>
      <c r="ES36" s="57" t="str">
        <f t="shared" si="33"/>
        <v/>
      </c>
      <c r="ET36" s="57" t="str">
        <f t="shared" si="33"/>
        <v/>
      </c>
      <c r="EU36" s="57" t="str">
        <f t="shared" si="33"/>
        <v/>
      </c>
      <c r="EV36" s="57" t="str">
        <f t="shared" si="33"/>
        <v/>
      </c>
      <c r="EW36" s="57" t="str">
        <f t="shared" si="33"/>
        <v/>
      </c>
      <c r="EX36" s="57" t="str">
        <f t="shared" si="33"/>
        <v/>
      </c>
      <c r="EY36" s="57" t="str">
        <f t="shared" si="33"/>
        <v/>
      </c>
      <c r="EZ36" s="57" t="str">
        <f t="shared" si="33"/>
        <v/>
      </c>
      <c r="FA36" s="57" t="str">
        <f t="shared" si="33"/>
        <v/>
      </c>
      <c r="FB36" s="57" t="str">
        <f t="shared" si="33"/>
        <v/>
      </c>
      <c r="FC36" s="57" t="str">
        <f t="shared" si="34"/>
        <v/>
      </c>
      <c r="FD36" s="57" t="str">
        <f t="shared" si="34"/>
        <v/>
      </c>
      <c r="FE36" s="57" t="str">
        <f t="shared" si="34"/>
        <v/>
      </c>
      <c r="FF36" s="57" t="str">
        <f t="shared" si="34"/>
        <v/>
      </c>
      <c r="FG36" s="57" t="str">
        <f t="shared" si="34"/>
        <v/>
      </c>
      <c r="FH36" s="57" t="str">
        <f t="shared" si="34"/>
        <v/>
      </c>
      <c r="FI36" s="57" t="str">
        <f t="shared" si="34"/>
        <v/>
      </c>
      <c r="FJ36" s="57" t="str">
        <f t="shared" si="34"/>
        <v/>
      </c>
      <c r="FK36" s="57" t="str">
        <f t="shared" si="34"/>
        <v/>
      </c>
      <c r="FL36" s="57" t="str">
        <f t="shared" si="34"/>
        <v/>
      </c>
      <c r="FM36" s="57" t="str">
        <f t="shared" si="34"/>
        <v/>
      </c>
      <c r="FN36" s="57" t="str">
        <f t="shared" si="34"/>
        <v/>
      </c>
      <c r="FO36" s="57" t="str">
        <f t="shared" si="34"/>
        <v/>
      </c>
      <c r="FP36" s="57" t="str">
        <f t="shared" si="34"/>
        <v/>
      </c>
      <c r="FQ36" s="57" t="str">
        <f t="shared" si="34"/>
        <v/>
      </c>
      <c r="FR36" s="57" t="str">
        <f t="shared" si="34"/>
        <v/>
      </c>
      <c r="FS36" s="57" t="str">
        <f t="shared" si="34"/>
        <v/>
      </c>
      <c r="FT36" s="57" t="str">
        <f t="shared" si="34"/>
        <v/>
      </c>
      <c r="FU36" s="57" t="str">
        <f t="shared" si="34"/>
        <v/>
      </c>
      <c r="FV36" s="57" t="str">
        <f t="shared" si="34"/>
        <v/>
      </c>
      <c r="FW36" s="57" t="str">
        <f t="shared" si="34"/>
        <v/>
      </c>
      <c r="FX36" s="57" t="str">
        <f t="shared" si="34"/>
        <v/>
      </c>
      <c r="FY36" s="57" t="str">
        <f t="shared" si="34"/>
        <v/>
      </c>
      <c r="FZ36" s="57" t="str">
        <f t="shared" si="34"/>
        <v/>
      </c>
      <c r="GA36" s="57" t="str">
        <f t="shared" si="34"/>
        <v/>
      </c>
      <c r="GB36" s="57" t="str">
        <f t="shared" si="34"/>
        <v/>
      </c>
      <c r="GC36" s="57" t="str">
        <f t="shared" si="34"/>
        <v/>
      </c>
      <c r="GD36" s="57" t="str">
        <f t="shared" si="34"/>
        <v/>
      </c>
      <c r="GE36" s="57" t="str">
        <f t="shared" si="34"/>
        <v/>
      </c>
      <c r="GF36" s="57" t="str">
        <f t="shared" si="34"/>
        <v/>
      </c>
      <c r="GG36" s="57" t="str">
        <f t="shared" si="34"/>
        <v/>
      </c>
      <c r="GH36" s="57" t="str">
        <f t="shared" si="34"/>
        <v/>
      </c>
      <c r="GI36" s="57" t="str">
        <f t="shared" si="34"/>
        <v/>
      </c>
      <c r="GJ36" s="57" t="str">
        <f t="shared" si="34"/>
        <v/>
      </c>
      <c r="GK36" s="57" t="str">
        <f t="shared" si="34"/>
        <v/>
      </c>
      <c r="GL36" s="57" t="str">
        <f t="shared" si="34"/>
        <v/>
      </c>
      <c r="GM36" s="57" t="str">
        <f t="shared" si="34"/>
        <v/>
      </c>
      <c r="GN36" s="57" t="str">
        <f t="shared" si="34"/>
        <v/>
      </c>
      <c r="GO36" s="57" t="str">
        <f t="shared" si="34"/>
        <v/>
      </c>
      <c r="GP36" s="57" t="str">
        <f t="shared" si="34"/>
        <v/>
      </c>
      <c r="GQ36" s="57" t="str">
        <f t="shared" si="34"/>
        <v/>
      </c>
      <c r="GR36" s="57" t="str">
        <f t="shared" si="34"/>
        <v/>
      </c>
      <c r="GS36" s="57" t="str">
        <f t="shared" si="34"/>
        <v/>
      </c>
      <c r="GT36" s="57" t="str">
        <f t="shared" si="34"/>
        <v/>
      </c>
      <c r="GU36" s="57" t="str">
        <f t="shared" si="34"/>
        <v/>
      </c>
      <c r="GV36" s="57" t="str">
        <f t="shared" si="34"/>
        <v/>
      </c>
      <c r="GW36" s="57" t="str">
        <f t="shared" si="34"/>
        <v/>
      </c>
      <c r="GX36" s="57" t="str">
        <f t="shared" si="34"/>
        <v/>
      </c>
      <c r="GY36" s="57" t="str">
        <f t="shared" si="34"/>
        <v/>
      </c>
      <c r="GZ36" s="57" t="str">
        <f t="shared" si="34"/>
        <v/>
      </c>
      <c r="HA36" s="57" t="str">
        <f t="shared" si="34"/>
        <v/>
      </c>
      <c r="HB36" s="57" t="str">
        <f t="shared" si="34"/>
        <v/>
      </c>
      <c r="HC36" s="57" t="str">
        <f t="shared" si="34"/>
        <v/>
      </c>
      <c r="HD36" s="57" t="str">
        <f t="shared" si="34"/>
        <v/>
      </c>
      <c r="HE36" s="57" t="str">
        <f t="shared" si="34"/>
        <v/>
      </c>
      <c r="HF36" s="57" t="str">
        <f t="shared" si="34"/>
        <v/>
      </c>
      <c r="HG36" s="57" t="str">
        <f t="shared" si="34"/>
        <v/>
      </c>
      <c r="HH36" s="57" t="str">
        <f t="shared" si="34"/>
        <v/>
      </c>
      <c r="HI36" s="57" t="str">
        <f t="shared" si="34"/>
        <v/>
      </c>
      <c r="HJ36" s="57" t="str">
        <f t="shared" si="34"/>
        <v/>
      </c>
      <c r="HK36" s="57" t="str">
        <f t="shared" si="34"/>
        <v/>
      </c>
      <c r="HL36" s="57" t="str">
        <f t="shared" si="34"/>
        <v/>
      </c>
      <c r="HM36" s="57" t="str">
        <f t="shared" si="34"/>
        <v/>
      </c>
      <c r="HN36" s="57" t="str">
        <f t="shared" si="34"/>
        <v/>
      </c>
      <c r="HO36" s="57" t="str">
        <f t="shared" si="35"/>
        <v/>
      </c>
      <c r="HP36" s="57" t="str">
        <f t="shared" si="35"/>
        <v/>
      </c>
      <c r="HQ36" s="57" t="str">
        <f t="shared" si="35"/>
        <v/>
      </c>
      <c r="HR36" s="123" t="str">
        <f t="shared" si="35"/>
        <v/>
      </c>
    </row>
    <row r="37" spans="1:226" ht="11.15" customHeight="1" x14ac:dyDescent="0.25">
      <c r="A37" s="32"/>
      <c r="B37" s="33"/>
      <c r="C37" s="34" t="str">
        <f>IF(A37=0,"",VLOOKUP(A37,[3]CO!$A$3:$F$5311,2,0))</f>
        <v/>
      </c>
      <c r="D37" s="35"/>
      <c r="E37" s="35"/>
      <c r="F37" s="35"/>
      <c r="G37" s="36" t="str">
        <f>IF(A37=0,"",VLOOKUP(A37,[3]CO!$A$3:$F$5311,3,0))</f>
        <v/>
      </c>
      <c r="H37" s="102"/>
      <c r="I37" s="37"/>
      <c r="J37" s="37"/>
      <c r="K37" s="37"/>
      <c r="L37" s="37"/>
      <c r="M37" s="38" t="str">
        <f t="shared" si="36"/>
        <v/>
      </c>
      <c r="N37" s="38" t="str">
        <f>IF(B37=0,"",IF(H37="M",HLOOKUP(B37,$Y$12:$DT$13,2),IF(A37=0,"",VLOOKUP(A37,[3]CO!$A$3:$F$5311,4,0))))</f>
        <v/>
      </c>
      <c r="O37" s="38" t="str">
        <f t="shared" si="11"/>
        <v/>
      </c>
      <c r="P37" s="39"/>
      <c r="Q37" s="40" t="str">
        <f t="shared" si="29"/>
        <v/>
      </c>
      <c r="R37" s="41" t="str">
        <f t="shared" ref="R37:R42" si="37"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RESIDENTE"),VLOOKUP(B37,P$14:Q$54,2),"")*S37)</f>
        <v/>
      </c>
      <c r="S37" s="105"/>
      <c r="T37" s="60" t="str">
        <f>IF(A37=0,"",VLOOKUP(A37,[3]CO!$A$3:$F$5302,5,0))</f>
        <v/>
      </c>
      <c r="U37" s="61">
        <f t="shared" si="12"/>
        <v>0</v>
      </c>
      <c r="V37" s="30"/>
      <c r="W37" s="31"/>
      <c r="X37" s="31"/>
      <c r="Y37" s="71" t="str">
        <f t="shared" si="30"/>
        <v/>
      </c>
      <c r="Z37" s="62" t="str">
        <f t="shared" si="30"/>
        <v/>
      </c>
      <c r="AA37" s="62" t="str">
        <f t="shared" si="30"/>
        <v/>
      </c>
      <c r="AB37" s="62" t="str">
        <f t="shared" si="30"/>
        <v/>
      </c>
      <c r="AC37" s="62" t="str">
        <f t="shared" si="30"/>
        <v/>
      </c>
      <c r="AD37" s="62" t="str">
        <f t="shared" si="30"/>
        <v/>
      </c>
      <c r="AE37" s="62" t="str">
        <f t="shared" si="30"/>
        <v/>
      </c>
      <c r="AF37" s="62" t="str">
        <f t="shared" si="30"/>
        <v/>
      </c>
      <c r="AG37" s="62" t="str">
        <f t="shared" si="30"/>
        <v/>
      </c>
      <c r="AH37" s="62" t="str">
        <f t="shared" si="30"/>
        <v/>
      </c>
      <c r="AI37" s="62" t="str">
        <f t="shared" si="30"/>
        <v/>
      </c>
      <c r="AJ37" s="62" t="str">
        <f t="shared" si="30"/>
        <v/>
      </c>
      <c r="AK37" s="62" t="str">
        <f t="shared" si="30"/>
        <v/>
      </c>
      <c r="AL37" s="62" t="str">
        <f t="shared" si="30"/>
        <v/>
      </c>
      <c r="AM37" s="62" t="str">
        <f t="shared" si="30"/>
        <v/>
      </c>
      <c r="AN37" s="62" t="str">
        <f t="shared" si="30"/>
        <v/>
      </c>
      <c r="AO37" s="62" t="str">
        <f t="shared" si="31"/>
        <v/>
      </c>
      <c r="AP37" s="62" t="str">
        <f t="shared" si="31"/>
        <v/>
      </c>
      <c r="AQ37" s="62" t="str">
        <f t="shared" si="31"/>
        <v/>
      </c>
      <c r="AR37" s="62" t="str">
        <f t="shared" si="31"/>
        <v/>
      </c>
      <c r="AS37" s="62" t="str">
        <f t="shared" si="31"/>
        <v/>
      </c>
      <c r="AT37" s="62" t="str">
        <f t="shared" si="31"/>
        <v/>
      </c>
      <c r="AU37" s="62" t="str">
        <f t="shared" si="31"/>
        <v/>
      </c>
      <c r="AV37" s="62" t="str">
        <f t="shared" si="31"/>
        <v/>
      </c>
      <c r="AW37" s="62" t="str">
        <f t="shared" si="31"/>
        <v/>
      </c>
      <c r="AX37" s="62" t="str">
        <f t="shared" si="31"/>
        <v/>
      </c>
      <c r="AY37" s="62" t="str">
        <f t="shared" si="31"/>
        <v/>
      </c>
      <c r="AZ37" s="62" t="str">
        <f t="shared" si="31"/>
        <v/>
      </c>
      <c r="BA37" s="62" t="str">
        <f t="shared" si="31"/>
        <v/>
      </c>
      <c r="BB37" s="62" t="str">
        <f t="shared" si="31"/>
        <v/>
      </c>
      <c r="BC37" s="62" t="str">
        <f t="shared" si="31"/>
        <v/>
      </c>
      <c r="BD37" s="62" t="str">
        <f t="shared" si="31"/>
        <v/>
      </c>
      <c r="BE37" s="62" t="str">
        <f t="shared" si="31"/>
        <v/>
      </c>
      <c r="BF37" s="62" t="str">
        <f t="shared" si="31"/>
        <v/>
      </c>
      <c r="BG37" s="62" t="str">
        <f t="shared" si="31"/>
        <v/>
      </c>
      <c r="BH37" s="62" t="str">
        <f t="shared" si="31"/>
        <v/>
      </c>
      <c r="BI37" s="62" t="str">
        <f t="shared" si="31"/>
        <v/>
      </c>
      <c r="BJ37" s="62" t="str">
        <f t="shared" si="31"/>
        <v/>
      </c>
      <c r="BK37" s="62" t="str">
        <f t="shared" si="31"/>
        <v/>
      </c>
      <c r="BL37" s="62" t="str">
        <f t="shared" si="31"/>
        <v/>
      </c>
      <c r="BM37" s="62" t="str">
        <f t="shared" si="31"/>
        <v/>
      </c>
      <c r="BN37" s="62" t="str">
        <f t="shared" si="31"/>
        <v/>
      </c>
      <c r="BO37" s="62" t="str">
        <f t="shared" si="31"/>
        <v/>
      </c>
      <c r="BP37" s="62" t="str">
        <f t="shared" si="31"/>
        <v/>
      </c>
      <c r="BQ37" s="62" t="str">
        <f t="shared" si="31"/>
        <v/>
      </c>
      <c r="BR37" s="62" t="str">
        <f t="shared" si="31"/>
        <v/>
      </c>
      <c r="BS37" s="62" t="str">
        <f t="shared" si="31"/>
        <v/>
      </c>
      <c r="BT37" s="62" t="str">
        <f t="shared" si="31"/>
        <v/>
      </c>
      <c r="BU37" s="62" t="str">
        <f t="shared" si="31"/>
        <v/>
      </c>
      <c r="BV37" s="62" t="str">
        <f t="shared" si="31"/>
        <v/>
      </c>
      <c r="BW37" s="62" t="str">
        <f t="shared" si="31"/>
        <v/>
      </c>
      <c r="BX37" s="62" t="str">
        <f t="shared" si="31"/>
        <v/>
      </c>
      <c r="BY37" s="62" t="str">
        <f t="shared" si="31"/>
        <v/>
      </c>
      <c r="BZ37" s="62" t="str">
        <f t="shared" si="31"/>
        <v/>
      </c>
      <c r="CA37" s="62" t="str">
        <f t="shared" si="31"/>
        <v/>
      </c>
      <c r="CB37" s="62" t="str">
        <f t="shared" si="31"/>
        <v/>
      </c>
      <c r="CC37" s="62" t="str">
        <f t="shared" si="31"/>
        <v/>
      </c>
      <c r="CD37" s="62" t="str">
        <f t="shared" si="31"/>
        <v/>
      </c>
      <c r="CE37" s="62" t="str">
        <f t="shared" si="31"/>
        <v/>
      </c>
      <c r="CF37" s="62" t="str">
        <f t="shared" si="31"/>
        <v/>
      </c>
      <c r="CG37" s="62" t="str">
        <f t="shared" si="31"/>
        <v/>
      </c>
      <c r="CH37" s="62" t="str">
        <f t="shared" si="31"/>
        <v/>
      </c>
      <c r="CI37" s="62" t="str">
        <f t="shared" si="31"/>
        <v/>
      </c>
      <c r="CJ37" s="62" t="str">
        <f t="shared" si="31"/>
        <v/>
      </c>
      <c r="CK37" s="62" t="str">
        <f t="shared" si="31"/>
        <v/>
      </c>
      <c r="CL37" s="62" t="str">
        <f t="shared" si="31"/>
        <v/>
      </c>
      <c r="CM37" s="62" t="str">
        <f t="shared" si="31"/>
        <v/>
      </c>
      <c r="CN37" s="62" t="str">
        <f t="shared" si="31"/>
        <v/>
      </c>
      <c r="CO37" s="62" t="str">
        <f t="shared" si="31"/>
        <v/>
      </c>
      <c r="CP37" s="62" t="str">
        <f t="shared" si="31"/>
        <v/>
      </c>
      <c r="CQ37" s="62" t="str">
        <f t="shared" si="31"/>
        <v/>
      </c>
      <c r="CR37" s="62" t="str">
        <f t="shared" si="31"/>
        <v/>
      </c>
      <c r="CS37" s="62" t="str">
        <f t="shared" si="31"/>
        <v/>
      </c>
      <c r="CT37" s="62" t="str">
        <f t="shared" si="31"/>
        <v/>
      </c>
      <c r="CU37" s="62" t="str">
        <f t="shared" si="31"/>
        <v/>
      </c>
      <c r="CV37" s="62" t="str">
        <f t="shared" si="31"/>
        <v/>
      </c>
      <c r="CW37" s="62" t="str">
        <f t="shared" si="31"/>
        <v/>
      </c>
      <c r="CX37" s="62" t="str">
        <f t="shared" si="31"/>
        <v/>
      </c>
      <c r="CY37" s="62" t="str">
        <f t="shared" si="31"/>
        <v/>
      </c>
      <c r="CZ37" s="62" t="str">
        <f t="shared" si="31"/>
        <v/>
      </c>
      <c r="DA37" s="62" t="str">
        <f t="shared" si="32"/>
        <v/>
      </c>
      <c r="DB37" s="62" t="str">
        <f t="shared" si="32"/>
        <v/>
      </c>
      <c r="DC37" s="62" t="str">
        <f t="shared" si="32"/>
        <v/>
      </c>
      <c r="DD37" s="62" t="str">
        <f t="shared" si="32"/>
        <v/>
      </c>
      <c r="DE37" s="62" t="str">
        <f t="shared" si="32"/>
        <v/>
      </c>
      <c r="DF37" s="62" t="str">
        <f t="shared" si="32"/>
        <v/>
      </c>
      <c r="DG37" s="62" t="str">
        <f t="shared" si="32"/>
        <v/>
      </c>
      <c r="DH37" s="62" t="str">
        <f t="shared" si="32"/>
        <v/>
      </c>
      <c r="DI37" s="62" t="str">
        <f t="shared" si="32"/>
        <v/>
      </c>
      <c r="DJ37" s="62" t="str">
        <f t="shared" si="32"/>
        <v/>
      </c>
      <c r="DK37" s="62" t="str">
        <f t="shared" si="32"/>
        <v/>
      </c>
      <c r="DL37" s="62" t="str">
        <f t="shared" si="32"/>
        <v/>
      </c>
      <c r="DM37" s="62" t="str">
        <f t="shared" si="32"/>
        <v/>
      </c>
      <c r="DN37" s="62" t="str">
        <f t="shared" si="32"/>
        <v/>
      </c>
      <c r="DO37" s="62" t="str">
        <f t="shared" si="32"/>
        <v/>
      </c>
      <c r="DP37" s="62" t="str">
        <f t="shared" si="32"/>
        <v/>
      </c>
      <c r="DQ37" s="62" t="str">
        <f t="shared" si="32"/>
        <v/>
      </c>
      <c r="DR37" s="62" t="str">
        <f t="shared" si="32"/>
        <v/>
      </c>
      <c r="DS37" s="62" t="str">
        <f t="shared" si="32"/>
        <v/>
      </c>
      <c r="DT37" s="117" t="str">
        <f t="shared" si="32"/>
        <v/>
      </c>
      <c r="DU37" s="61"/>
      <c r="DV37" s="31"/>
      <c r="DW37" s="68" t="str">
        <f t="shared" si="33"/>
        <v/>
      </c>
      <c r="DX37" s="57" t="str">
        <f t="shared" si="33"/>
        <v/>
      </c>
      <c r="DY37" s="57" t="str">
        <f t="shared" si="33"/>
        <v/>
      </c>
      <c r="DZ37" s="57" t="str">
        <f t="shared" si="33"/>
        <v/>
      </c>
      <c r="EA37" s="57" t="str">
        <f t="shared" si="33"/>
        <v/>
      </c>
      <c r="EB37" s="57" t="str">
        <f t="shared" si="33"/>
        <v/>
      </c>
      <c r="EC37" s="57" t="str">
        <f t="shared" si="33"/>
        <v/>
      </c>
      <c r="ED37" s="57" t="str">
        <f t="shared" si="33"/>
        <v/>
      </c>
      <c r="EE37" s="57" t="str">
        <f t="shared" si="33"/>
        <v/>
      </c>
      <c r="EF37" s="57" t="str">
        <f t="shared" si="33"/>
        <v/>
      </c>
      <c r="EG37" s="57" t="str">
        <f t="shared" si="33"/>
        <v/>
      </c>
      <c r="EH37" s="57" t="str">
        <f t="shared" si="33"/>
        <v/>
      </c>
      <c r="EI37" s="57" t="str">
        <f t="shared" si="33"/>
        <v/>
      </c>
      <c r="EJ37" s="57" t="str">
        <f t="shared" si="33"/>
        <v/>
      </c>
      <c r="EK37" s="57" t="str">
        <f t="shared" si="33"/>
        <v/>
      </c>
      <c r="EL37" s="57" t="str">
        <f t="shared" si="33"/>
        <v/>
      </c>
      <c r="EM37" s="57" t="str">
        <f t="shared" si="33"/>
        <v/>
      </c>
      <c r="EN37" s="57" t="str">
        <f t="shared" si="33"/>
        <v/>
      </c>
      <c r="EO37" s="57" t="str">
        <f t="shared" si="33"/>
        <v/>
      </c>
      <c r="EP37" s="57" t="str">
        <f t="shared" si="33"/>
        <v/>
      </c>
      <c r="EQ37" s="57" t="str">
        <f t="shared" si="33"/>
        <v/>
      </c>
      <c r="ER37" s="57" t="str">
        <f t="shared" si="33"/>
        <v/>
      </c>
      <c r="ES37" s="57" t="str">
        <f t="shared" si="33"/>
        <v/>
      </c>
      <c r="ET37" s="57" t="str">
        <f t="shared" si="33"/>
        <v/>
      </c>
      <c r="EU37" s="57" t="str">
        <f t="shared" si="33"/>
        <v/>
      </c>
      <c r="EV37" s="57" t="str">
        <f t="shared" si="33"/>
        <v/>
      </c>
      <c r="EW37" s="57" t="str">
        <f t="shared" si="33"/>
        <v/>
      </c>
      <c r="EX37" s="57" t="str">
        <f t="shared" si="33"/>
        <v/>
      </c>
      <c r="EY37" s="57" t="str">
        <f t="shared" si="33"/>
        <v/>
      </c>
      <c r="EZ37" s="57" t="str">
        <f t="shared" si="33"/>
        <v/>
      </c>
      <c r="FA37" s="57" t="str">
        <f t="shared" si="33"/>
        <v/>
      </c>
      <c r="FB37" s="57" t="str">
        <f t="shared" si="33"/>
        <v/>
      </c>
      <c r="FC37" s="57" t="str">
        <f t="shared" si="34"/>
        <v/>
      </c>
      <c r="FD37" s="57" t="str">
        <f t="shared" si="34"/>
        <v/>
      </c>
      <c r="FE37" s="57" t="str">
        <f t="shared" si="34"/>
        <v/>
      </c>
      <c r="FF37" s="57" t="str">
        <f t="shared" si="34"/>
        <v/>
      </c>
      <c r="FG37" s="57" t="str">
        <f t="shared" si="34"/>
        <v/>
      </c>
      <c r="FH37" s="57" t="str">
        <f t="shared" si="34"/>
        <v/>
      </c>
      <c r="FI37" s="57" t="str">
        <f t="shared" si="34"/>
        <v/>
      </c>
      <c r="FJ37" s="57" t="str">
        <f t="shared" si="34"/>
        <v/>
      </c>
      <c r="FK37" s="57" t="str">
        <f t="shared" si="34"/>
        <v/>
      </c>
      <c r="FL37" s="57" t="str">
        <f t="shared" si="34"/>
        <v/>
      </c>
      <c r="FM37" s="57" t="str">
        <f t="shared" si="34"/>
        <v/>
      </c>
      <c r="FN37" s="57" t="str">
        <f t="shared" si="34"/>
        <v/>
      </c>
      <c r="FO37" s="57" t="str">
        <f t="shared" si="34"/>
        <v/>
      </c>
      <c r="FP37" s="57" t="str">
        <f t="shared" si="34"/>
        <v/>
      </c>
      <c r="FQ37" s="57" t="str">
        <f t="shared" si="34"/>
        <v/>
      </c>
      <c r="FR37" s="57" t="str">
        <f t="shared" si="34"/>
        <v/>
      </c>
      <c r="FS37" s="57" t="str">
        <f t="shared" si="34"/>
        <v/>
      </c>
      <c r="FT37" s="57" t="str">
        <f t="shared" si="34"/>
        <v/>
      </c>
      <c r="FU37" s="57" t="str">
        <f t="shared" si="34"/>
        <v/>
      </c>
      <c r="FV37" s="57" t="str">
        <f t="shared" si="34"/>
        <v/>
      </c>
      <c r="FW37" s="57" t="str">
        <f t="shared" si="34"/>
        <v/>
      </c>
      <c r="FX37" s="57" t="str">
        <f t="shared" si="34"/>
        <v/>
      </c>
      <c r="FY37" s="57" t="str">
        <f t="shared" si="34"/>
        <v/>
      </c>
      <c r="FZ37" s="57" t="str">
        <f t="shared" si="34"/>
        <v/>
      </c>
      <c r="GA37" s="57" t="str">
        <f t="shared" si="34"/>
        <v/>
      </c>
      <c r="GB37" s="57" t="str">
        <f t="shared" si="34"/>
        <v/>
      </c>
      <c r="GC37" s="57" t="str">
        <f t="shared" si="34"/>
        <v/>
      </c>
      <c r="GD37" s="57" t="str">
        <f t="shared" si="34"/>
        <v/>
      </c>
      <c r="GE37" s="57" t="str">
        <f t="shared" si="34"/>
        <v/>
      </c>
      <c r="GF37" s="57" t="str">
        <f t="shared" si="34"/>
        <v/>
      </c>
      <c r="GG37" s="57" t="str">
        <f t="shared" si="34"/>
        <v/>
      </c>
      <c r="GH37" s="57" t="str">
        <f t="shared" si="34"/>
        <v/>
      </c>
      <c r="GI37" s="57" t="str">
        <f t="shared" si="34"/>
        <v/>
      </c>
      <c r="GJ37" s="57" t="str">
        <f t="shared" si="34"/>
        <v/>
      </c>
      <c r="GK37" s="57" t="str">
        <f t="shared" si="34"/>
        <v/>
      </c>
      <c r="GL37" s="57" t="str">
        <f t="shared" si="34"/>
        <v/>
      </c>
      <c r="GM37" s="57" t="str">
        <f t="shared" si="34"/>
        <v/>
      </c>
      <c r="GN37" s="57" t="str">
        <f t="shared" si="34"/>
        <v/>
      </c>
      <c r="GO37" s="57" t="str">
        <f t="shared" si="34"/>
        <v/>
      </c>
      <c r="GP37" s="57" t="str">
        <f t="shared" si="34"/>
        <v/>
      </c>
      <c r="GQ37" s="57" t="str">
        <f t="shared" si="34"/>
        <v/>
      </c>
      <c r="GR37" s="57" t="str">
        <f t="shared" si="34"/>
        <v/>
      </c>
      <c r="GS37" s="57" t="str">
        <f t="shared" si="34"/>
        <v/>
      </c>
      <c r="GT37" s="57" t="str">
        <f t="shared" si="34"/>
        <v/>
      </c>
      <c r="GU37" s="57" t="str">
        <f t="shared" si="34"/>
        <v/>
      </c>
      <c r="GV37" s="57" t="str">
        <f t="shared" si="34"/>
        <v/>
      </c>
      <c r="GW37" s="57" t="str">
        <f t="shared" si="34"/>
        <v/>
      </c>
      <c r="GX37" s="57" t="str">
        <f t="shared" si="34"/>
        <v/>
      </c>
      <c r="GY37" s="57" t="str">
        <f t="shared" si="34"/>
        <v/>
      </c>
      <c r="GZ37" s="57" t="str">
        <f t="shared" si="34"/>
        <v/>
      </c>
      <c r="HA37" s="57" t="str">
        <f t="shared" si="34"/>
        <v/>
      </c>
      <c r="HB37" s="57" t="str">
        <f t="shared" si="34"/>
        <v/>
      </c>
      <c r="HC37" s="57" t="str">
        <f t="shared" si="34"/>
        <v/>
      </c>
      <c r="HD37" s="57" t="str">
        <f t="shared" si="34"/>
        <v/>
      </c>
      <c r="HE37" s="57" t="str">
        <f t="shared" si="34"/>
        <v/>
      </c>
      <c r="HF37" s="57" t="str">
        <f t="shared" si="34"/>
        <v/>
      </c>
      <c r="HG37" s="57" t="str">
        <f t="shared" si="34"/>
        <v/>
      </c>
      <c r="HH37" s="57" t="str">
        <f t="shared" si="34"/>
        <v/>
      </c>
      <c r="HI37" s="57" t="str">
        <f t="shared" si="34"/>
        <v/>
      </c>
      <c r="HJ37" s="57" t="str">
        <f t="shared" si="34"/>
        <v/>
      </c>
      <c r="HK37" s="57" t="str">
        <f t="shared" si="34"/>
        <v/>
      </c>
      <c r="HL37" s="57" t="str">
        <f t="shared" si="34"/>
        <v/>
      </c>
      <c r="HM37" s="57" t="str">
        <f t="shared" si="34"/>
        <v/>
      </c>
      <c r="HN37" s="57" t="str">
        <f t="shared" si="34"/>
        <v/>
      </c>
      <c r="HO37" s="57" t="str">
        <f t="shared" si="35"/>
        <v/>
      </c>
      <c r="HP37" s="57" t="str">
        <f t="shared" si="35"/>
        <v/>
      </c>
      <c r="HQ37" s="57" t="str">
        <f t="shared" si="35"/>
        <v/>
      </c>
      <c r="HR37" s="123" t="str">
        <f t="shared" si="35"/>
        <v/>
      </c>
    </row>
    <row r="38" spans="1:226" ht="11.15" customHeight="1" x14ac:dyDescent="0.25">
      <c r="A38" s="32"/>
      <c r="B38" s="33"/>
      <c r="C38" s="34" t="str">
        <f>IF(A38=0,"",VLOOKUP(A38,[3]CO!$A$3:$F$5311,2,0))</f>
        <v/>
      </c>
      <c r="D38" s="35"/>
      <c r="E38" s="35"/>
      <c r="F38" s="35"/>
      <c r="G38" s="36" t="str">
        <f>IF(A38=0,"",VLOOKUP(A38,[3]CO!$A$3:$F$5311,3,0))</f>
        <v/>
      </c>
      <c r="H38" s="102"/>
      <c r="I38" s="37"/>
      <c r="J38" s="37"/>
      <c r="K38" s="37"/>
      <c r="L38" s="37"/>
      <c r="M38" s="38" t="str">
        <f t="shared" si="36"/>
        <v/>
      </c>
      <c r="N38" s="38" t="str">
        <f>IF(B38=0,"",IF(H38="M",HLOOKUP(B38,$Y$12:$DT$13,2),IF(A38=0,"",VLOOKUP(A38,[3]CO!$A$3:$F$5311,4,0))))</f>
        <v/>
      </c>
      <c r="O38" s="38" t="str">
        <f t="shared" si="11"/>
        <v/>
      </c>
      <c r="P38" s="39"/>
      <c r="Q38" s="40" t="str">
        <f t="shared" si="29"/>
        <v/>
      </c>
      <c r="R38" s="41" t="str">
        <f t="shared" si="37"/>
        <v/>
      </c>
      <c r="S38" s="105"/>
      <c r="T38" s="60" t="str">
        <f>IF(A38=0,"",VLOOKUP(A38,[3]CO!$A$3:$F$5302,5,0))</f>
        <v/>
      </c>
      <c r="U38" s="61">
        <f t="shared" si="12"/>
        <v>0</v>
      </c>
      <c r="V38" s="30"/>
      <c r="W38" s="31"/>
      <c r="X38" s="31"/>
      <c r="Y38" s="71" t="str">
        <f t="shared" si="30"/>
        <v/>
      </c>
      <c r="Z38" s="62" t="str">
        <f t="shared" si="30"/>
        <v/>
      </c>
      <c r="AA38" s="62" t="str">
        <f t="shared" si="30"/>
        <v/>
      </c>
      <c r="AB38" s="62" t="str">
        <f t="shared" si="30"/>
        <v/>
      </c>
      <c r="AC38" s="62" t="str">
        <f t="shared" si="30"/>
        <v/>
      </c>
      <c r="AD38" s="62" t="str">
        <f t="shared" si="30"/>
        <v/>
      </c>
      <c r="AE38" s="62" t="str">
        <f t="shared" si="30"/>
        <v/>
      </c>
      <c r="AF38" s="62" t="str">
        <f t="shared" si="30"/>
        <v/>
      </c>
      <c r="AG38" s="62" t="str">
        <f t="shared" si="30"/>
        <v/>
      </c>
      <c r="AH38" s="62" t="str">
        <f t="shared" si="30"/>
        <v/>
      </c>
      <c r="AI38" s="62" t="str">
        <f t="shared" si="30"/>
        <v/>
      </c>
      <c r="AJ38" s="62" t="str">
        <f t="shared" si="30"/>
        <v/>
      </c>
      <c r="AK38" s="62" t="str">
        <f t="shared" si="30"/>
        <v/>
      </c>
      <c r="AL38" s="62" t="str">
        <f t="shared" si="30"/>
        <v/>
      </c>
      <c r="AM38" s="62" t="str">
        <f t="shared" si="30"/>
        <v/>
      </c>
      <c r="AN38" s="62" t="str">
        <f t="shared" si="30"/>
        <v/>
      </c>
      <c r="AO38" s="62" t="str">
        <f t="shared" si="31"/>
        <v/>
      </c>
      <c r="AP38" s="62" t="str">
        <f t="shared" si="31"/>
        <v/>
      </c>
      <c r="AQ38" s="62" t="str">
        <f t="shared" si="31"/>
        <v/>
      </c>
      <c r="AR38" s="62" t="str">
        <f t="shared" si="31"/>
        <v/>
      </c>
      <c r="AS38" s="62" t="str">
        <f t="shared" si="31"/>
        <v/>
      </c>
      <c r="AT38" s="62" t="str">
        <f t="shared" si="31"/>
        <v/>
      </c>
      <c r="AU38" s="62" t="str">
        <f t="shared" si="31"/>
        <v/>
      </c>
      <c r="AV38" s="62" t="str">
        <f t="shared" si="31"/>
        <v/>
      </c>
      <c r="AW38" s="62" t="str">
        <f t="shared" si="31"/>
        <v/>
      </c>
      <c r="AX38" s="62" t="str">
        <f t="shared" si="31"/>
        <v/>
      </c>
      <c r="AY38" s="62" t="str">
        <f t="shared" si="31"/>
        <v/>
      </c>
      <c r="AZ38" s="62" t="str">
        <f t="shared" si="31"/>
        <v/>
      </c>
      <c r="BA38" s="62" t="str">
        <f t="shared" si="31"/>
        <v/>
      </c>
      <c r="BB38" s="62" t="str">
        <f t="shared" si="31"/>
        <v/>
      </c>
      <c r="BC38" s="62" t="str">
        <f t="shared" si="31"/>
        <v/>
      </c>
      <c r="BD38" s="62" t="str">
        <f t="shared" si="31"/>
        <v/>
      </c>
      <c r="BE38" s="62" t="str">
        <f t="shared" si="31"/>
        <v/>
      </c>
      <c r="BF38" s="62" t="str">
        <f t="shared" si="31"/>
        <v/>
      </c>
      <c r="BG38" s="62" t="str">
        <f t="shared" si="31"/>
        <v/>
      </c>
      <c r="BH38" s="62" t="str">
        <f t="shared" si="31"/>
        <v/>
      </c>
      <c r="BI38" s="62" t="str">
        <f t="shared" si="31"/>
        <v/>
      </c>
      <c r="BJ38" s="62" t="str">
        <f t="shared" si="31"/>
        <v/>
      </c>
      <c r="BK38" s="62" t="str">
        <f t="shared" si="31"/>
        <v/>
      </c>
      <c r="BL38" s="62" t="str">
        <f t="shared" si="31"/>
        <v/>
      </c>
      <c r="BM38" s="62" t="str">
        <f t="shared" si="31"/>
        <v/>
      </c>
      <c r="BN38" s="62" t="str">
        <f t="shared" si="31"/>
        <v/>
      </c>
      <c r="BO38" s="62" t="str">
        <f t="shared" si="31"/>
        <v/>
      </c>
      <c r="BP38" s="62" t="str">
        <f t="shared" si="31"/>
        <v/>
      </c>
      <c r="BQ38" s="62" t="str">
        <f t="shared" si="31"/>
        <v/>
      </c>
      <c r="BR38" s="62" t="str">
        <f t="shared" si="31"/>
        <v/>
      </c>
      <c r="BS38" s="62" t="str">
        <f t="shared" si="31"/>
        <v/>
      </c>
      <c r="BT38" s="62" t="str">
        <f t="shared" si="31"/>
        <v/>
      </c>
      <c r="BU38" s="62" t="str">
        <f t="shared" si="31"/>
        <v/>
      </c>
      <c r="BV38" s="62" t="str">
        <f t="shared" si="31"/>
        <v/>
      </c>
      <c r="BW38" s="62" t="str">
        <f t="shared" si="31"/>
        <v/>
      </c>
      <c r="BX38" s="62" t="str">
        <f t="shared" si="31"/>
        <v/>
      </c>
      <c r="BY38" s="62" t="str">
        <f t="shared" si="31"/>
        <v/>
      </c>
      <c r="BZ38" s="62" t="str">
        <f t="shared" si="31"/>
        <v/>
      </c>
      <c r="CA38" s="62" t="str">
        <f t="shared" si="31"/>
        <v/>
      </c>
      <c r="CB38" s="62" t="str">
        <f t="shared" si="31"/>
        <v/>
      </c>
      <c r="CC38" s="62" t="str">
        <f t="shared" si="31"/>
        <v/>
      </c>
      <c r="CD38" s="62" t="str">
        <f t="shared" si="31"/>
        <v/>
      </c>
      <c r="CE38" s="62" t="str">
        <f t="shared" si="31"/>
        <v/>
      </c>
      <c r="CF38" s="62" t="str">
        <f t="shared" si="31"/>
        <v/>
      </c>
      <c r="CG38" s="62" t="str">
        <f t="shared" si="31"/>
        <v/>
      </c>
      <c r="CH38" s="62" t="str">
        <f t="shared" si="31"/>
        <v/>
      </c>
      <c r="CI38" s="62" t="str">
        <f t="shared" si="31"/>
        <v/>
      </c>
      <c r="CJ38" s="62" t="str">
        <f t="shared" si="31"/>
        <v/>
      </c>
      <c r="CK38" s="62" t="str">
        <f t="shared" si="31"/>
        <v/>
      </c>
      <c r="CL38" s="62" t="str">
        <f t="shared" si="31"/>
        <v/>
      </c>
      <c r="CM38" s="62" t="str">
        <f t="shared" si="31"/>
        <v/>
      </c>
      <c r="CN38" s="62" t="str">
        <f t="shared" si="31"/>
        <v/>
      </c>
      <c r="CO38" s="62" t="str">
        <f t="shared" si="31"/>
        <v/>
      </c>
      <c r="CP38" s="62" t="str">
        <f t="shared" si="31"/>
        <v/>
      </c>
      <c r="CQ38" s="62" t="str">
        <f t="shared" si="31"/>
        <v/>
      </c>
      <c r="CR38" s="62" t="str">
        <f t="shared" si="31"/>
        <v/>
      </c>
      <c r="CS38" s="62" t="str">
        <f t="shared" si="31"/>
        <v/>
      </c>
      <c r="CT38" s="62" t="str">
        <f t="shared" si="31"/>
        <v/>
      </c>
      <c r="CU38" s="62" t="str">
        <f t="shared" si="31"/>
        <v/>
      </c>
      <c r="CV38" s="62" t="str">
        <f t="shared" si="31"/>
        <v/>
      </c>
      <c r="CW38" s="62" t="str">
        <f t="shared" si="31"/>
        <v/>
      </c>
      <c r="CX38" s="62" t="str">
        <f t="shared" si="31"/>
        <v/>
      </c>
      <c r="CY38" s="62" t="str">
        <f t="shared" si="31"/>
        <v/>
      </c>
      <c r="CZ38" s="62" t="str">
        <f t="shared" ref="CZ38:DD38" si="38">IF($B38=CZ$12,$U38,"")</f>
        <v/>
      </c>
      <c r="DA38" s="62" t="str">
        <f t="shared" si="38"/>
        <v/>
      </c>
      <c r="DB38" s="62" t="str">
        <f t="shared" si="38"/>
        <v/>
      </c>
      <c r="DC38" s="62" t="str">
        <f t="shared" si="38"/>
        <v/>
      </c>
      <c r="DD38" s="62" t="str">
        <f t="shared" si="38"/>
        <v/>
      </c>
      <c r="DE38" s="62" t="str">
        <f t="shared" si="32"/>
        <v/>
      </c>
      <c r="DF38" s="62" t="str">
        <f t="shared" si="32"/>
        <v/>
      </c>
      <c r="DG38" s="62" t="str">
        <f t="shared" si="32"/>
        <v/>
      </c>
      <c r="DH38" s="62" t="str">
        <f t="shared" si="32"/>
        <v/>
      </c>
      <c r="DI38" s="62" t="str">
        <f t="shared" si="32"/>
        <v/>
      </c>
      <c r="DJ38" s="62" t="str">
        <f t="shared" si="32"/>
        <v/>
      </c>
      <c r="DK38" s="62" t="str">
        <f t="shared" si="32"/>
        <v/>
      </c>
      <c r="DL38" s="62" t="str">
        <f t="shared" si="32"/>
        <v/>
      </c>
      <c r="DM38" s="62" t="str">
        <f t="shared" si="32"/>
        <v/>
      </c>
      <c r="DN38" s="62" t="str">
        <f t="shared" si="32"/>
        <v/>
      </c>
      <c r="DO38" s="62" t="str">
        <f t="shared" si="32"/>
        <v/>
      </c>
      <c r="DP38" s="62" t="str">
        <f t="shared" si="32"/>
        <v/>
      </c>
      <c r="DQ38" s="62" t="str">
        <f t="shared" si="32"/>
        <v/>
      </c>
      <c r="DR38" s="62" t="str">
        <f t="shared" si="32"/>
        <v/>
      </c>
      <c r="DS38" s="62" t="str">
        <f t="shared" si="32"/>
        <v/>
      </c>
      <c r="DT38" s="117" t="str">
        <f t="shared" si="32"/>
        <v/>
      </c>
      <c r="DU38" s="61"/>
      <c r="DV38" s="31"/>
      <c r="DW38" s="68" t="str">
        <f t="shared" si="33"/>
        <v/>
      </c>
      <c r="DX38" s="57" t="str">
        <f t="shared" si="33"/>
        <v/>
      </c>
      <c r="DY38" s="57" t="str">
        <f t="shared" si="33"/>
        <v/>
      </c>
      <c r="DZ38" s="57" t="str">
        <f t="shared" si="33"/>
        <v/>
      </c>
      <c r="EA38" s="57" t="str">
        <f t="shared" si="33"/>
        <v/>
      </c>
      <c r="EB38" s="57" t="str">
        <f t="shared" si="33"/>
        <v/>
      </c>
      <c r="EC38" s="57" t="str">
        <f t="shared" si="33"/>
        <v/>
      </c>
      <c r="ED38" s="57" t="str">
        <f t="shared" si="33"/>
        <v/>
      </c>
      <c r="EE38" s="57" t="str">
        <f t="shared" si="33"/>
        <v/>
      </c>
      <c r="EF38" s="57" t="str">
        <f t="shared" si="33"/>
        <v/>
      </c>
      <c r="EG38" s="57" t="str">
        <f t="shared" si="33"/>
        <v/>
      </c>
      <c r="EH38" s="57" t="str">
        <f t="shared" si="33"/>
        <v/>
      </c>
      <c r="EI38" s="57" t="str">
        <f t="shared" si="33"/>
        <v/>
      </c>
      <c r="EJ38" s="57" t="str">
        <f t="shared" si="33"/>
        <v/>
      </c>
      <c r="EK38" s="57" t="str">
        <f t="shared" si="33"/>
        <v/>
      </c>
      <c r="EL38" s="57" t="str">
        <f t="shared" si="33"/>
        <v/>
      </c>
      <c r="EM38" s="57" t="str">
        <f t="shared" si="33"/>
        <v/>
      </c>
      <c r="EN38" s="57" t="str">
        <f t="shared" si="33"/>
        <v/>
      </c>
      <c r="EO38" s="57" t="str">
        <f t="shared" si="33"/>
        <v/>
      </c>
      <c r="EP38" s="57" t="str">
        <f t="shared" si="33"/>
        <v/>
      </c>
      <c r="EQ38" s="57" t="str">
        <f t="shared" si="33"/>
        <v/>
      </c>
      <c r="ER38" s="57" t="str">
        <f t="shared" si="33"/>
        <v/>
      </c>
      <c r="ES38" s="57" t="str">
        <f t="shared" si="33"/>
        <v/>
      </c>
      <c r="ET38" s="57" t="str">
        <f t="shared" si="33"/>
        <v/>
      </c>
      <c r="EU38" s="57" t="str">
        <f t="shared" si="33"/>
        <v/>
      </c>
      <c r="EV38" s="57" t="str">
        <f t="shared" si="33"/>
        <v/>
      </c>
      <c r="EW38" s="57" t="str">
        <f t="shared" si="33"/>
        <v/>
      </c>
      <c r="EX38" s="57" t="str">
        <f t="shared" si="33"/>
        <v/>
      </c>
      <c r="EY38" s="57" t="str">
        <f t="shared" si="33"/>
        <v/>
      </c>
      <c r="EZ38" s="57" t="str">
        <f t="shared" si="33"/>
        <v/>
      </c>
      <c r="FA38" s="57" t="str">
        <f t="shared" si="33"/>
        <v/>
      </c>
      <c r="FB38" s="57" t="str">
        <f t="shared" si="33"/>
        <v/>
      </c>
      <c r="FC38" s="57" t="str">
        <f t="shared" si="34"/>
        <v/>
      </c>
      <c r="FD38" s="57" t="str">
        <f t="shared" si="34"/>
        <v/>
      </c>
      <c r="FE38" s="57" t="str">
        <f t="shared" si="34"/>
        <v/>
      </c>
      <c r="FF38" s="57" t="str">
        <f t="shared" si="34"/>
        <v/>
      </c>
      <c r="FG38" s="57" t="str">
        <f t="shared" si="34"/>
        <v/>
      </c>
      <c r="FH38" s="57" t="str">
        <f t="shared" si="34"/>
        <v/>
      </c>
      <c r="FI38" s="57" t="str">
        <f t="shared" si="34"/>
        <v/>
      </c>
      <c r="FJ38" s="57" t="str">
        <f t="shared" si="34"/>
        <v/>
      </c>
      <c r="FK38" s="57" t="str">
        <f t="shared" si="34"/>
        <v/>
      </c>
      <c r="FL38" s="57" t="str">
        <f t="shared" si="34"/>
        <v/>
      </c>
      <c r="FM38" s="57" t="str">
        <f t="shared" si="34"/>
        <v/>
      </c>
      <c r="FN38" s="57" t="str">
        <f t="shared" si="34"/>
        <v/>
      </c>
      <c r="FO38" s="57" t="str">
        <f t="shared" si="34"/>
        <v/>
      </c>
      <c r="FP38" s="57" t="str">
        <f t="shared" si="34"/>
        <v/>
      </c>
      <c r="FQ38" s="57" t="str">
        <f t="shared" si="34"/>
        <v/>
      </c>
      <c r="FR38" s="57" t="str">
        <f t="shared" si="34"/>
        <v/>
      </c>
      <c r="FS38" s="57" t="str">
        <f t="shared" si="34"/>
        <v/>
      </c>
      <c r="FT38" s="57" t="str">
        <f t="shared" si="34"/>
        <v/>
      </c>
      <c r="FU38" s="57" t="str">
        <f t="shared" si="34"/>
        <v/>
      </c>
      <c r="FV38" s="57" t="str">
        <f t="shared" si="34"/>
        <v/>
      </c>
      <c r="FW38" s="57" t="str">
        <f t="shared" si="34"/>
        <v/>
      </c>
      <c r="FX38" s="57" t="str">
        <f t="shared" si="34"/>
        <v/>
      </c>
      <c r="FY38" s="57" t="str">
        <f t="shared" si="34"/>
        <v/>
      </c>
      <c r="FZ38" s="57" t="str">
        <f t="shared" si="34"/>
        <v/>
      </c>
      <c r="GA38" s="57" t="str">
        <f t="shared" si="34"/>
        <v/>
      </c>
      <c r="GB38" s="57" t="str">
        <f t="shared" si="34"/>
        <v/>
      </c>
      <c r="GC38" s="57" t="str">
        <f t="shared" si="34"/>
        <v/>
      </c>
      <c r="GD38" s="57" t="str">
        <f t="shared" si="34"/>
        <v/>
      </c>
      <c r="GE38" s="57" t="str">
        <f t="shared" si="34"/>
        <v/>
      </c>
      <c r="GF38" s="57" t="str">
        <f t="shared" si="34"/>
        <v/>
      </c>
      <c r="GG38" s="57" t="str">
        <f t="shared" si="34"/>
        <v/>
      </c>
      <c r="GH38" s="57" t="str">
        <f t="shared" si="34"/>
        <v/>
      </c>
      <c r="GI38" s="57" t="str">
        <f t="shared" si="34"/>
        <v/>
      </c>
      <c r="GJ38" s="57" t="str">
        <f t="shared" si="34"/>
        <v/>
      </c>
      <c r="GK38" s="57" t="str">
        <f t="shared" si="34"/>
        <v/>
      </c>
      <c r="GL38" s="57" t="str">
        <f t="shared" si="34"/>
        <v/>
      </c>
      <c r="GM38" s="57" t="str">
        <f t="shared" si="34"/>
        <v/>
      </c>
      <c r="GN38" s="57" t="str">
        <f t="shared" si="34"/>
        <v/>
      </c>
      <c r="GO38" s="57" t="str">
        <f t="shared" si="34"/>
        <v/>
      </c>
      <c r="GP38" s="57" t="str">
        <f t="shared" si="34"/>
        <v/>
      </c>
      <c r="GQ38" s="57" t="str">
        <f t="shared" si="34"/>
        <v/>
      </c>
      <c r="GR38" s="57" t="str">
        <f t="shared" si="34"/>
        <v/>
      </c>
      <c r="GS38" s="57" t="str">
        <f t="shared" si="34"/>
        <v/>
      </c>
      <c r="GT38" s="57" t="str">
        <f t="shared" si="34"/>
        <v/>
      </c>
      <c r="GU38" s="57" t="str">
        <f t="shared" si="34"/>
        <v/>
      </c>
      <c r="GV38" s="57" t="str">
        <f t="shared" si="34"/>
        <v/>
      </c>
      <c r="GW38" s="57" t="str">
        <f t="shared" si="34"/>
        <v/>
      </c>
      <c r="GX38" s="57" t="str">
        <f t="shared" si="34"/>
        <v/>
      </c>
      <c r="GY38" s="57" t="str">
        <f t="shared" si="34"/>
        <v/>
      </c>
      <c r="GZ38" s="57" t="str">
        <f t="shared" si="34"/>
        <v/>
      </c>
      <c r="HA38" s="57" t="str">
        <f t="shared" si="34"/>
        <v/>
      </c>
      <c r="HB38" s="57" t="str">
        <f t="shared" si="34"/>
        <v/>
      </c>
      <c r="HC38" s="57" t="str">
        <f t="shared" si="34"/>
        <v/>
      </c>
      <c r="HD38" s="57" t="str">
        <f t="shared" si="34"/>
        <v/>
      </c>
      <c r="HE38" s="57" t="str">
        <f t="shared" si="34"/>
        <v/>
      </c>
      <c r="HF38" s="57" t="str">
        <f t="shared" si="34"/>
        <v/>
      </c>
      <c r="HG38" s="57" t="str">
        <f t="shared" si="34"/>
        <v/>
      </c>
      <c r="HH38" s="57" t="str">
        <f t="shared" si="34"/>
        <v/>
      </c>
      <c r="HI38" s="57" t="str">
        <f t="shared" si="34"/>
        <v/>
      </c>
      <c r="HJ38" s="57" t="str">
        <f t="shared" si="34"/>
        <v/>
      </c>
      <c r="HK38" s="57" t="str">
        <f t="shared" si="34"/>
        <v/>
      </c>
      <c r="HL38" s="57" t="str">
        <f t="shared" si="34"/>
        <v/>
      </c>
      <c r="HM38" s="57" t="str">
        <f t="shared" si="34"/>
        <v/>
      </c>
      <c r="HN38" s="57" t="str">
        <f t="shared" ref="HN38:HR38" si="39">IF($B38=HN$12,$O38,"")</f>
        <v/>
      </c>
      <c r="HO38" s="57" t="str">
        <f t="shared" si="39"/>
        <v/>
      </c>
      <c r="HP38" s="57" t="str">
        <f t="shared" si="39"/>
        <v/>
      </c>
      <c r="HQ38" s="57" t="str">
        <f t="shared" si="39"/>
        <v/>
      </c>
      <c r="HR38" s="123" t="str">
        <f t="shared" si="39"/>
        <v/>
      </c>
    </row>
    <row r="39" spans="1:226" ht="11.15" customHeight="1" x14ac:dyDescent="0.25">
      <c r="A39" s="32"/>
      <c r="B39" s="33"/>
      <c r="C39" s="34" t="str">
        <f>IF(A39=0,"",VLOOKUP(A39,[3]CO!$A$3:$F$5311,2,0))</f>
        <v/>
      </c>
      <c r="D39" s="35"/>
      <c r="E39" s="35"/>
      <c r="F39" s="35"/>
      <c r="G39" s="36" t="str">
        <f>IF(A39=0,"",VLOOKUP(A39,[3]CO!$A$3:$F$5311,3,0))</f>
        <v/>
      </c>
      <c r="H39" s="102"/>
      <c r="I39" s="37"/>
      <c r="J39" s="37"/>
      <c r="K39" s="37"/>
      <c r="L39" s="37"/>
      <c r="M39" s="38" t="str">
        <f t="shared" si="36"/>
        <v/>
      </c>
      <c r="N39" s="38" t="str">
        <f>IF(B39=0,"",IF(H39="M",HLOOKUP(B39,$Y$12:$DT$13,2),IF(A39=0,"",VLOOKUP(A39,[3]CO!$A$3:$F$5311,4,0))))</f>
        <v/>
      </c>
      <c r="O39" s="38" t="str">
        <f t="shared" si="11"/>
        <v/>
      </c>
      <c r="P39" s="39"/>
      <c r="Q39" s="40" t="str">
        <f t="shared" si="29"/>
        <v/>
      </c>
      <c r="R39" s="41" t="str">
        <f t="shared" si="37"/>
        <v/>
      </c>
      <c r="S39" s="105"/>
      <c r="T39" s="60" t="str">
        <f>IF(A39=0,"",VLOOKUP(A39,[3]CO!$A$3:$F$5302,5,0))</f>
        <v/>
      </c>
      <c r="U39" s="61">
        <f t="shared" si="12"/>
        <v>0</v>
      </c>
      <c r="V39" s="30"/>
      <c r="W39" s="31"/>
      <c r="X39" s="31"/>
      <c r="Y39" s="71" t="str">
        <f t="shared" si="30"/>
        <v/>
      </c>
      <c r="Z39" s="62" t="str">
        <f t="shared" si="30"/>
        <v/>
      </c>
      <c r="AA39" s="62" t="str">
        <f t="shared" si="30"/>
        <v/>
      </c>
      <c r="AB39" s="62" t="str">
        <f t="shared" si="30"/>
        <v/>
      </c>
      <c r="AC39" s="62" t="str">
        <f t="shared" si="30"/>
        <v/>
      </c>
      <c r="AD39" s="62" t="str">
        <f t="shared" si="30"/>
        <v/>
      </c>
      <c r="AE39" s="62" t="str">
        <f t="shared" si="30"/>
        <v/>
      </c>
      <c r="AF39" s="62" t="str">
        <f t="shared" si="30"/>
        <v/>
      </c>
      <c r="AG39" s="62" t="str">
        <f t="shared" si="30"/>
        <v/>
      </c>
      <c r="AH39" s="62" t="str">
        <f t="shared" si="30"/>
        <v/>
      </c>
      <c r="AI39" s="62" t="str">
        <f t="shared" si="30"/>
        <v/>
      </c>
      <c r="AJ39" s="62" t="str">
        <f t="shared" si="30"/>
        <v/>
      </c>
      <c r="AK39" s="62" t="str">
        <f t="shared" si="30"/>
        <v/>
      </c>
      <c r="AL39" s="62" t="str">
        <f t="shared" si="30"/>
        <v/>
      </c>
      <c r="AM39" s="62" t="str">
        <f t="shared" si="30"/>
        <v/>
      </c>
      <c r="AN39" s="62" t="str">
        <f t="shared" si="30"/>
        <v/>
      </c>
      <c r="AO39" s="62" t="str">
        <f t="shared" ref="AO39:BD42" si="40">IF($B39=AO$12,$U39,"")</f>
        <v/>
      </c>
      <c r="AP39" s="62" t="str">
        <f t="shared" si="40"/>
        <v/>
      </c>
      <c r="AQ39" s="62" t="str">
        <f t="shared" si="40"/>
        <v/>
      </c>
      <c r="AR39" s="62" t="str">
        <f t="shared" si="40"/>
        <v/>
      </c>
      <c r="AS39" s="62" t="str">
        <f t="shared" si="40"/>
        <v/>
      </c>
      <c r="AT39" s="62" t="str">
        <f t="shared" si="40"/>
        <v/>
      </c>
      <c r="AU39" s="62" t="str">
        <f t="shared" si="40"/>
        <v/>
      </c>
      <c r="AV39" s="62" t="str">
        <f t="shared" si="40"/>
        <v/>
      </c>
      <c r="AW39" s="62" t="str">
        <f t="shared" si="40"/>
        <v/>
      </c>
      <c r="AX39" s="62" t="str">
        <f t="shared" si="40"/>
        <v/>
      </c>
      <c r="AY39" s="62" t="str">
        <f t="shared" si="40"/>
        <v/>
      </c>
      <c r="AZ39" s="62" t="str">
        <f t="shared" si="40"/>
        <v/>
      </c>
      <c r="BA39" s="62" t="str">
        <f t="shared" si="40"/>
        <v/>
      </c>
      <c r="BB39" s="62" t="str">
        <f t="shared" si="40"/>
        <v/>
      </c>
      <c r="BC39" s="62" t="str">
        <f t="shared" si="40"/>
        <v/>
      </c>
      <c r="BD39" s="62" t="str">
        <f t="shared" si="40"/>
        <v/>
      </c>
      <c r="BE39" s="62" t="str">
        <f t="shared" ref="BE39:DD42" si="41">IF($B39=BE$12,$U39,"")</f>
        <v/>
      </c>
      <c r="BF39" s="62" t="str">
        <f t="shared" si="41"/>
        <v/>
      </c>
      <c r="BG39" s="62" t="str">
        <f t="shared" si="41"/>
        <v/>
      </c>
      <c r="BH39" s="62" t="str">
        <f t="shared" si="41"/>
        <v/>
      </c>
      <c r="BI39" s="62" t="str">
        <f t="shared" si="41"/>
        <v/>
      </c>
      <c r="BJ39" s="62" t="str">
        <f t="shared" si="41"/>
        <v/>
      </c>
      <c r="BK39" s="62" t="str">
        <f t="shared" si="41"/>
        <v/>
      </c>
      <c r="BL39" s="62" t="str">
        <f t="shared" si="41"/>
        <v/>
      </c>
      <c r="BM39" s="62" t="str">
        <f t="shared" si="41"/>
        <v/>
      </c>
      <c r="BN39" s="62" t="str">
        <f t="shared" si="41"/>
        <v/>
      </c>
      <c r="BO39" s="62" t="str">
        <f t="shared" si="41"/>
        <v/>
      </c>
      <c r="BP39" s="62" t="str">
        <f t="shared" si="41"/>
        <v/>
      </c>
      <c r="BQ39" s="62" t="str">
        <f t="shared" si="41"/>
        <v/>
      </c>
      <c r="BR39" s="62" t="str">
        <f t="shared" si="41"/>
        <v/>
      </c>
      <c r="BS39" s="62" t="str">
        <f t="shared" si="41"/>
        <v/>
      </c>
      <c r="BT39" s="62" t="str">
        <f t="shared" si="41"/>
        <v/>
      </c>
      <c r="BU39" s="62" t="str">
        <f t="shared" si="41"/>
        <v/>
      </c>
      <c r="BV39" s="62" t="str">
        <f t="shared" si="41"/>
        <v/>
      </c>
      <c r="BW39" s="62" t="str">
        <f t="shared" si="41"/>
        <v/>
      </c>
      <c r="BX39" s="62" t="str">
        <f t="shared" si="41"/>
        <v/>
      </c>
      <c r="BY39" s="62" t="str">
        <f t="shared" si="41"/>
        <v/>
      </c>
      <c r="BZ39" s="62" t="str">
        <f t="shared" si="41"/>
        <v/>
      </c>
      <c r="CA39" s="62" t="str">
        <f t="shared" si="41"/>
        <v/>
      </c>
      <c r="CB39" s="62" t="str">
        <f t="shared" si="41"/>
        <v/>
      </c>
      <c r="CC39" s="62" t="str">
        <f t="shared" si="41"/>
        <v/>
      </c>
      <c r="CD39" s="62" t="str">
        <f t="shared" si="41"/>
        <v/>
      </c>
      <c r="CE39" s="62" t="str">
        <f t="shared" si="41"/>
        <v/>
      </c>
      <c r="CF39" s="62" t="str">
        <f t="shared" si="41"/>
        <v/>
      </c>
      <c r="CG39" s="62" t="str">
        <f t="shared" si="41"/>
        <v/>
      </c>
      <c r="CH39" s="62" t="str">
        <f t="shared" si="41"/>
        <v/>
      </c>
      <c r="CI39" s="62" t="str">
        <f t="shared" si="41"/>
        <v/>
      </c>
      <c r="CJ39" s="62" t="str">
        <f t="shared" si="41"/>
        <v/>
      </c>
      <c r="CK39" s="62" t="str">
        <f t="shared" si="41"/>
        <v/>
      </c>
      <c r="CL39" s="62" t="str">
        <f t="shared" si="41"/>
        <v/>
      </c>
      <c r="CM39" s="62" t="str">
        <f t="shared" si="41"/>
        <v/>
      </c>
      <c r="CN39" s="62" t="str">
        <f t="shared" si="41"/>
        <v/>
      </c>
      <c r="CO39" s="62" t="str">
        <f t="shared" si="41"/>
        <v/>
      </c>
      <c r="CP39" s="62" t="str">
        <f t="shared" si="41"/>
        <v/>
      </c>
      <c r="CQ39" s="62" t="str">
        <f t="shared" si="41"/>
        <v/>
      </c>
      <c r="CR39" s="62" t="str">
        <f t="shared" si="41"/>
        <v/>
      </c>
      <c r="CS39" s="62" t="str">
        <f t="shared" si="41"/>
        <v/>
      </c>
      <c r="CT39" s="62" t="str">
        <f t="shared" si="41"/>
        <v/>
      </c>
      <c r="CU39" s="62" t="str">
        <f t="shared" si="41"/>
        <v/>
      </c>
      <c r="CV39" s="62" t="str">
        <f t="shared" si="41"/>
        <v/>
      </c>
      <c r="CW39" s="62" t="str">
        <f t="shared" si="41"/>
        <v/>
      </c>
      <c r="CX39" s="62" t="str">
        <f t="shared" si="41"/>
        <v/>
      </c>
      <c r="CY39" s="62" t="str">
        <f t="shared" si="41"/>
        <v/>
      </c>
      <c r="CZ39" s="62" t="str">
        <f t="shared" si="41"/>
        <v/>
      </c>
      <c r="DA39" s="62" t="str">
        <f t="shared" si="41"/>
        <v/>
      </c>
      <c r="DB39" s="62" t="str">
        <f t="shared" si="41"/>
        <v/>
      </c>
      <c r="DC39" s="62" t="str">
        <f t="shared" si="41"/>
        <v/>
      </c>
      <c r="DD39" s="62" t="str">
        <f t="shared" si="41"/>
        <v/>
      </c>
      <c r="DE39" s="62" t="str">
        <f t="shared" si="32"/>
        <v/>
      </c>
      <c r="DF39" s="62" t="str">
        <f t="shared" si="32"/>
        <v/>
      </c>
      <c r="DG39" s="62" t="str">
        <f t="shared" si="32"/>
        <v/>
      </c>
      <c r="DH39" s="62" t="str">
        <f t="shared" si="32"/>
        <v/>
      </c>
      <c r="DI39" s="62" t="str">
        <f t="shared" si="32"/>
        <v/>
      </c>
      <c r="DJ39" s="62" t="str">
        <f t="shared" si="32"/>
        <v/>
      </c>
      <c r="DK39" s="62" t="str">
        <f t="shared" si="32"/>
        <v/>
      </c>
      <c r="DL39" s="62" t="str">
        <f t="shared" si="32"/>
        <v/>
      </c>
      <c r="DM39" s="62" t="str">
        <f t="shared" si="32"/>
        <v/>
      </c>
      <c r="DN39" s="62" t="str">
        <f t="shared" si="32"/>
        <v/>
      </c>
      <c r="DO39" s="62" t="str">
        <f t="shared" si="32"/>
        <v/>
      </c>
      <c r="DP39" s="62" t="str">
        <f t="shared" si="32"/>
        <v/>
      </c>
      <c r="DQ39" s="62" t="str">
        <f t="shared" si="32"/>
        <v/>
      </c>
      <c r="DR39" s="62" t="str">
        <f t="shared" si="32"/>
        <v/>
      </c>
      <c r="DS39" s="62" t="str">
        <f t="shared" si="32"/>
        <v/>
      </c>
      <c r="DT39" s="117" t="str">
        <f t="shared" si="32"/>
        <v/>
      </c>
      <c r="DU39" s="61"/>
      <c r="DV39" s="31"/>
      <c r="DW39" s="68" t="str">
        <f t="shared" si="33"/>
        <v/>
      </c>
      <c r="DX39" s="57" t="str">
        <f t="shared" si="33"/>
        <v/>
      </c>
      <c r="DY39" s="57" t="str">
        <f t="shared" si="33"/>
        <v/>
      </c>
      <c r="DZ39" s="57" t="str">
        <f t="shared" si="33"/>
        <v/>
      </c>
      <c r="EA39" s="57" t="str">
        <f t="shared" si="33"/>
        <v/>
      </c>
      <c r="EB39" s="57" t="str">
        <f t="shared" si="33"/>
        <v/>
      </c>
      <c r="EC39" s="57" t="str">
        <f t="shared" si="33"/>
        <v/>
      </c>
      <c r="ED39" s="57" t="str">
        <f t="shared" si="33"/>
        <v/>
      </c>
      <c r="EE39" s="57" t="str">
        <f t="shared" si="33"/>
        <v/>
      </c>
      <c r="EF39" s="57" t="str">
        <f t="shared" si="33"/>
        <v/>
      </c>
      <c r="EG39" s="57" t="str">
        <f t="shared" si="33"/>
        <v/>
      </c>
      <c r="EH39" s="57" t="str">
        <f t="shared" si="33"/>
        <v/>
      </c>
      <c r="EI39" s="57" t="str">
        <f t="shared" si="33"/>
        <v/>
      </c>
      <c r="EJ39" s="57" t="str">
        <f t="shared" si="33"/>
        <v/>
      </c>
      <c r="EK39" s="57" t="str">
        <f t="shared" si="33"/>
        <v/>
      </c>
      <c r="EL39" s="57" t="str">
        <f t="shared" si="33"/>
        <v/>
      </c>
      <c r="EM39" s="57" t="str">
        <f t="shared" si="33"/>
        <v/>
      </c>
      <c r="EN39" s="57" t="str">
        <f t="shared" si="33"/>
        <v/>
      </c>
      <c r="EO39" s="57" t="str">
        <f t="shared" si="33"/>
        <v/>
      </c>
      <c r="EP39" s="57" t="str">
        <f t="shared" si="33"/>
        <v/>
      </c>
      <c r="EQ39" s="57" t="str">
        <f t="shared" si="33"/>
        <v/>
      </c>
      <c r="ER39" s="57" t="str">
        <f t="shared" si="33"/>
        <v/>
      </c>
      <c r="ES39" s="57" t="str">
        <f t="shared" si="33"/>
        <v/>
      </c>
      <c r="ET39" s="57" t="str">
        <f t="shared" si="33"/>
        <v/>
      </c>
      <c r="EU39" s="57" t="str">
        <f t="shared" si="33"/>
        <v/>
      </c>
      <c r="EV39" s="57" t="str">
        <f t="shared" si="33"/>
        <v/>
      </c>
      <c r="EW39" s="57" t="str">
        <f t="shared" si="33"/>
        <v/>
      </c>
      <c r="EX39" s="57" t="str">
        <f t="shared" si="33"/>
        <v/>
      </c>
      <c r="EY39" s="57" t="str">
        <f t="shared" si="33"/>
        <v/>
      </c>
      <c r="EZ39" s="57" t="str">
        <f t="shared" si="33"/>
        <v/>
      </c>
      <c r="FA39" s="57" t="str">
        <f t="shared" si="33"/>
        <v/>
      </c>
      <c r="FB39" s="57" t="str">
        <f t="shared" si="33"/>
        <v/>
      </c>
      <c r="FC39" s="57" t="str">
        <f t="shared" ref="FC39:FR42" si="42">IF($B39=FC$12,$O39,"")</f>
        <v/>
      </c>
      <c r="FD39" s="57" t="str">
        <f t="shared" si="42"/>
        <v/>
      </c>
      <c r="FE39" s="57" t="str">
        <f t="shared" si="42"/>
        <v/>
      </c>
      <c r="FF39" s="57" t="str">
        <f t="shared" si="42"/>
        <v/>
      </c>
      <c r="FG39" s="57" t="str">
        <f t="shared" si="42"/>
        <v/>
      </c>
      <c r="FH39" s="57" t="str">
        <f t="shared" si="42"/>
        <v/>
      </c>
      <c r="FI39" s="57" t="str">
        <f t="shared" si="42"/>
        <v/>
      </c>
      <c r="FJ39" s="57" t="str">
        <f t="shared" si="42"/>
        <v/>
      </c>
      <c r="FK39" s="57" t="str">
        <f t="shared" si="42"/>
        <v/>
      </c>
      <c r="FL39" s="57" t="str">
        <f t="shared" si="42"/>
        <v/>
      </c>
      <c r="FM39" s="57" t="str">
        <f t="shared" si="42"/>
        <v/>
      </c>
      <c r="FN39" s="57" t="str">
        <f t="shared" si="42"/>
        <v/>
      </c>
      <c r="FO39" s="57" t="str">
        <f t="shared" si="42"/>
        <v/>
      </c>
      <c r="FP39" s="57" t="str">
        <f t="shared" si="42"/>
        <v/>
      </c>
      <c r="FQ39" s="57" t="str">
        <f t="shared" si="42"/>
        <v/>
      </c>
      <c r="FR39" s="57" t="str">
        <f t="shared" si="42"/>
        <v/>
      </c>
      <c r="FS39" s="57" t="str">
        <f t="shared" ref="FS39:HR42" si="43">IF($B39=FS$12,$O39,"")</f>
        <v/>
      </c>
      <c r="FT39" s="57" t="str">
        <f t="shared" si="43"/>
        <v/>
      </c>
      <c r="FU39" s="57" t="str">
        <f t="shared" si="43"/>
        <v/>
      </c>
      <c r="FV39" s="57" t="str">
        <f t="shared" si="43"/>
        <v/>
      </c>
      <c r="FW39" s="57" t="str">
        <f t="shared" si="43"/>
        <v/>
      </c>
      <c r="FX39" s="57" t="str">
        <f t="shared" si="43"/>
        <v/>
      </c>
      <c r="FY39" s="57" t="str">
        <f t="shared" si="43"/>
        <v/>
      </c>
      <c r="FZ39" s="57" t="str">
        <f t="shared" si="43"/>
        <v/>
      </c>
      <c r="GA39" s="57" t="str">
        <f t="shared" si="43"/>
        <v/>
      </c>
      <c r="GB39" s="57" t="str">
        <f t="shared" si="43"/>
        <v/>
      </c>
      <c r="GC39" s="57" t="str">
        <f t="shared" si="43"/>
        <v/>
      </c>
      <c r="GD39" s="57" t="str">
        <f t="shared" si="43"/>
        <v/>
      </c>
      <c r="GE39" s="57" t="str">
        <f t="shared" si="43"/>
        <v/>
      </c>
      <c r="GF39" s="57" t="str">
        <f t="shared" si="43"/>
        <v/>
      </c>
      <c r="GG39" s="57" t="str">
        <f t="shared" si="43"/>
        <v/>
      </c>
      <c r="GH39" s="57" t="str">
        <f t="shared" si="43"/>
        <v/>
      </c>
      <c r="GI39" s="57" t="str">
        <f t="shared" si="43"/>
        <v/>
      </c>
      <c r="GJ39" s="57" t="str">
        <f t="shared" si="43"/>
        <v/>
      </c>
      <c r="GK39" s="57" t="str">
        <f t="shared" si="43"/>
        <v/>
      </c>
      <c r="GL39" s="57" t="str">
        <f t="shared" si="43"/>
        <v/>
      </c>
      <c r="GM39" s="57" t="str">
        <f t="shared" si="43"/>
        <v/>
      </c>
      <c r="GN39" s="57" t="str">
        <f t="shared" si="43"/>
        <v/>
      </c>
      <c r="GO39" s="57" t="str">
        <f t="shared" si="43"/>
        <v/>
      </c>
      <c r="GP39" s="57" t="str">
        <f t="shared" si="43"/>
        <v/>
      </c>
      <c r="GQ39" s="57" t="str">
        <f t="shared" si="43"/>
        <v/>
      </c>
      <c r="GR39" s="57" t="str">
        <f t="shared" si="43"/>
        <v/>
      </c>
      <c r="GS39" s="57" t="str">
        <f t="shared" si="43"/>
        <v/>
      </c>
      <c r="GT39" s="57" t="str">
        <f t="shared" si="43"/>
        <v/>
      </c>
      <c r="GU39" s="57" t="str">
        <f t="shared" si="43"/>
        <v/>
      </c>
      <c r="GV39" s="57" t="str">
        <f t="shared" si="43"/>
        <v/>
      </c>
      <c r="GW39" s="57" t="str">
        <f t="shared" si="43"/>
        <v/>
      </c>
      <c r="GX39" s="57" t="str">
        <f t="shared" si="43"/>
        <v/>
      </c>
      <c r="GY39" s="57" t="str">
        <f t="shared" si="43"/>
        <v/>
      </c>
      <c r="GZ39" s="57" t="str">
        <f t="shared" si="43"/>
        <v/>
      </c>
      <c r="HA39" s="57" t="str">
        <f t="shared" si="43"/>
        <v/>
      </c>
      <c r="HB39" s="57" t="str">
        <f t="shared" si="43"/>
        <v/>
      </c>
      <c r="HC39" s="57" t="str">
        <f t="shared" si="43"/>
        <v/>
      </c>
      <c r="HD39" s="57" t="str">
        <f t="shared" si="43"/>
        <v/>
      </c>
      <c r="HE39" s="57" t="str">
        <f t="shared" si="43"/>
        <v/>
      </c>
      <c r="HF39" s="57" t="str">
        <f t="shared" si="43"/>
        <v/>
      </c>
      <c r="HG39" s="57" t="str">
        <f t="shared" si="43"/>
        <v/>
      </c>
      <c r="HH39" s="57" t="str">
        <f t="shared" si="43"/>
        <v/>
      </c>
      <c r="HI39" s="57" t="str">
        <f t="shared" si="43"/>
        <v/>
      </c>
      <c r="HJ39" s="57" t="str">
        <f t="shared" si="43"/>
        <v/>
      </c>
      <c r="HK39" s="57" t="str">
        <f t="shared" si="43"/>
        <v/>
      </c>
      <c r="HL39" s="57" t="str">
        <f t="shared" si="43"/>
        <v/>
      </c>
      <c r="HM39" s="57" t="str">
        <f t="shared" si="43"/>
        <v/>
      </c>
      <c r="HN39" s="57" t="str">
        <f t="shared" si="43"/>
        <v/>
      </c>
      <c r="HO39" s="57" t="str">
        <f t="shared" si="43"/>
        <v/>
      </c>
      <c r="HP39" s="57" t="str">
        <f t="shared" si="43"/>
        <v/>
      </c>
      <c r="HQ39" s="57" t="str">
        <f t="shared" si="43"/>
        <v/>
      </c>
      <c r="HR39" s="123" t="str">
        <f t="shared" si="43"/>
        <v/>
      </c>
    </row>
    <row r="40" spans="1:226" ht="11.15" customHeight="1" x14ac:dyDescent="0.25">
      <c r="A40" s="32"/>
      <c r="B40" s="33"/>
      <c r="C40" s="34" t="str">
        <f>IF(A40=0,"",VLOOKUP(A40,[3]CO!$A$3:$F$5311,2,0))</f>
        <v/>
      </c>
      <c r="D40" s="35"/>
      <c r="E40" s="35"/>
      <c r="F40" s="35"/>
      <c r="G40" s="36" t="str">
        <f>IF(A40=0,"",VLOOKUP(A40,[3]CO!$A$3:$F$5311,3,0))</f>
        <v/>
      </c>
      <c r="H40" s="102"/>
      <c r="I40" s="37"/>
      <c r="J40" s="37"/>
      <c r="K40" s="37"/>
      <c r="L40" s="37"/>
      <c r="M40" s="38" t="str">
        <f t="shared" si="36"/>
        <v/>
      </c>
      <c r="N40" s="38" t="str">
        <f>IF(B40=0,"",IF(H40="M",HLOOKUP(B40,$Y$12:$DT$13,2),IF(A40=0,"",VLOOKUP(A40,[3]CO!$A$3:$F$5311,4,0))))</f>
        <v/>
      </c>
      <c r="O40" s="38" t="str">
        <f t="shared" si="11"/>
        <v/>
      </c>
      <c r="P40" s="39"/>
      <c r="Q40" s="40" t="str">
        <f t="shared" si="29"/>
        <v/>
      </c>
      <c r="R40" s="41" t="str">
        <f t="shared" si="37"/>
        <v/>
      </c>
      <c r="S40" s="105"/>
      <c r="T40" s="60" t="str">
        <f>IF(A40=0,"",VLOOKUP(A40,[3]CO!$A$3:$F$5302,5,0))</f>
        <v/>
      </c>
      <c r="U40" s="61">
        <f t="shared" si="12"/>
        <v>0</v>
      </c>
      <c r="V40" s="30"/>
      <c r="W40" s="31"/>
      <c r="X40" s="31"/>
      <c r="Y40" s="71" t="str">
        <f t="shared" si="30"/>
        <v/>
      </c>
      <c r="Z40" s="62" t="str">
        <f t="shared" si="30"/>
        <v/>
      </c>
      <c r="AA40" s="62" t="str">
        <f t="shared" si="30"/>
        <v/>
      </c>
      <c r="AB40" s="62" t="str">
        <f t="shared" si="30"/>
        <v/>
      </c>
      <c r="AC40" s="62" t="str">
        <f t="shared" si="30"/>
        <v/>
      </c>
      <c r="AD40" s="62" t="str">
        <f t="shared" si="30"/>
        <v/>
      </c>
      <c r="AE40" s="62" t="str">
        <f t="shared" si="30"/>
        <v/>
      </c>
      <c r="AF40" s="62" t="str">
        <f t="shared" si="30"/>
        <v/>
      </c>
      <c r="AG40" s="62" t="str">
        <f t="shared" si="30"/>
        <v/>
      </c>
      <c r="AH40" s="62" t="str">
        <f t="shared" si="30"/>
        <v/>
      </c>
      <c r="AI40" s="62" t="str">
        <f t="shared" si="30"/>
        <v/>
      </c>
      <c r="AJ40" s="62" t="str">
        <f t="shared" si="30"/>
        <v/>
      </c>
      <c r="AK40" s="62" t="str">
        <f t="shared" si="30"/>
        <v/>
      </c>
      <c r="AL40" s="62" t="str">
        <f t="shared" si="30"/>
        <v/>
      </c>
      <c r="AM40" s="62" t="str">
        <f t="shared" si="30"/>
        <v/>
      </c>
      <c r="AN40" s="62" t="str">
        <f t="shared" si="30"/>
        <v/>
      </c>
      <c r="AO40" s="62" t="str">
        <f t="shared" si="40"/>
        <v/>
      </c>
      <c r="AP40" s="62" t="str">
        <f t="shared" si="40"/>
        <v/>
      </c>
      <c r="AQ40" s="62" t="str">
        <f t="shared" si="40"/>
        <v/>
      </c>
      <c r="AR40" s="62" t="str">
        <f t="shared" si="40"/>
        <v/>
      </c>
      <c r="AS40" s="62" t="str">
        <f t="shared" si="40"/>
        <v/>
      </c>
      <c r="AT40" s="62" t="str">
        <f t="shared" si="40"/>
        <v/>
      </c>
      <c r="AU40" s="62" t="str">
        <f t="shared" si="40"/>
        <v/>
      </c>
      <c r="AV40" s="62" t="str">
        <f t="shared" si="40"/>
        <v/>
      </c>
      <c r="AW40" s="62" t="str">
        <f t="shared" si="40"/>
        <v/>
      </c>
      <c r="AX40" s="62" t="str">
        <f t="shared" si="40"/>
        <v/>
      </c>
      <c r="AY40" s="62" t="str">
        <f t="shared" si="40"/>
        <v/>
      </c>
      <c r="AZ40" s="62" t="str">
        <f t="shared" si="40"/>
        <v/>
      </c>
      <c r="BA40" s="62" t="str">
        <f t="shared" si="40"/>
        <v/>
      </c>
      <c r="BB40" s="62" t="str">
        <f t="shared" si="40"/>
        <v/>
      </c>
      <c r="BC40" s="62" t="str">
        <f t="shared" si="40"/>
        <v/>
      </c>
      <c r="BD40" s="62" t="str">
        <f t="shared" si="40"/>
        <v/>
      </c>
      <c r="BE40" s="62" t="str">
        <f t="shared" si="41"/>
        <v/>
      </c>
      <c r="BF40" s="62" t="str">
        <f t="shared" si="41"/>
        <v/>
      </c>
      <c r="BG40" s="62" t="str">
        <f t="shared" si="41"/>
        <v/>
      </c>
      <c r="BH40" s="62" t="str">
        <f t="shared" si="41"/>
        <v/>
      </c>
      <c r="BI40" s="62" t="str">
        <f t="shared" si="41"/>
        <v/>
      </c>
      <c r="BJ40" s="62" t="str">
        <f t="shared" si="41"/>
        <v/>
      </c>
      <c r="BK40" s="62" t="str">
        <f t="shared" si="41"/>
        <v/>
      </c>
      <c r="BL40" s="62" t="str">
        <f t="shared" si="41"/>
        <v/>
      </c>
      <c r="BM40" s="62" t="str">
        <f t="shared" si="41"/>
        <v/>
      </c>
      <c r="BN40" s="62" t="str">
        <f t="shared" si="41"/>
        <v/>
      </c>
      <c r="BO40" s="62" t="str">
        <f t="shared" si="41"/>
        <v/>
      </c>
      <c r="BP40" s="62" t="str">
        <f t="shared" si="41"/>
        <v/>
      </c>
      <c r="BQ40" s="62" t="str">
        <f t="shared" si="41"/>
        <v/>
      </c>
      <c r="BR40" s="62" t="str">
        <f t="shared" si="41"/>
        <v/>
      </c>
      <c r="BS40" s="62" t="str">
        <f t="shared" si="41"/>
        <v/>
      </c>
      <c r="BT40" s="62" t="str">
        <f t="shared" si="41"/>
        <v/>
      </c>
      <c r="BU40" s="62" t="str">
        <f t="shared" si="41"/>
        <v/>
      </c>
      <c r="BV40" s="62" t="str">
        <f t="shared" si="41"/>
        <v/>
      </c>
      <c r="BW40" s="62" t="str">
        <f t="shared" si="41"/>
        <v/>
      </c>
      <c r="BX40" s="62" t="str">
        <f t="shared" si="41"/>
        <v/>
      </c>
      <c r="BY40" s="62" t="str">
        <f t="shared" si="41"/>
        <v/>
      </c>
      <c r="BZ40" s="62" t="str">
        <f t="shared" si="41"/>
        <v/>
      </c>
      <c r="CA40" s="62" t="str">
        <f t="shared" si="41"/>
        <v/>
      </c>
      <c r="CB40" s="62" t="str">
        <f t="shared" si="41"/>
        <v/>
      </c>
      <c r="CC40" s="62" t="str">
        <f t="shared" si="41"/>
        <v/>
      </c>
      <c r="CD40" s="62" t="str">
        <f t="shared" si="41"/>
        <v/>
      </c>
      <c r="CE40" s="62" t="str">
        <f t="shared" si="41"/>
        <v/>
      </c>
      <c r="CF40" s="62" t="str">
        <f t="shared" si="41"/>
        <v/>
      </c>
      <c r="CG40" s="62" t="str">
        <f t="shared" si="41"/>
        <v/>
      </c>
      <c r="CH40" s="62" t="str">
        <f t="shared" si="41"/>
        <v/>
      </c>
      <c r="CI40" s="62" t="str">
        <f t="shared" si="41"/>
        <v/>
      </c>
      <c r="CJ40" s="62" t="str">
        <f t="shared" si="41"/>
        <v/>
      </c>
      <c r="CK40" s="62" t="str">
        <f t="shared" si="41"/>
        <v/>
      </c>
      <c r="CL40" s="62" t="str">
        <f t="shared" si="41"/>
        <v/>
      </c>
      <c r="CM40" s="62" t="str">
        <f t="shared" si="41"/>
        <v/>
      </c>
      <c r="CN40" s="62" t="str">
        <f t="shared" si="41"/>
        <v/>
      </c>
      <c r="CO40" s="62" t="str">
        <f t="shared" si="41"/>
        <v/>
      </c>
      <c r="CP40" s="62" t="str">
        <f t="shared" si="41"/>
        <v/>
      </c>
      <c r="CQ40" s="62" t="str">
        <f t="shared" si="41"/>
        <v/>
      </c>
      <c r="CR40" s="62" t="str">
        <f t="shared" si="41"/>
        <v/>
      </c>
      <c r="CS40" s="62" t="str">
        <f t="shared" si="41"/>
        <v/>
      </c>
      <c r="CT40" s="62" t="str">
        <f t="shared" si="41"/>
        <v/>
      </c>
      <c r="CU40" s="62" t="str">
        <f t="shared" si="41"/>
        <v/>
      </c>
      <c r="CV40" s="62" t="str">
        <f t="shared" si="41"/>
        <v/>
      </c>
      <c r="CW40" s="62" t="str">
        <f t="shared" si="41"/>
        <v/>
      </c>
      <c r="CX40" s="62" t="str">
        <f t="shared" si="41"/>
        <v/>
      </c>
      <c r="CY40" s="62" t="str">
        <f t="shared" si="41"/>
        <v/>
      </c>
      <c r="CZ40" s="62" t="str">
        <f t="shared" si="41"/>
        <v/>
      </c>
      <c r="DA40" s="62" t="str">
        <f t="shared" si="41"/>
        <v/>
      </c>
      <c r="DB40" s="62" t="str">
        <f t="shared" si="41"/>
        <v/>
      </c>
      <c r="DC40" s="62" t="str">
        <f t="shared" si="41"/>
        <v/>
      </c>
      <c r="DD40" s="62" t="str">
        <f t="shared" si="41"/>
        <v/>
      </c>
      <c r="DE40" s="62" t="str">
        <f t="shared" si="32"/>
        <v/>
      </c>
      <c r="DF40" s="62" t="str">
        <f t="shared" si="32"/>
        <v/>
      </c>
      <c r="DG40" s="62" t="str">
        <f t="shared" si="32"/>
        <v/>
      </c>
      <c r="DH40" s="62" t="str">
        <f t="shared" si="32"/>
        <v/>
      </c>
      <c r="DI40" s="62" t="str">
        <f t="shared" si="32"/>
        <v/>
      </c>
      <c r="DJ40" s="62" t="str">
        <f t="shared" si="32"/>
        <v/>
      </c>
      <c r="DK40" s="62" t="str">
        <f t="shared" si="32"/>
        <v/>
      </c>
      <c r="DL40" s="62" t="str">
        <f t="shared" si="32"/>
        <v/>
      </c>
      <c r="DM40" s="62" t="str">
        <f t="shared" si="32"/>
        <v/>
      </c>
      <c r="DN40" s="62" t="str">
        <f t="shared" si="32"/>
        <v/>
      </c>
      <c r="DO40" s="62" t="str">
        <f t="shared" si="32"/>
        <v/>
      </c>
      <c r="DP40" s="62" t="str">
        <f t="shared" si="32"/>
        <v/>
      </c>
      <c r="DQ40" s="62" t="str">
        <f t="shared" si="32"/>
        <v/>
      </c>
      <c r="DR40" s="62" t="str">
        <f t="shared" si="32"/>
        <v/>
      </c>
      <c r="DS40" s="62" t="str">
        <f t="shared" si="32"/>
        <v/>
      </c>
      <c r="DT40" s="117" t="str">
        <f t="shared" si="32"/>
        <v/>
      </c>
      <c r="DU40" s="61"/>
      <c r="DV40" s="31"/>
      <c r="DW40" s="68" t="str">
        <f t="shared" si="33"/>
        <v/>
      </c>
      <c r="DX40" s="57" t="str">
        <f t="shared" si="33"/>
        <v/>
      </c>
      <c r="DY40" s="57" t="str">
        <f t="shared" si="33"/>
        <v/>
      </c>
      <c r="DZ40" s="57" t="str">
        <f t="shared" si="33"/>
        <v/>
      </c>
      <c r="EA40" s="57" t="str">
        <f t="shared" si="33"/>
        <v/>
      </c>
      <c r="EB40" s="57" t="str">
        <f t="shared" si="33"/>
        <v/>
      </c>
      <c r="EC40" s="57" t="str">
        <f t="shared" si="33"/>
        <v/>
      </c>
      <c r="ED40" s="57" t="str">
        <f t="shared" si="33"/>
        <v/>
      </c>
      <c r="EE40" s="57" t="str">
        <f t="shared" si="33"/>
        <v/>
      </c>
      <c r="EF40" s="57" t="str">
        <f t="shared" si="33"/>
        <v/>
      </c>
      <c r="EG40" s="57" t="str">
        <f t="shared" si="33"/>
        <v/>
      </c>
      <c r="EH40" s="57" t="str">
        <f t="shared" si="33"/>
        <v/>
      </c>
      <c r="EI40" s="57" t="str">
        <f t="shared" si="33"/>
        <v/>
      </c>
      <c r="EJ40" s="57" t="str">
        <f t="shared" si="33"/>
        <v/>
      </c>
      <c r="EK40" s="57" t="str">
        <f t="shared" si="33"/>
        <v/>
      </c>
      <c r="EL40" s="57" t="str">
        <f t="shared" si="33"/>
        <v/>
      </c>
      <c r="EM40" s="57" t="str">
        <f t="shared" si="33"/>
        <v/>
      </c>
      <c r="EN40" s="57" t="str">
        <f t="shared" si="33"/>
        <v/>
      </c>
      <c r="EO40" s="57" t="str">
        <f t="shared" si="33"/>
        <v/>
      </c>
      <c r="EP40" s="57" t="str">
        <f t="shared" si="33"/>
        <v/>
      </c>
      <c r="EQ40" s="57" t="str">
        <f t="shared" si="33"/>
        <v/>
      </c>
      <c r="ER40" s="57" t="str">
        <f t="shared" si="33"/>
        <v/>
      </c>
      <c r="ES40" s="57" t="str">
        <f t="shared" si="33"/>
        <v/>
      </c>
      <c r="ET40" s="57" t="str">
        <f t="shared" si="33"/>
        <v/>
      </c>
      <c r="EU40" s="57" t="str">
        <f t="shared" si="33"/>
        <v/>
      </c>
      <c r="EV40" s="57" t="str">
        <f t="shared" si="33"/>
        <v/>
      </c>
      <c r="EW40" s="57" t="str">
        <f t="shared" si="33"/>
        <v/>
      </c>
      <c r="EX40" s="57" t="str">
        <f t="shared" si="33"/>
        <v/>
      </c>
      <c r="EY40" s="57" t="str">
        <f t="shared" si="33"/>
        <v/>
      </c>
      <c r="EZ40" s="57" t="str">
        <f t="shared" si="33"/>
        <v/>
      </c>
      <c r="FA40" s="57" t="str">
        <f t="shared" si="33"/>
        <v/>
      </c>
      <c r="FB40" s="57" t="str">
        <f t="shared" si="33"/>
        <v/>
      </c>
      <c r="FC40" s="57" t="str">
        <f t="shared" si="42"/>
        <v/>
      </c>
      <c r="FD40" s="57" t="str">
        <f t="shared" si="42"/>
        <v/>
      </c>
      <c r="FE40" s="57" t="str">
        <f t="shared" si="42"/>
        <v/>
      </c>
      <c r="FF40" s="57" t="str">
        <f t="shared" si="42"/>
        <v/>
      </c>
      <c r="FG40" s="57" t="str">
        <f t="shared" si="42"/>
        <v/>
      </c>
      <c r="FH40" s="57" t="str">
        <f t="shared" si="42"/>
        <v/>
      </c>
      <c r="FI40" s="57" t="str">
        <f t="shared" si="42"/>
        <v/>
      </c>
      <c r="FJ40" s="57" t="str">
        <f t="shared" si="42"/>
        <v/>
      </c>
      <c r="FK40" s="57" t="str">
        <f t="shared" si="42"/>
        <v/>
      </c>
      <c r="FL40" s="57" t="str">
        <f t="shared" si="42"/>
        <v/>
      </c>
      <c r="FM40" s="57" t="str">
        <f t="shared" si="42"/>
        <v/>
      </c>
      <c r="FN40" s="57" t="str">
        <f t="shared" si="42"/>
        <v/>
      </c>
      <c r="FO40" s="57" t="str">
        <f t="shared" si="42"/>
        <v/>
      </c>
      <c r="FP40" s="57" t="str">
        <f t="shared" si="42"/>
        <v/>
      </c>
      <c r="FQ40" s="57" t="str">
        <f t="shared" si="42"/>
        <v/>
      </c>
      <c r="FR40" s="57" t="str">
        <f t="shared" si="42"/>
        <v/>
      </c>
      <c r="FS40" s="57" t="str">
        <f t="shared" si="43"/>
        <v/>
      </c>
      <c r="FT40" s="57" t="str">
        <f t="shared" si="43"/>
        <v/>
      </c>
      <c r="FU40" s="57" t="str">
        <f t="shared" si="43"/>
        <v/>
      </c>
      <c r="FV40" s="57" t="str">
        <f t="shared" si="43"/>
        <v/>
      </c>
      <c r="FW40" s="57" t="str">
        <f t="shared" si="43"/>
        <v/>
      </c>
      <c r="FX40" s="57" t="str">
        <f t="shared" si="43"/>
        <v/>
      </c>
      <c r="FY40" s="57" t="str">
        <f t="shared" si="43"/>
        <v/>
      </c>
      <c r="FZ40" s="57" t="str">
        <f t="shared" si="43"/>
        <v/>
      </c>
      <c r="GA40" s="57" t="str">
        <f t="shared" si="43"/>
        <v/>
      </c>
      <c r="GB40" s="57" t="str">
        <f t="shared" si="43"/>
        <v/>
      </c>
      <c r="GC40" s="57" t="str">
        <f t="shared" si="43"/>
        <v/>
      </c>
      <c r="GD40" s="57" t="str">
        <f t="shared" si="43"/>
        <v/>
      </c>
      <c r="GE40" s="57" t="str">
        <f t="shared" si="43"/>
        <v/>
      </c>
      <c r="GF40" s="57" t="str">
        <f t="shared" si="43"/>
        <v/>
      </c>
      <c r="GG40" s="57" t="str">
        <f t="shared" si="43"/>
        <v/>
      </c>
      <c r="GH40" s="57" t="str">
        <f t="shared" si="43"/>
        <v/>
      </c>
      <c r="GI40" s="57" t="str">
        <f t="shared" si="43"/>
        <v/>
      </c>
      <c r="GJ40" s="57" t="str">
        <f t="shared" si="43"/>
        <v/>
      </c>
      <c r="GK40" s="57" t="str">
        <f t="shared" si="43"/>
        <v/>
      </c>
      <c r="GL40" s="57" t="str">
        <f t="shared" si="43"/>
        <v/>
      </c>
      <c r="GM40" s="57" t="str">
        <f t="shared" si="43"/>
        <v/>
      </c>
      <c r="GN40" s="57" t="str">
        <f t="shared" si="43"/>
        <v/>
      </c>
      <c r="GO40" s="57" t="str">
        <f t="shared" si="43"/>
        <v/>
      </c>
      <c r="GP40" s="57" t="str">
        <f t="shared" si="43"/>
        <v/>
      </c>
      <c r="GQ40" s="57" t="str">
        <f t="shared" si="43"/>
        <v/>
      </c>
      <c r="GR40" s="57" t="str">
        <f t="shared" si="43"/>
        <v/>
      </c>
      <c r="GS40" s="57" t="str">
        <f t="shared" si="43"/>
        <v/>
      </c>
      <c r="GT40" s="57" t="str">
        <f t="shared" si="43"/>
        <v/>
      </c>
      <c r="GU40" s="57" t="str">
        <f t="shared" si="43"/>
        <v/>
      </c>
      <c r="GV40" s="57" t="str">
        <f t="shared" si="43"/>
        <v/>
      </c>
      <c r="GW40" s="57" t="str">
        <f t="shared" si="43"/>
        <v/>
      </c>
      <c r="GX40" s="57" t="str">
        <f t="shared" si="43"/>
        <v/>
      </c>
      <c r="GY40" s="57" t="str">
        <f t="shared" si="43"/>
        <v/>
      </c>
      <c r="GZ40" s="57" t="str">
        <f t="shared" si="43"/>
        <v/>
      </c>
      <c r="HA40" s="57" t="str">
        <f t="shared" si="43"/>
        <v/>
      </c>
      <c r="HB40" s="57" t="str">
        <f t="shared" si="43"/>
        <v/>
      </c>
      <c r="HC40" s="57" t="str">
        <f t="shared" si="43"/>
        <v/>
      </c>
      <c r="HD40" s="57" t="str">
        <f t="shared" si="43"/>
        <v/>
      </c>
      <c r="HE40" s="57" t="str">
        <f t="shared" si="43"/>
        <v/>
      </c>
      <c r="HF40" s="57" t="str">
        <f t="shared" si="43"/>
        <v/>
      </c>
      <c r="HG40" s="57" t="str">
        <f t="shared" si="43"/>
        <v/>
      </c>
      <c r="HH40" s="57" t="str">
        <f t="shared" si="43"/>
        <v/>
      </c>
      <c r="HI40" s="57" t="str">
        <f t="shared" si="43"/>
        <v/>
      </c>
      <c r="HJ40" s="57" t="str">
        <f t="shared" si="43"/>
        <v/>
      </c>
      <c r="HK40" s="57" t="str">
        <f t="shared" si="43"/>
        <v/>
      </c>
      <c r="HL40" s="57" t="str">
        <f t="shared" si="43"/>
        <v/>
      </c>
      <c r="HM40" s="57" t="str">
        <f t="shared" si="43"/>
        <v/>
      </c>
      <c r="HN40" s="57" t="str">
        <f t="shared" si="43"/>
        <v/>
      </c>
      <c r="HO40" s="57" t="str">
        <f t="shared" si="43"/>
        <v/>
      </c>
      <c r="HP40" s="57" t="str">
        <f t="shared" si="43"/>
        <v/>
      </c>
      <c r="HQ40" s="57" t="str">
        <f t="shared" si="43"/>
        <v/>
      </c>
      <c r="HR40" s="123" t="str">
        <f t="shared" si="43"/>
        <v/>
      </c>
    </row>
    <row r="41" spans="1:226" ht="11.15" customHeight="1" x14ac:dyDescent="0.25">
      <c r="A41" s="32"/>
      <c r="B41" s="33"/>
      <c r="C41" s="34" t="str">
        <f>IF(A41=0,"",VLOOKUP(A41,[3]CO!$A$3:$F$5311,2,0))</f>
        <v/>
      </c>
      <c r="D41" s="35"/>
      <c r="E41" s="35"/>
      <c r="F41" s="35"/>
      <c r="G41" s="36" t="str">
        <f>IF(A41=0,"",VLOOKUP(A41,[3]CO!$A$3:$F$5311,3,0))</f>
        <v/>
      </c>
      <c r="H41" s="102"/>
      <c r="I41" s="37"/>
      <c r="J41" s="37"/>
      <c r="K41" s="37"/>
      <c r="L41" s="37"/>
      <c r="M41" s="38" t="str">
        <f t="shared" si="36"/>
        <v/>
      </c>
      <c r="N41" s="38" t="str">
        <f>IF(B41=0,"",IF(H41="M",HLOOKUP(B41,$Y$12:$DT$13,2),IF(A41=0,"",VLOOKUP(A41,[3]CO!$A$3:$F$5311,4,0))))</f>
        <v/>
      </c>
      <c r="O41" s="38" t="str">
        <f t="shared" si="11"/>
        <v/>
      </c>
      <c r="P41" s="39"/>
      <c r="Q41" s="40" t="str">
        <f t="shared" si="29"/>
        <v/>
      </c>
      <c r="R41" s="41" t="str">
        <f t="shared" si="37"/>
        <v/>
      </c>
      <c r="S41" s="105"/>
      <c r="T41" s="60" t="str">
        <f>IF(A41=0,"",VLOOKUP(A41,[3]CO!$A$3:$F$5302,5,0))</f>
        <v/>
      </c>
      <c r="U41" s="61">
        <f t="shared" si="12"/>
        <v>0</v>
      </c>
      <c r="V41" s="30"/>
      <c r="W41" s="31"/>
      <c r="X41" s="31"/>
      <c r="Y41" s="71" t="str">
        <f t="shared" si="30"/>
        <v/>
      </c>
      <c r="Z41" s="62" t="str">
        <f t="shared" si="30"/>
        <v/>
      </c>
      <c r="AA41" s="62" t="str">
        <f t="shared" si="30"/>
        <v/>
      </c>
      <c r="AB41" s="62" t="str">
        <f t="shared" si="30"/>
        <v/>
      </c>
      <c r="AC41" s="62" t="str">
        <f t="shared" si="30"/>
        <v/>
      </c>
      <c r="AD41" s="62" t="str">
        <f t="shared" si="30"/>
        <v/>
      </c>
      <c r="AE41" s="62" t="str">
        <f t="shared" si="30"/>
        <v/>
      </c>
      <c r="AF41" s="62" t="str">
        <f t="shared" si="30"/>
        <v/>
      </c>
      <c r="AG41" s="62" t="str">
        <f t="shared" si="30"/>
        <v/>
      </c>
      <c r="AH41" s="62" t="str">
        <f t="shared" si="30"/>
        <v/>
      </c>
      <c r="AI41" s="62" t="str">
        <f t="shared" si="30"/>
        <v/>
      </c>
      <c r="AJ41" s="62" t="str">
        <f t="shared" si="30"/>
        <v/>
      </c>
      <c r="AK41" s="62" t="str">
        <f t="shared" si="30"/>
        <v/>
      </c>
      <c r="AL41" s="62" t="str">
        <f t="shared" si="30"/>
        <v/>
      </c>
      <c r="AM41" s="62" t="str">
        <f t="shared" si="30"/>
        <v/>
      </c>
      <c r="AN41" s="62" t="str">
        <f t="shared" si="30"/>
        <v/>
      </c>
      <c r="AO41" s="62" t="str">
        <f t="shared" si="40"/>
        <v/>
      </c>
      <c r="AP41" s="62" t="str">
        <f t="shared" si="40"/>
        <v/>
      </c>
      <c r="AQ41" s="62" t="str">
        <f t="shared" si="40"/>
        <v/>
      </c>
      <c r="AR41" s="62" t="str">
        <f t="shared" si="40"/>
        <v/>
      </c>
      <c r="AS41" s="62" t="str">
        <f t="shared" si="40"/>
        <v/>
      </c>
      <c r="AT41" s="62" t="str">
        <f t="shared" si="40"/>
        <v/>
      </c>
      <c r="AU41" s="62" t="str">
        <f t="shared" si="40"/>
        <v/>
      </c>
      <c r="AV41" s="62" t="str">
        <f t="shared" si="40"/>
        <v/>
      </c>
      <c r="AW41" s="62" t="str">
        <f t="shared" si="40"/>
        <v/>
      </c>
      <c r="AX41" s="62" t="str">
        <f t="shared" si="40"/>
        <v/>
      </c>
      <c r="AY41" s="62" t="str">
        <f t="shared" si="40"/>
        <v/>
      </c>
      <c r="AZ41" s="62" t="str">
        <f t="shared" si="40"/>
        <v/>
      </c>
      <c r="BA41" s="62" t="str">
        <f t="shared" si="40"/>
        <v/>
      </c>
      <c r="BB41" s="62" t="str">
        <f t="shared" si="40"/>
        <v/>
      </c>
      <c r="BC41" s="62" t="str">
        <f t="shared" si="40"/>
        <v/>
      </c>
      <c r="BD41" s="62" t="str">
        <f t="shared" si="40"/>
        <v/>
      </c>
      <c r="BE41" s="62" t="str">
        <f t="shared" si="41"/>
        <v/>
      </c>
      <c r="BF41" s="62" t="str">
        <f t="shared" si="41"/>
        <v/>
      </c>
      <c r="BG41" s="62" t="str">
        <f t="shared" si="41"/>
        <v/>
      </c>
      <c r="BH41" s="62" t="str">
        <f t="shared" si="41"/>
        <v/>
      </c>
      <c r="BI41" s="62" t="str">
        <f t="shared" si="41"/>
        <v/>
      </c>
      <c r="BJ41" s="62" t="str">
        <f t="shared" si="41"/>
        <v/>
      </c>
      <c r="BK41" s="62" t="str">
        <f t="shared" si="41"/>
        <v/>
      </c>
      <c r="BL41" s="62" t="str">
        <f t="shared" si="41"/>
        <v/>
      </c>
      <c r="BM41" s="62" t="str">
        <f t="shared" si="41"/>
        <v/>
      </c>
      <c r="BN41" s="62" t="str">
        <f t="shared" si="41"/>
        <v/>
      </c>
      <c r="BO41" s="62" t="str">
        <f t="shared" si="41"/>
        <v/>
      </c>
      <c r="BP41" s="62" t="str">
        <f t="shared" si="41"/>
        <v/>
      </c>
      <c r="BQ41" s="62" t="str">
        <f t="shared" si="41"/>
        <v/>
      </c>
      <c r="BR41" s="62" t="str">
        <f t="shared" si="41"/>
        <v/>
      </c>
      <c r="BS41" s="62" t="str">
        <f t="shared" si="41"/>
        <v/>
      </c>
      <c r="BT41" s="62" t="str">
        <f t="shared" si="41"/>
        <v/>
      </c>
      <c r="BU41" s="62" t="str">
        <f t="shared" si="41"/>
        <v/>
      </c>
      <c r="BV41" s="62" t="str">
        <f t="shared" si="41"/>
        <v/>
      </c>
      <c r="BW41" s="62" t="str">
        <f t="shared" si="41"/>
        <v/>
      </c>
      <c r="BX41" s="62" t="str">
        <f t="shared" si="41"/>
        <v/>
      </c>
      <c r="BY41" s="62" t="str">
        <f t="shared" si="41"/>
        <v/>
      </c>
      <c r="BZ41" s="62" t="str">
        <f t="shared" si="41"/>
        <v/>
      </c>
      <c r="CA41" s="62" t="str">
        <f t="shared" si="41"/>
        <v/>
      </c>
      <c r="CB41" s="62" t="str">
        <f t="shared" si="41"/>
        <v/>
      </c>
      <c r="CC41" s="62" t="str">
        <f t="shared" si="41"/>
        <v/>
      </c>
      <c r="CD41" s="62" t="str">
        <f t="shared" si="41"/>
        <v/>
      </c>
      <c r="CE41" s="62" t="str">
        <f t="shared" si="41"/>
        <v/>
      </c>
      <c r="CF41" s="62" t="str">
        <f t="shared" si="41"/>
        <v/>
      </c>
      <c r="CG41" s="62" t="str">
        <f t="shared" si="41"/>
        <v/>
      </c>
      <c r="CH41" s="62" t="str">
        <f t="shared" si="41"/>
        <v/>
      </c>
      <c r="CI41" s="62" t="str">
        <f t="shared" si="41"/>
        <v/>
      </c>
      <c r="CJ41" s="62" t="str">
        <f t="shared" si="41"/>
        <v/>
      </c>
      <c r="CK41" s="62" t="str">
        <f t="shared" si="41"/>
        <v/>
      </c>
      <c r="CL41" s="62" t="str">
        <f t="shared" si="41"/>
        <v/>
      </c>
      <c r="CM41" s="62" t="str">
        <f t="shared" si="41"/>
        <v/>
      </c>
      <c r="CN41" s="62" t="str">
        <f t="shared" si="41"/>
        <v/>
      </c>
      <c r="CO41" s="62" t="str">
        <f t="shared" si="41"/>
        <v/>
      </c>
      <c r="CP41" s="62" t="str">
        <f t="shared" si="41"/>
        <v/>
      </c>
      <c r="CQ41" s="62" t="str">
        <f t="shared" si="41"/>
        <v/>
      </c>
      <c r="CR41" s="62" t="str">
        <f t="shared" si="41"/>
        <v/>
      </c>
      <c r="CS41" s="62" t="str">
        <f t="shared" si="41"/>
        <v/>
      </c>
      <c r="CT41" s="62" t="str">
        <f t="shared" si="41"/>
        <v/>
      </c>
      <c r="CU41" s="62" t="str">
        <f t="shared" si="41"/>
        <v/>
      </c>
      <c r="CV41" s="62" t="str">
        <f t="shared" si="41"/>
        <v/>
      </c>
      <c r="CW41" s="62" t="str">
        <f t="shared" si="41"/>
        <v/>
      </c>
      <c r="CX41" s="62" t="str">
        <f t="shared" si="41"/>
        <v/>
      </c>
      <c r="CY41" s="62" t="str">
        <f t="shared" si="41"/>
        <v/>
      </c>
      <c r="CZ41" s="62" t="str">
        <f t="shared" si="41"/>
        <v/>
      </c>
      <c r="DA41" s="62" t="str">
        <f t="shared" si="41"/>
        <v/>
      </c>
      <c r="DB41" s="62" t="str">
        <f t="shared" si="41"/>
        <v/>
      </c>
      <c r="DC41" s="62" t="str">
        <f t="shared" si="41"/>
        <v/>
      </c>
      <c r="DD41" s="62" t="str">
        <f t="shared" si="41"/>
        <v/>
      </c>
      <c r="DE41" s="62" t="str">
        <f t="shared" si="32"/>
        <v/>
      </c>
      <c r="DF41" s="62" t="str">
        <f t="shared" si="32"/>
        <v/>
      </c>
      <c r="DG41" s="62" t="str">
        <f t="shared" si="32"/>
        <v/>
      </c>
      <c r="DH41" s="62" t="str">
        <f t="shared" si="32"/>
        <v/>
      </c>
      <c r="DI41" s="62" t="str">
        <f t="shared" si="32"/>
        <v/>
      </c>
      <c r="DJ41" s="62" t="str">
        <f t="shared" si="32"/>
        <v/>
      </c>
      <c r="DK41" s="62" t="str">
        <f t="shared" si="32"/>
        <v/>
      </c>
      <c r="DL41" s="62" t="str">
        <f t="shared" si="32"/>
        <v/>
      </c>
      <c r="DM41" s="62" t="str">
        <f t="shared" si="32"/>
        <v/>
      </c>
      <c r="DN41" s="62" t="str">
        <f t="shared" si="32"/>
        <v/>
      </c>
      <c r="DO41" s="62" t="str">
        <f t="shared" si="32"/>
        <v/>
      </c>
      <c r="DP41" s="62" t="str">
        <f t="shared" si="32"/>
        <v/>
      </c>
      <c r="DQ41" s="62" t="str">
        <f t="shared" si="32"/>
        <v/>
      </c>
      <c r="DR41" s="62" t="str">
        <f t="shared" si="32"/>
        <v/>
      </c>
      <c r="DS41" s="62" t="str">
        <f t="shared" si="32"/>
        <v/>
      </c>
      <c r="DT41" s="117" t="str">
        <f t="shared" si="32"/>
        <v/>
      </c>
      <c r="DU41" s="61"/>
      <c r="DV41" s="31"/>
      <c r="DW41" s="68" t="str">
        <f t="shared" si="33"/>
        <v/>
      </c>
      <c r="DX41" s="57" t="str">
        <f t="shared" si="33"/>
        <v/>
      </c>
      <c r="DY41" s="57" t="str">
        <f t="shared" si="33"/>
        <v/>
      </c>
      <c r="DZ41" s="57" t="str">
        <f t="shared" si="33"/>
        <v/>
      </c>
      <c r="EA41" s="57" t="str">
        <f t="shared" si="33"/>
        <v/>
      </c>
      <c r="EB41" s="57" t="str">
        <f t="shared" si="33"/>
        <v/>
      </c>
      <c r="EC41" s="57" t="str">
        <f t="shared" si="33"/>
        <v/>
      </c>
      <c r="ED41" s="57" t="str">
        <f t="shared" si="33"/>
        <v/>
      </c>
      <c r="EE41" s="57" t="str">
        <f t="shared" si="33"/>
        <v/>
      </c>
      <c r="EF41" s="57" t="str">
        <f t="shared" si="33"/>
        <v/>
      </c>
      <c r="EG41" s="57" t="str">
        <f t="shared" si="33"/>
        <v/>
      </c>
      <c r="EH41" s="57" t="str">
        <f t="shared" si="33"/>
        <v/>
      </c>
      <c r="EI41" s="57" t="str">
        <f t="shared" si="33"/>
        <v/>
      </c>
      <c r="EJ41" s="57" t="str">
        <f t="shared" si="33"/>
        <v/>
      </c>
      <c r="EK41" s="57" t="str">
        <f t="shared" si="33"/>
        <v/>
      </c>
      <c r="EL41" s="57" t="str">
        <f t="shared" si="33"/>
        <v/>
      </c>
      <c r="EM41" s="57" t="str">
        <f t="shared" si="33"/>
        <v/>
      </c>
      <c r="EN41" s="57" t="str">
        <f t="shared" si="33"/>
        <v/>
      </c>
      <c r="EO41" s="57" t="str">
        <f t="shared" si="33"/>
        <v/>
      </c>
      <c r="EP41" s="57" t="str">
        <f t="shared" si="33"/>
        <v/>
      </c>
      <c r="EQ41" s="57" t="str">
        <f t="shared" si="33"/>
        <v/>
      </c>
      <c r="ER41" s="57" t="str">
        <f t="shared" si="33"/>
        <v/>
      </c>
      <c r="ES41" s="57" t="str">
        <f t="shared" si="33"/>
        <v/>
      </c>
      <c r="ET41" s="57" t="str">
        <f t="shared" si="33"/>
        <v/>
      </c>
      <c r="EU41" s="57" t="str">
        <f t="shared" si="33"/>
        <v/>
      </c>
      <c r="EV41" s="57" t="str">
        <f t="shared" si="33"/>
        <v/>
      </c>
      <c r="EW41" s="57" t="str">
        <f t="shared" si="33"/>
        <v/>
      </c>
      <c r="EX41" s="57" t="str">
        <f t="shared" si="33"/>
        <v/>
      </c>
      <c r="EY41" s="57" t="str">
        <f t="shared" si="33"/>
        <v/>
      </c>
      <c r="EZ41" s="57" t="str">
        <f t="shared" si="33"/>
        <v/>
      </c>
      <c r="FA41" s="57" t="str">
        <f t="shared" si="33"/>
        <v/>
      </c>
      <c r="FB41" s="57" t="str">
        <f t="shared" si="33"/>
        <v/>
      </c>
      <c r="FC41" s="57" t="str">
        <f t="shared" si="42"/>
        <v/>
      </c>
      <c r="FD41" s="57" t="str">
        <f t="shared" si="42"/>
        <v/>
      </c>
      <c r="FE41" s="57" t="str">
        <f t="shared" si="42"/>
        <v/>
      </c>
      <c r="FF41" s="57" t="str">
        <f t="shared" si="42"/>
        <v/>
      </c>
      <c r="FG41" s="57" t="str">
        <f t="shared" si="42"/>
        <v/>
      </c>
      <c r="FH41" s="57" t="str">
        <f t="shared" si="42"/>
        <v/>
      </c>
      <c r="FI41" s="57" t="str">
        <f t="shared" si="42"/>
        <v/>
      </c>
      <c r="FJ41" s="57" t="str">
        <f t="shared" si="42"/>
        <v/>
      </c>
      <c r="FK41" s="57" t="str">
        <f t="shared" si="42"/>
        <v/>
      </c>
      <c r="FL41" s="57" t="str">
        <f t="shared" si="42"/>
        <v/>
      </c>
      <c r="FM41" s="57" t="str">
        <f t="shared" si="42"/>
        <v/>
      </c>
      <c r="FN41" s="57" t="str">
        <f t="shared" si="42"/>
        <v/>
      </c>
      <c r="FO41" s="57" t="str">
        <f t="shared" si="42"/>
        <v/>
      </c>
      <c r="FP41" s="57" t="str">
        <f t="shared" si="42"/>
        <v/>
      </c>
      <c r="FQ41" s="57" t="str">
        <f t="shared" si="42"/>
        <v/>
      </c>
      <c r="FR41" s="57" t="str">
        <f t="shared" si="42"/>
        <v/>
      </c>
      <c r="FS41" s="57" t="str">
        <f t="shared" si="43"/>
        <v/>
      </c>
      <c r="FT41" s="57" t="str">
        <f t="shared" si="43"/>
        <v/>
      </c>
      <c r="FU41" s="57" t="str">
        <f t="shared" si="43"/>
        <v/>
      </c>
      <c r="FV41" s="57" t="str">
        <f t="shared" si="43"/>
        <v/>
      </c>
      <c r="FW41" s="57" t="str">
        <f t="shared" si="43"/>
        <v/>
      </c>
      <c r="FX41" s="57" t="str">
        <f t="shared" si="43"/>
        <v/>
      </c>
      <c r="FY41" s="57" t="str">
        <f t="shared" si="43"/>
        <v/>
      </c>
      <c r="FZ41" s="57" t="str">
        <f t="shared" si="43"/>
        <v/>
      </c>
      <c r="GA41" s="57" t="str">
        <f t="shared" si="43"/>
        <v/>
      </c>
      <c r="GB41" s="57" t="str">
        <f t="shared" si="43"/>
        <v/>
      </c>
      <c r="GC41" s="57" t="str">
        <f t="shared" si="43"/>
        <v/>
      </c>
      <c r="GD41" s="57" t="str">
        <f t="shared" si="43"/>
        <v/>
      </c>
      <c r="GE41" s="57" t="str">
        <f t="shared" si="43"/>
        <v/>
      </c>
      <c r="GF41" s="57" t="str">
        <f t="shared" si="43"/>
        <v/>
      </c>
      <c r="GG41" s="57" t="str">
        <f t="shared" si="43"/>
        <v/>
      </c>
      <c r="GH41" s="57" t="str">
        <f t="shared" si="43"/>
        <v/>
      </c>
      <c r="GI41" s="57" t="str">
        <f t="shared" si="43"/>
        <v/>
      </c>
      <c r="GJ41" s="57" t="str">
        <f t="shared" si="43"/>
        <v/>
      </c>
      <c r="GK41" s="57" t="str">
        <f t="shared" si="43"/>
        <v/>
      </c>
      <c r="GL41" s="57" t="str">
        <f t="shared" si="43"/>
        <v/>
      </c>
      <c r="GM41" s="57" t="str">
        <f t="shared" si="43"/>
        <v/>
      </c>
      <c r="GN41" s="57" t="str">
        <f t="shared" si="43"/>
        <v/>
      </c>
      <c r="GO41" s="57" t="str">
        <f t="shared" si="43"/>
        <v/>
      </c>
      <c r="GP41" s="57" t="str">
        <f t="shared" si="43"/>
        <v/>
      </c>
      <c r="GQ41" s="57" t="str">
        <f t="shared" si="43"/>
        <v/>
      </c>
      <c r="GR41" s="57" t="str">
        <f t="shared" si="43"/>
        <v/>
      </c>
      <c r="GS41" s="57" t="str">
        <f t="shared" si="43"/>
        <v/>
      </c>
      <c r="GT41" s="57" t="str">
        <f t="shared" si="43"/>
        <v/>
      </c>
      <c r="GU41" s="57" t="str">
        <f t="shared" si="43"/>
        <v/>
      </c>
      <c r="GV41" s="57" t="str">
        <f t="shared" si="43"/>
        <v/>
      </c>
      <c r="GW41" s="57" t="str">
        <f t="shared" si="43"/>
        <v/>
      </c>
      <c r="GX41" s="57" t="str">
        <f t="shared" si="43"/>
        <v/>
      </c>
      <c r="GY41" s="57" t="str">
        <f t="shared" si="43"/>
        <v/>
      </c>
      <c r="GZ41" s="57" t="str">
        <f t="shared" si="43"/>
        <v/>
      </c>
      <c r="HA41" s="57" t="str">
        <f t="shared" si="43"/>
        <v/>
      </c>
      <c r="HB41" s="57" t="str">
        <f t="shared" si="43"/>
        <v/>
      </c>
      <c r="HC41" s="57" t="str">
        <f t="shared" si="43"/>
        <v/>
      </c>
      <c r="HD41" s="57" t="str">
        <f t="shared" si="43"/>
        <v/>
      </c>
      <c r="HE41" s="57" t="str">
        <f t="shared" si="43"/>
        <v/>
      </c>
      <c r="HF41" s="57" t="str">
        <f t="shared" si="43"/>
        <v/>
      </c>
      <c r="HG41" s="57" t="str">
        <f t="shared" si="43"/>
        <v/>
      </c>
      <c r="HH41" s="57" t="str">
        <f t="shared" si="43"/>
        <v/>
      </c>
      <c r="HI41" s="57" t="str">
        <f t="shared" si="43"/>
        <v/>
      </c>
      <c r="HJ41" s="57" t="str">
        <f t="shared" si="43"/>
        <v/>
      </c>
      <c r="HK41" s="57" t="str">
        <f t="shared" si="43"/>
        <v/>
      </c>
      <c r="HL41" s="57" t="str">
        <f t="shared" si="43"/>
        <v/>
      </c>
      <c r="HM41" s="57" t="str">
        <f t="shared" si="43"/>
        <v/>
      </c>
      <c r="HN41" s="57" t="str">
        <f t="shared" si="43"/>
        <v/>
      </c>
      <c r="HO41" s="57" t="str">
        <f t="shared" si="43"/>
        <v/>
      </c>
      <c r="HP41" s="57" t="str">
        <f t="shared" si="43"/>
        <v/>
      </c>
      <c r="HQ41" s="57" t="str">
        <f t="shared" si="43"/>
        <v/>
      </c>
      <c r="HR41" s="123" t="str">
        <f t="shared" si="43"/>
        <v/>
      </c>
    </row>
    <row r="42" spans="1:226" ht="11.15" customHeight="1" thickBot="1" x14ac:dyDescent="0.3">
      <c r="A42" s="73"/>
      <c r="B42" s="74"/>
      <c r="C42" s="75" t="str">
        <f>IF(A42=0,"",VLOOKUP(A42,[3]CO!$A$3:$F$5311,2,0))</f>
        <v/>
      </c>
      <c r="D42" s="76"/>
      <c r="E42" s="76"/>
      <c r="F42" s="76"/>
      <c r="G42" s="77" t="str">
        <f>IF(A42=0,"",VLOOKUP(A42,[3]CO!$A$3:$F$5311,3,0))</f>
        <v/>
      </c>
      <c r="H42" s="103"/>
      <c r="I42" s="78"/>
      <c r="J42" s="78"/>
      <c r="K42" s="78"/>
      <c r="L42" s="78"/>
      <c r="M42" s="79" t="str">
        <f>IF(H42&gt;0,H42*Q$31/N42,IF(L42&gt;0,L42,""))</f>
        <v/>
      </c>
      <c r="N42" s="79" t="str">
        <f>IF(B42=0,"",IF(H42="M",HLOOKUP(B42,$Y$12:$DT$13,2),IF(A42=0,"",VLOOKUP(A42,[3]CO!$A$3:$F$5311,4,0))))</f>
        <v/>
      </c>
      <c r="O42" s="79" t="str">
        <f t="shared" si="11"/>
        <v/>
      </c>
      <c r="P42" s="80"/>
      <c r="Q42" s="81" t="str">
        <f t="shared" si="29"/>
        <v/>
      </c>
      <c r="R42" s="82" t="str">
        <f t="shared" si="37"/>
        <v/>
      </c>
      <c r="S42" s="105"/>
      <c r="T42" s="60" t="str">
        <f>IF(A42=0,"",VLOOKUP(A42,[3]CO!$A$3:$F$5302,5,0))</f>
        <v/>
      </c>
      <c r="U42" s="61">
        <f t="shared" si="12"/>
        <v>0</v>
      </c>
      <c r="V42" s="30"/>
      <c r="W42" s="31"/>
      <c r="X42" s="31"/>
      <c r="Y42" s="83" t="str">
        <f t="shared" si="30"/>
        <v/>
      </c>
      <c r="Z42" s="84" t="str">
        <f t="shared" si="30"/>
        <v/>
      </c>
      <c r="AA42" s="84" t="str">
        <f t="shared" si="30"/>
        <v/>
      </c>
      <c r="AB42" s="84" t="str">
        <f t="shared" si="30"/>
        <v/>
      </c>
      <c r="AC42" s="84" t="str">
        <f t="shared" si="30"/>
        <v/>
      </c>
      <c r="AD42" s="84" t="str">
        <f t="shared" si="30"/>
        <v/>
      </c>
      <c r="AE42" s="84" t="str">
        <f t="shared" si="30"/>
        <v/>
      </c>
      <c r="AF42" s="84" t="str">
        <f t="shared" si="30"/>
        <v/>
      </c>
      <c r="AG42" s="84" t="str">
        <f t="shared" si="30"/>
        <v/>
      </c>
      <c r="AH42" s="84" t="str">
        <f t="shared" si="30"/>
        <v/>
      </c>
      <c r="AI42" s="84" t="str">
        <f t="shared" si="30"/>
        <v/>
      </c>
      <c r="AJ42" s="84" t="str">
        <f t="shared" si="30"/>
        <v/>
      </c>
      <c r="AK42" s="84" t="str">
        <f t="shared" si="30"/>
        <v/>
      </c>
      <c r="AL42" s="84" t="str">
        <f t="shared" si="30"/>
        <v/>
      </c>
      <c r="AM42" s="84" t="str">
        <f t="shared" si="30"/>
        <v/>
      </c>
      <c r="AN42" s="84" t="str">
        <f t="shared" si="30"/>
        <v/>
      </c>
      <c r="AO42" s="84" t="str">
        <f t="shared" si="40"/>
        <v/>
      </c>
      <c r="AP42" s="84" t="str">
        <f t="shared" si="40"/>
        <v/>
      </c>
      <c r="AQ42" s="84" t="str">
        <f t="shared" si="40"/>
        <v/>
      </c>
      <c r="AR42" s="84" t="str">
        <f t="shared" si="40"/>
        <v/>
      </c>
      <c r="AS42" s="84" t="str">
        <f t="shared" si="40"/>
        <v/>
      </c>
      <c r="AT42" s="84" t="str">
        <f t="shared" si="40"/>
        <v/>
      </c>
      <c r="AU42" s="84" t="str">
        <f t="shared" si="40"/>
        <v/>
      </c>
      <c r="AV42" s="84" t="str">
        <f t="shared" si="40"/>
        <v/>
      </c>
      <c r="AW42" s="84" t="str">
        <f t="shared" si="40"/>
        <v/>
      </c>
      <c r="AX42" s="84" t="str">
        <f t="shared" si="40"/>
        <v/>
      </c>
      <c r="AY42" s="84" t="str">
        <f t="shared" si="40"/>
        <v/>
      </c>
      <c r="AZ42" s="84" t="str">
        <f t="shared" si="40"/>
        <v/>
      </c>
      <c r="BA42" s="84" t="str">
        <f t="shared" si="40"/>
        <v/>
      </c>
      <c r="BB42" s="84" t="str">
        <f t="shared" si="40"/>
        <v/>
      </c>
      <c r="BC42" s="84" t="str">
        <f t="shared" si="40"/>
        <v/>
      </c>
      <c r="BD42" s="84" t="str">
        <f t="shared" si="40"/>
        <v/>
      </c>
      <c r="BE42" s="84" t="str">
        <f t="shared" si="41"/>
        <v/>
      </c>
      <c r="BF42" s="84" t="str">
        <f t="shared" si="41"/>
        <v/>
      </c>
      <c r="BG42" s="84" t="str">
        <f t="shared" si="41"/>
        <v/>
      </c>
      <c r="BH42" s="84" t="str">
        <f t="shared" si="41"/>
        <v/>
      </c>
      <c r="BI42" s="84" t="str">
        <f t="shared" si="41"/>
        <v/>
      </c>
      <c r="BJ42" s="84" t="str">
        <f t="shared" si="41"/>
        <v/>
      </c>
      <c r="BK42" s="84" t="str">
        <f t="shared" si="41"/>
        <v/>
      </c>
      <c r="BL42" s="84" t="str">
        <f t="shared" si="41"/>
        <v/>
      </c>
      <c r="BM42" s="84" t="str">
        <f t="shared" si="41"/>
        <v/>
      </c>
      <c r="BN42" s="84" t="str">
        <f t="shared" si="41"/>
        <v/>
      </c>
      <c r="BO42" s="84" t="str">
        <f t="shared" si="41"/>
        <v/>
      </c>
      <c r="BP42" s="84" t="str">
        <f t="shared" si="41"/>
        <v/>
      </c>
      <c r="BQ42" s="84" t="str">
        <f t="shared" si="41"/>
        <v/>
      </c>
      <c r="BR42" s="84" t="str">
        <f t="shared" si="41"/>
        <v/>
      </c>
      <c r="BS42" s="84" t="str">
        <f t="shared" si="41"/>
        <v/>
      </c>
      <c r="BT42" s="84" t="str">
        <f t="shared" si="41"/>
        <v/>
      </c>
      <c r="BU42" s="84" t="str">
        <f t="shared" si="41"/>
        <v/>
      </c>
      <c r="BV42" s="84" t="str">
        <f t="shared" si="41"/>
        <v/>
      </c>
      <c r="BW42" s="84" t="str">
        <f t="shared" si="41"/>
        <v/>
      </c>
      <c r="BX42" s="84" t="str">
        <f t="shared" si="41"/>
        <v/>
      </c>
      <c r="BY42" s="84" t="str">
        <f t="shared" si="41"/>
        <v/>
      </c>
      <c r="BZ42" s="84" t="str">
        <f t="shared" si="41"/>
        <v/>
      </c>
      <c r="CA42" s="84" t="str">
        <f t="shared" si="41"/>
        <v/>
      </c>
      <c r="CB42" s="84" t="str">
        <f t="shared" si="41"/>
        <v/>
      </c>
      <c r="CC42" s="84" t="str">
        <f t="shared" si="41"/>
        <v/>
      </c>
      <c r="CD42" s="84" t="str">
        <f t="shared" si="41"/>
        <v/>
      </c>
      <c r="CE42" s="84" t="str">
        <f t="shared" si="41"/>
        <v/>
      </c>
      <c r="CF42" s="84" t="str">
        <f t="shared" si="41"/>
        <v/>
      </c>
      <c r="CG42" s="84" t="str">
        <f t="shared" si="41"/>
        <v/>
      </c>
      <c r="CH42" s="84" t="str">
        <f t="shared" si="41"/>
        <v/>
      </c>
      <c r="CI42" s="84" t="str">
        <f t="shared" si="41"/>
        <v/>
      </c>
      <c r="CJ42" s="84" t="str">
        <f t="shared" si="41"/>
        <v/>
      </c>
      <c r="CK42" s="84" t="str">
        <f t="shared" si="41"/>
        <v/>
      </c>
      <c r="CL42" s="84" t="str">
        <f t="shared" si="41"/>
        <v/>
      </c>
      <c r="CM42" s="84" t="str">
        <f t="shared" si="41"/>
        <v/>
      </c>
      <c r="CN42" s="84" t="str">
        <f t="shared" si="41"/>
        <v/>
      </c>
      <c r="CO42" s="84" t="str">
        <f t="shared" si="41"/>
        <v/>
      </c>
      <c r="CP42" s="84" t="str">
        <f t="shared" si="41"/>
        <v/>
      </c>
      <c r="CQ42" s="84" t="str">
        <f t="shared" si="41"/>
        <v/>
      </c>
      <c r="CR42" s="84" t="str">
        <f t="shared" si="41"/>
        <v/>
      </c>
      <c r="CS42" s="84" t="str">
        <f t="shared" si="41"/>
        <v/>
      </c>
      <c r="CT42" s="84" t="str">
        <f t="shared" si="41"/>
        <v/>
      </c>
      <c r="CU42" s="84" t="str">
        <f t="shared" si="41"/>
        <v/>
      </c>
      <c r="CV42" s="84" t="str">
        <f t="shared" si="41"/>
        <v/>
      </c>
      <c r="CW42" s="84" t="str">
        <f t="shared" si="41"/>
        <v/>
      </c>
      <c r="CX42" s="84" t="str">
        <f t="shared" si="41"/>
        <v/>
      </c>
      <c r="CY42" s="84" t="str">
        <f t="shared" si="41"/>
        <v/>
      </c>
      <c r="CZ42" s="84" t="str">
        <f t="shared" si="41"/>
        <v/>
      </c>
      <c r="DA42" s="84" t="str">
        <f t="shared" si="41"/>
        <v/>
      </c>
      <c r="DB42" s="84" t="str">
        <f t="shared" si="41"/>
        <v/>
      </c>
      <c r="DC42" s="84" t="str">
        <f t="shared" si="41"/>
        <v/>
      </c>
      <c r="DD42" s="84" t="str">
        <f t="shared" si="41"/>
        <v/>
      </c>
      <c r="DE42" s="84" t="str">
        <f t="shared" si="32"/>
        <v/>
      </c>
      <c r="DF42" s="84" t="str">
        <f t="shared" si="32"/>
        <v/>
      </c>
      <c r="DG42" s="84" t="str">
        <f t="shared" si="32"/>
        <v/>
      </c>
      <c r="DH42" s="84" t="str">
        <f t="shared" si="32"/>
        <v/>
      </c>
      <c r="DI42" s="84" t="str">
        <f t="shared" si="32"/>
        <v/>
      </c>
      <c r="DJ42" s="84" t="str">
        <f t="shared" si="32"/>
        <v/>
      </c>
      <c r="DK42" s="84" t="str">
        <f t="shared" si="32"/>
        <v/>
      </c>
      <c r="DL42" s="84" t="str">
        <f t="shared" si="32"/>
        <v/>
      </c>
      <c r="DM42" s="84" t="str">
        <f t="shared" si="32"/>
        <v/>
      </c>
      <c r="DN42" s="84" t="str">
        <f t="shared" si="32"/>
        <v/>
      </c>
      <c r="DO42" s="84" t="str">
        <f t="shared" si="32"/>
        <v/>
      </c>
      <c r="DP42" s="84" t="str">
        <f t="shared" si="32"/>
        <v/>
      </c>
      <c r="DQ42" s="84" t="str">
        <f t="shared" si="32"/>
        <v/>
      </c>
      <c r="DR42" s="84" t="str">
        <f t="shared" si="32"/>
        <v/>
      </c>
      <c r="DS42" s="84" t="str">
        <f t="shared" si="32"/>
        <v/>
      </c>
      <c r="DT42" s="118" t="str">
        <f t="shared" si="32"/>
        <v/>
      </c>
      <c r="DU42" s="61"/>
      <c r="DV42" s="31"/>
      <c r="DW42" s="85" t="str">
        <f t="shared" si="33"/>
        <v/>
      </c>
      <c r="DX42" s="86" t="str">
        <f t="shared" si="33"/>
        <v/>
      </c>
      <c r="DY42" s="86" t="str">
        <f t="shared" si="33"/>
        <v/>
      </c>
      <c r="DZ42" s="86" t="str">
        <f t="shared" si="33"/>
        <v/>
      </c>
      <c r="EA42" s="86" t="str">
        <f t="shared" si="33"/>
        <v/>
      </c>
      <c r="EB42" s="86" t="str">
        <f t="shared" si="33"/>
        <v/>
      </c>
      <c r="EC42" s="86" t="str">
        <f t="shared" si="33"/>
        <v/>
      </c>
      <c r="ED42" s="86" t="str">
        <f t="shared" si="33"/>
        <v/>
      </c>
      <c r="EE42" s="86" t="str">
        <f t="shared" si="33"/>
        <v/>
      </c>
      <c r="EF42" s="86" t="str">
        <f t="shared" si="33"/>
        <v/>
      </c>
      <c r="EG42" s="86" t="str">
        <f t="shared" si="33"/>
        <v/>
      </c>
      <c r="EH42" s="86" t="str">
        <f t="shared" si="33"/>
        <v/>
      </c>
      <c r="EI42" s="86" t="str">
        <f t="shared" si="33"/>
        <v/>
      </c>
      <c r="EJ42" s="86" t="str">
        <f t="shared" si="33"/>
        <v/>
      </c>
      <c r="EK42" s="86" t="str">
        <f t="shared" si="33"/>
        <v/>
      </c>
      <c r="EL42" s="86" t="str">
        <f t="shared" si="33"/>
        <v/>
      </c>
      <c r="EM42" s="86" t="str">
        <f t="shared" si="33"/>
        <v/>
      </c>
      <c r="EN42" s="86" t="str">
        <f t="shared" si="33"/>
        <v/>
      </c>
      <c r="EO42" s="86" t="str">
        <f t="shared" si="33"/>
        <v/>
      </c>
      <c r="EP42" s="86" t="str">
        <f t="shared" si="33"/>
        <v/>
      </c>
      <c r="EQ42" s="86" t="str">
        <f t="shared" si="33"/>
        <v/>
      </c>
      <c r="ER42" s="86" t="str">
        <f t="shared" si="33"/>
        <v/>
      </c>
      <c r="ES42" s="86" t="str">
        <f t="shared" si="33"/>
        <v/>
      </c>
      <c r="ET42" s="86" t="str">
        <f t="shared" si="33"/>
        <v/>
      </c>
      <c r="EU42" s="86" t="str">
        <f t="shared" si="33"/>
        <v/>
      </c>
      <c r="EV42" s="86" t="str">
        <f t="shared" si="33"/>
        <v/>
      </c>
      <c r="EW42" s="86" t="str">
        <f t="shared" si="33"/>
        <v/>
      </c>
      <c r="EX42" s="86" t="str">
        <f t="shared" si="33"/>
        <v/>
      </c>
      <c r="EY42" s="86" t="str">
        <f t="shared" si="33"/>
        <v/>
      </c>
      <c r="EZ42" s="86" t="str">
        <f t="shared" si="33"/>
        <v/>
      </c>
      <c r="FA42" s="86" t="str">
        <f t="shared" si="33"/>
        <v/>
      </c>
      <c r="FB42" s="86" t="str">
        <f>IF($B42=FB$12,$O42,"")</f>
        <v/>
      </c>
      <c r="FC42" s="86" t="str">
        <f t="shared" si="42"/>
        <v/>
      </c>
      <c r="FD42" s="86" t="str">
        <f t="shared" si="42"/>
        <v/>
      </c>
      <c r="FE42" s="86" t="str">
        <f t="shared" si="42"/>
        <v/>
      </c>
      <c r="FF42" s="86" t="str">
        <f t="shared" si="42"/>
        <v/>
      </c>
      <c r="FG42" s="86" t="str">
        <f t="shared" si="42"/>
        <v/>
      </c>
      <c r="FH42" s="86" t="str">
        <f t="shared" si="42"/>
        <v/>
      </c>
      <c r="FI42" s="86" t="str">
        <f t="shared" si="42"/>
        <v/>
      </c>
      <c r="FJ42" s="86" t="str">
        <f t="shared" si="42"/>
        <v/>
      </c>
      <c r="FK42" s="86" t="str">
        <f t="shared" si="42"/>
        <v/>
      </c>
      <c r="FL42" s="86" t="str">
        <f t="shared" si="42"/>
        <v/>
      </c>
      <c r="FM42" s="86" t="str">
        <f t="shared" si="42"/>
        <v/>
      </c>
      <c r="FN42" s="86" t="str">
        <f t="shared" si="42"/>
        <v/>
      </c>
      <c r="FO42" s="86" t="str">
        <f t="shared" si="42"/>
        <v/>
      </c>
      <c r="FP42" s="86" t="str">
        <f t="shared" si="42"/>
        <v/>
      </c>
      <c r="FQ42" s="86" t="str">
        <f t="shared" si="42"/>
        <v/>
      </c>
      <c r="FR42" s="86" t="str">
        <f t="shared" si="42"/>
        <v/>
      </c>
      <c r="FS42" s="86" t="str">
        <f t="shared" si="43"/>
        <v/>
      </c>
      <c r="FT42" s="86" t="str">
        <f t="shared" si="43"/>
        <v/>
      </c>
      <c r="FU42" s="86" t="str">
        <f t="shared" si="43"/>
        <v/>
      </c>
      <c r="FV42" s="86" t="str">
        <f t="shared" si="43"/>
        <v/>
      </c>
      <c r="FW42" s="86" t="str">
        <f t="shared" si="43"/>
        <v/>
      </c>
      <c r="FX42" s="86" t="str">
        <f t="shared" si="43"/>
        <v/>
      </c>
      <c r="FY42" s="86" t="str">
        <f t="shared" si="43"/>
        <v/>
      </c>
      <c r="FZ42" s="86" t="str">
        <f t="shared" si="43"/>
        <v/>
      </c>
      <c r="GA42" s="86" t="str">
        <f t="shared" si="43"/>
        <v/>
      </c>
      <c r="GB42" s="86" t="str">
        <f t="shared" si="43"/>
        <v/>
      </c>
      <c r="GC42" s="86" t="str">
        <f t="shared" si="43"/>
        <v/>
      </c>
      <c r="GD42" s="86" t="str">
        <f t="shared" si="43"/>
        <v/>
      </c>
      <c r="GE42" s="86" t="str">
        <f t="shared" si="43"/>
        <v/>
      </c>
      <c r="GF42" s="86" t="str">
        <f t="shared" si="43"/>
        <v/>
      </c>
      <c r="GG42" s="86" t="str">
        <f t="shared" si="43"/>
        <v/>
      </c>
      <c r="GH42" s="86" t="str">
        <f t="shared" si="43"/>
        <v/>
      </c>
      <c r="GI42" s="86" t="str">
        <f t="shared" si="43"/>
        <v/>
      </c>
      <c r="GJ42" s="86" t="str">
        <f t="shared" si="43"/>
        <v/>
      </c>
      <c r="GK42" s="86" t="str">
        <f t="shared" si="43"/>
        <v/>
      </c>
      <c r="GL42" s="86" t="str">
        <f t="shared" si="43"/>
        <v/>
      </c>
      <c r="GM42" s="86" t="str">
        <f t="shared" si="43"/>
        <v/>
      </c>
      <c r="GN42" s="86" t="str">
        <f t="shared" si="43"/>
        <v/>
      </c>
      <c r="GO42" s="86" t="str">
        <f t="shared" si="43"/>
        <v/>
      </c>
      <c r="GP42" s="86" t="str">
        <f t="shared" si="43"/>
        <v/>
      </c>
      <c r="GQ42" s="86" t="str">
        <f t="shared" si="43"/>
        <v/>
      </c>
      <c r="GR42" s="86" t="str">
        <f t="shared" si="43"/>
        <v/>
      </c>
      <c r="GS42" s="86" t="str">
        <f t="shared" si="43"/>
        <v/>
      </c>
      <c r="GT42" s="86" t="str">
        <f t="shared" si="43"/>
        <v/>
      </c>
      <c r="GU42" s="86" t="str">
        <f t="shared" si="43"/>
        <v/>
      </c>
      <c r="GV42" s="86" t="str">
        <f t="shared" si="43"/>
        <v/>
      </c>
      <c r="GW42" s="86" t="str">
        <f t="shared" si="43"/>
        <v/>
      </c>
      <c r="GX42" s="86" t="str">
        <f t="shared" si="43"/>
        <v/>
      </c>
      <c r="GY42" s="86" t="str">
        <f t="shared" si="43"/>
        <v/>
      </c>
      <c r="GZ42" s="86" t="str">
        <f t="shared" si="43"/>
        <v/>
      </c>
      <c r="HA42" s="86" t="str">
        <f t="shared" si="43"/>
        <v/>
      </c>
      <c r="HB42" s="86" t="str">
        <f t="shared" si="43"/>
        <v/>
      </c>
      <c r="HC42" s="86" t="str">
        <f t="shared" si="43"/>
        <v/>
      </c>
      <c r="HD42" s="86" t="str">
        <f t="shared" si="43"/>
        <v/>
      </c>
      <c r="HE42" s="86" t="str">
        <f t="shared" si="43"/>
        <v/>
      </c>
      <c r="HF42" s="86" t="str">
        <f t="shared" si="43"/>
        <v/>
      </c>
      <c r="HG42" s="86" t="str">
        <f t="shared" si="43"/>
        <v/>
      </c>
      <c r="HH42" s="86" t="str">
        <f t="shared" si="43"/>
        <v/>
      </c>
      <c r="HI42" s="86" t="str">
        <f t="shared" si="43"/>
        <v/>
      </c>
      <c r="HJ42" s="86" t="str">
        <f t="shared" si="43"/>
        <v/>
      </c>
      <c r="HK42" s="86" t="str">
        <f t="shared" si="43"/>
        <v/>
      </c>
      <c r="HL42" s="86" t="str">
        <f t="shared" si="43"/>
        <v/>
      </c>
      <c r="HM42" s="86" t="str">
        <f t="shared" si="43"/>
        <v/>
      </c>
      <c r="HN42" s="86" t="str">
        <f t="shared" si="43"/>
        <v/>
      </c>
      <c r="HO42" s="86" t="str">
        <f t="shared" si="43"/>
        <v/>
      </c>
      <c r="HP42" s="86" t="str">
        <f t="shared" si="43"/>
        <v/>
      </c>
      <c r="HQ42" s="86" t="str">
        <f t="shared" si="43"/>
        <v/>
      </c>
      <c r="HR42" s="124" t="str">
        <f t="shared" si="43"/>
        <v/>
      </c>
    </row>
    <row r="43" spans="1:226" ht="11.15" customHeight="1" thickTop="1" x14ac:dyDescent="0.25"/>
    <row r="44" spans="1:226" ht="13" x14ac:dyDescent="0.3">
      <c r="L44" s="132"/>
      <c r="O44" s="54" t="s">
        <v>17</v>
      </c>
      <c r="P44" s="55"/>
      <c r="Q44" s="115">
        <f>SUM(Q35:Q42)</f>
        <v>0</v>
      </c>
      <c r="R44" s="115">
        <f>SUM(R35:R42)</f>
        <v>0</v>
      </c>
      <c r="S44" s="107"/>
    </row>
    <row r="45" spans="1:226" ht="11.15" customHeight="1" thickBot="1" x14ac:dyDescent="0.3"/>
    <row r="46" spans="1:226" ht="16" thickBot="1" x14ac:dyDescent="0.3">
      <c r="A46" s="108"/>
      <c r="B46" s="109"/>
      <c r="C46" s="109"/>
      <c r="D46" s="109"/>
      <c r="E46" s="109"/>
      <c r="F46" s="109"/>
      <c r="G46" s="109" t="s">
        <v>19</v>
      </c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10"/>
    </row>
    <row r="47" spans="1:226" ht="11.15" customHeight="1" thickBot="1" x14ac:dyDescent="0.3"/>
    <row r="48" spans="1:226" ht="11.15" customHeight="1" thickTop="1" x14ac:dyDescent="0.25">
      <c r="A48" s="87"/>
      <c r="B48" s="88"/>
      <c r="C48" s="89" t="str">
        <f>IF(A48=0,"",VLOOKUP(A48,[3]CO!$A$3:$F$5311,2,0))</f>
        <v/>
      </c>
      <c r="D48" s="90"/>
      <c r="E48" s="90"/>
      <c r="F48" s="113"/>
      <c r="G48" s="91" t="str">
        <f>IF(A48=0,"",VLOOKUP(A48,[3]CO!$A$3:$F$5311,3,0))</f>
        <v/>
      </c>
      <c r="H48" s="101"/>
      <c r="I48" s="92"/>
      <c r="J48" s="92"/>
      <c r="K48" s="92"/>
      <c r="L48" s="92"/>
      <c r="M48" s="93" t="str">
        <f t="shared" ref="M48:M53" si="44">IF(L48=0,"",H48*Q$31/N48)</f>
        <v/>
      </c>
      <c r="N48" s="93" t="str">
        <f>IF(B48=0,"",IF(H48="M",HLOOKUP(B48,$Y$12:$DT$13,2),IF(A48=0,"",VLOOKUP(A48,[3]CO!$A$3:$F$5311,4,0))))</f>
        <v/>
      </c>
      <c r="O48" s="93" t="str">
        <f t="shared" si="11"/>
        <v/>
      </c>
      <c r="P48" s="94"/>
      <c r="Q48" s="95" t="str">
        <f t="shared" ref="Q48:Q54" si="45">IF(P48=0,"",(HLOOKUP(P48,$DW$12:$HR$13,2)))</f>
        <v/>
      </c>
      <c r="R48" s="96" t="str">
        <f t="shared" ref="R48:R53" si="46">IF(S48=0,"",IF(OR(G48="PEON",G48="OF",G48="JARD",G48="CARP",G48="MAESTRO",G48="SOLD",G48="BGRO",G48="CHOFER",G48="AYTE",G48="S.INTTE.",G48="ASEO",G48="P.PISOS",G48="VELADOR",G48="RESID",G48="PINTOR",G48="ELECT",G48="AZULE",G48="AUX CONT."),VLOOKUP(B48,P$14:Q$54,2),"")*S48)</f>
        <v/>
      </c>
      <c r="S48" s="105"/>
      <c r="T48" s="60" t="str">
        <f>IF(A48=0,"",VLOOKUP(A48,[3]CO!$A$3:$F$5302,5,0))</f>
        <v/>
      </c>
      <c r="U48" s="61">
        <f t="shared" si="12"/>
        <v>0</v>
      </c>
      <c r="V48" s="30"/>
      <c r="W48" s="31"/>
      <c r="X48" s="31"/>
      <c r="Y48" s="97" t="str">
        <f t="shared" si="30"/>
        <v/>
      </c>
      <c r="Z48" s="98" t="str">
        <f t="shared" si="30"/>
        <v/>
      </c>
      <c r="AA48" s="98" t="str">
        <f t="shared" si="30"/>
        <v/>
      </c>
      <c r="AB48" s="98" t="str">
        <f t="shared" si="30"/>
        <v/>
      </c>
      <c r="AC48" s="98" t="str">
        <f t="shared" si="30"/>
        <v/>
      </c>
      <c r="AD48" s="98" t="str">
        <f t="shared" si="30"/>
        <v/>
      </c>
      <c r="AE48" s="98" t="str">
        <f t="shared" si="30"/>
        <v/>
      </c>
      <c r="AF48" s="98" t="str">
        <f t="shared" si="30"/>
        <v/>
      </c>
      <c r="AG48" s="98" t="str">
        <f t="shared" si="30"/>
        <v/>
      </c>
      <c r="AH48" s="98" t="str">
        <f t="shared" si="30"/>
        <v/>
      </c>
      <c r="AI48" s="98" t="str">
        <f t="shared" si="30"/>
        <v/>
      </c>
      <c r="AJ48" s="98" t="str">
        <f t="shared" si="30"/>
        <v/>
      </c>
      <c r="AK48" s="98" t="str">
        <f t="shared" si="30"/>
        <v/>
      </c>
      <c r="AL48" s="98" t="str">
        <f t="shared" si="30"/>
        <v/>
      </c>
      <c r="AM48" s="98" t="str">
        <f t="shared" si="30"/>
        <v/>
      </c>
      <c r="AN48" s="98" t="str">
        <f t="shared" si="30"/>
        <v/>
      </c>
      <c r="AO48" s="98" t="str">
        <f t="shared" ref="AO48:BD54" si="47">IF($B48=AO$12,$U48,"")</f>
        <v/>
      </c>
      <c r="AP48" s="98" t="str">
        <f t="shared" si="47"/>
        <v/>
      </c>
      <c r="AQ48" s="98" t="str">
        <f t="shared" si="47"/>
        <v/>
      </c>
      <c r="AR48" s="98" t="str">
        <f t="shared" si="47"/>
        <v/>
      </c>
      <c r="AS48" s="98" t="str">
        <f t="shared" si="47"/>
        <v/>
      </c>
      <c r="AT48" s="98" t="str">
        <f t="shared" si="47"/>
        <v/>
      </c>
      <c r="AU48" s="98" t="str">
        <f t="shared" si="47"/>
        <v/>
      </c>
      <c r="AV48" s="98" t="str">
        <f t="shared" si="47"/>
        <v/>
      </c>
      <c r="AW48" s="98" t="str">
        <f t="shared" si="47"/>
        <v/>
      </c>
      <c r="AX48" s="98" t="str">
        <f t="shared" si="47"/>
        <v/>
      </c>
      <c r="AY48" s="98" t="str">
        <f t="shared" si="47"/>
        <v/>
      </c>
      <c r="AZ48" s="98" t="str">
        <f t="shared" si="47"/>
        <v/>
      </c>
      <c r="BA48" s="98" t="str">
        <f t="shared" si="47"/>
        <v/>
      </c>
      <c r="BB48" s="98" t="str">
        <f t="shared" si="47"/>
        <v/>
      </c>
      <c r="BC48" s="98" t="str">
        <f t="shared" si="47"/>
        <v/>
      </c>
      <c r="BD48" s="98" t="str">
        <f t="shared" si="47"/>
        <v/>
      </c>
      <c r="BE48" s="98" t="str">
        <f t="shared" ref="BE48:DP51" si="48">IF($B48=BE$12,$U48,"")</f>
        <v/>
      </c>
      <c r="BF48" s="98" t="str">
        <f t="shared" si="48"/>
        <v/>
      </c>
      <c r="BG48" s="98" t="str">
        <f t="shared" si="48"/>
        <v/>
      </c>
      <c r="BH48" s="98" t="str">
        <f t="shared" si="48"/>
        <v/>
      </c>
      <c r="BI48" s="98" t="str">
        <f t="shared" si="48"/>
        <v/>
      </c>
      <c r="BJ48" s="98" t="str">
        <f t="shared" si="48"/>
        <v/>
      </c>
      <c r="BK48" s="98" t="str">
        <f t="shared" si="48"/>
        <v/>
      </c>
      <c r="BL48" s="98" t="str">
        <f t="shared" si="48"/>
        <v/>
      </c>
      <c r="BM48" s="98" t="str">
        <f t="shared" si="48"/>
        <v/>
      </c>
      <c r="BN48" s="98" t="str">
        <f t="shared" si="48"/>
        <v/>
      </c>
      <c r="BO48" s="98" t="str">
        <f t="shared" si="48"/>
        <v/>
      </c>
      <c r="BP48" s="98" t="str">
        <f t="shared" si="48"/>
        <v/>
      </c>
      <c r="BQ48" s="98" t="str">
        <f t="shared" si="48"/>
        <v/>
      </c>
      <c r="BR48" s="98" t="str">
        <f t="shared" si="48"/>
        <v/>
      </c>
      <c r="BS48" s="98" t="str">
        <f t="shared" si="48"/>
        <v/>
      </c>
      <c r="BT48" s="98" t="str">
        <f t="shared" si="48"/>
        <v/>
      </c>
      <c r="BU48" s="98" t="str">
        <f t="shared" si="48"/>
        <v/>
      </c>
      <c r="BV48" s="98" t="str">
        <f t="shared" si="48"/>
        <v/>
      </c>
      <c r="BW48" s="98" t="str">
        <f t="shared" si="48"/>
        <v/>
      </c>
      <c r="BX48" s="98" t="str">
        <f t="shared" si="48"/>
        <v/>
      </c>
      <c r="BY48" s="98" t="str">
        <f t="shared" si="48"/>
        <v/>
      </c>
      <c r="BZ48" s="98" t="str">
        <f t="shared" si="48"/>
        <v/>
      </c>
      <c r="CA48" s="98" t="str">
        <f t="shared" si="48"/>
        <v/>
      </c>
      <c r="CB48" s="98" t="str">
        <f t="shared" si="48"/>
        <v/>
      </c>
      <c r="CC48" s="98" t="str">
        <f t="shared" si="48"/>
        <v/>
      </c>
      <c r="CD48" s="98" t="str">
        <f t="shared" si="48"/>
        <v/>
      </c>
      <c r="CE48" s="98" t="str">
        <f t="shared" si="48"/>
        <v/>
      </c>
      <c r="CF48" s="98" t="str">
        <f t="shared" si="48"/>
        <v/>
      </c>
      <c r="CG48" s="98" t="str">
        <f t="shared" si="48"/>
        <v/>
      </c>
      <c r="CH48" s="98" t="str">
        <f t="shared" si="48"/>
        <v/>
      </c>
      <c r="CI48" s="98" t="str">
        <f t="shared" si="48"/>
        <v/>
      </c>
      <c r="CJ48" s="98" t="str">
        <f t="shared" si="48"/>
        <v/>
      </c>
      <c r="CK48" s="98" t="str">
        <f t="shared" si="48"/>
        <v/>
      </c>
      <c r="CL48" s="98" t="str">
        <f t="shared" si="48"/>
        <v/>
      </c>
      <c r="CM48" s="98" t="str">
        <f t="shared" si="48"/>
        <v/>
      </c>
      <c r="CN48" s="98" t="str">
        <f t="shared" si="48"/>
        <v/>
      </c>
      <c r="CO48" s="98" t="str">
        <f t="shared" si="48"/>
        <v/>
      </c>
      <c r="CP48" s="98" t="str">
        <f t="shared" si="48"/>
        <v/>
      </c>
      <c r="CQ48" s="98" t="str">
        <f t="shared" si="48"/>
        <v/>
      </c>
      <c r="CR48" s="98" t="str">
        <f t="shared" si="48"/>
        <v/>
      </c>
      <c r="CS48" s="98" t="str">
        <f t="shared" si="48"/>
        <v/>
      </c>
      <c r="CT48" s="98" t="str">
        <f t="shared" si="48"/>
        <v/>
      </c>
      <c r="CU48" s="98" t="str">
        <f t="shared" si="48"/>
        <v/>
      </c>
      <c r="CV48" s="98" t="str">
        <f t="shared" si="48"/>
        <v/>
      </c>
      <c r="CW48" s="98" t="str">
        <f t="shared" si="48"/>
        <v/>
      </c>
      <c r="CX48" s="98" t="str">
        <f t="shared" si="48"/>
        <v/>
      </c>
      <c r="CY48" s="98" t="str">
        <f t="shared" si="48"/>
        <v/>
      </c>
      <c r="CZ48" s="98" t="str">
        <f t="shared" si="48"/>
        <v/>
      </c>
      <c r="DA48" s="98" t="str">
        <f t="shared" si="48"/>
        <v/>
      </c>
      <c r="DB48" s="98" t="str">
        <f t="shared" si="48"/>
        <v/>
      </c>
      <c r="DC48" s="98" t="str">
        <f t="shared" si="48"/>
        <v/>
      </c>
      <c r="DD48" s="98" t="str">
        <f t="shared" si="48"/>
        <v/>
      </c>
      <c r="DE48" s="98" t="str">
        <f t="shared" si="48"/>
        <v/>
      </c>
      <c r="DF48" s="98" t="str">
        <f t="shared" si="48"/>
        <v/>
      </c>
      <c r="DG48" s="98" t="str">
        <f t="shared" si="48"/>
        <v/>
      </c>
      <c r="DH48" s="98" t="str">
        <f t="shared" si="48"/>
        <v/>
      </c>
      <c r="DI48" s="98" t="str">
        <f t="shared" si="48"/>
        <v/>
      </c>
      <c r="DJ48" s="98" t="str">
        <f t="shared" si="48"/>
        <v/>
      </c>
      <c r="DK48" s="98" t="str">
        <f t="shared" si="48"/>
        <v/>
      </c>
      <c r="DL48" s="98" t="str">
        <f t="shared" si="48"/>
        <v/>
      </c>
      <c r="DM48" s="98" t="str">
        <f t="shared" si="48"/>
        <v/>
      </c>
      <c r="DN48" s="98" t="str">
        <f t="shared" si="48"/>
        <v/>
      </c>
      <c r="DO48" s="98" t="str">
        <f t="shared" si="48"/>
        <v/>
      </c>
      <c r="DP48" s="98" t="str">
        <f t="shared" si="48"/>
        <v/>
      </c>
      <c r="DQ48" s="98" t="str">
        <f t="shared" ref="DQ48:DT54" si="49">IF($B48=DQ$12,$U48,"")</f>
        <v/>
      </c>
      <c r="DR48" s="98" t="str">
        <f t="shared" si="49"/>
        <v/>
      </c>
      <c r="DS48" s="98" t="str">
        <f t="shared" si="49"/>
        <v/>
      </c>
      <c r="DT48" s="116" t="str">
        <f t="shared" si="49"/>
        <v/>
      </c>
      <c r="DU48" s="61"/>
      <c r="DV48" s="31"/>
      <c r="DW48" s="99" t="str">
        <f t="shared" ref="DW48:EL54" si="50">IF($B48=DW$12,$O48,"")</f>
        <v/>
      </c>
      <c r="DX48" s="100" t="str">
        <f t="shared" si="50"/>
        <v/>
      </c>
      <c r="DY48" s="100" t="str">
        <f t="shared" si="50"/>
        <v/>
      </c>
      <c r="DZ48" s="100" t="str">
        <f t="shared" si="50"/>
        <v/>
      </c>
      <c r="EA48" s="100" t="str">
        <f t="shared" si="50"/>
        <v/>
      </c>
      <c r="EB48" s="100" t="str">
        <f t="shared" si="50"/>
        <v/>
      </c>
      <c r="EC48" s="100" t="str">
        <f t="shared" si="50"/>
        <v/>
      </c>
      <c r="ED48" s="100" t="str">
        <f t="shared" si="50"/>
        <v/>
      </c>
      <c r="EE48" s="100" t="str">
        <f t="shared" si="50"/>
        <v/>
      </c>
      <c r="EF48" s="100" t="str">
        <f t="shared" si="50"/>
        <v/>
      </c>
      <c r="EG48" s="100" t="str">
        <f t="shared" si="50"/>
        <v/>
      </c>
      <c r="EH48" s="100" t="str">
        <f t="shared" si="50"/>
        <v/>
      </c>
      <c r="EI48" s="100" t="str">
        <f t="shared" si="50"/>
        <v/>
      </c>
      <c r="EJ48" s="100" t="str">
        <f t="shared" si="50"/>
        <v/>
      </c>
      <c r="EK48" s="100" t="str">
        <f t="shared" si="50"/>
        <v/>
      </c>
      <c r="EL48" s="100" t="str">
        <f t="shared" si="50"/>
        <v/>
      </c>
      <c r="EM48" s="100" t="str">
        <f t="shared" ref="EM48:FB54" si="51">IF($B48=EM$12,$O48,"")</f>
        <v/>
      </c>
      <c r="EN48" s="100" t="str">
        <f t="shared" si="51"/>
        <v/>
      </c>
      <c r="EO48" s="100" t="str">
        <f t="shared" si="51"/>
        <v/>
      </c>
      <c r="EP48" s="100" t="str">
        <f t="shared" si="51"/>
        <v/>
      </c>
      <c r="EQ48" s="100" t="str">
        <f t="shared" si="51"/>
        <v/>
      </c>
      <c r="ER48" s="100" t="str">
        <f t="shared" si="51"/>
        <v/>
      </c>
      <c r="ES48" s="100" t="str">
        <f t="shared" si="51"/>
        <v/>
      </c>
      <c r="ET48" s="100" t="str">
        <f t="shared" si="51"/>
        <v/>
      </c>
      <c r="EU48" s="100" t="str">
        <f t="shared" si="51"/>
        <v/>
      </c>
      <c r="EV48" s="100" t="str">
        <f t="shared" si="51"/>
        <v/>
      </c>
      <c r="EW48" s="100" t="str">
        <f t="shared" si="51"/>
        <v/>
      </c>
      <c r="EX48" s="100" t="str">
        <f t="shared" si="51"/>
        <v/>
      </c>
      <c r="EY48" s="100" t="str">
        <f t="shared" si="51"/>
        <v/>
      </c>
      <c r="EZ48" s="100" t="str">
        <f t="shared" si="51"/>
        <v/>
      </c>
      <c r="FA48" s="100" t="str">
        <f t="shared" si="51"/>
        <v/>
      </c>
      <c r="FB48" s="100" t="str">
        <f t="shared" si="51"/>
        <v/>
      </c>
      <c r="FC48" s="100" t="str">
        <f t="shared" ref="FC48:HN51" si="52">IF($B48=FC$12,$O48,"")</f>
        <v/>
      </c>
      <c r="FD48" s="100" t="str">
        <f t="shared" si="52"/>
        <v/>
      </c>
      <c r="FE48" s="100" t="str">
        <f t="shared" si="52"/>
        <v/>
      </c>
      <c r="FF48" s="100" t="str">
        <f t="shared" si="52"/>
        <v/>
      </c>
      <c r="FG48" s="100" t="str">
        <f t="shared" si="52"/>
        <v/>
      </c>
      <c r="FH48" s="100" t="str">
        <f t="shared" si="52"/>
        <v/>
      </c>
      <c r="FI48" s="100" t="str">
        <f t="shared" si="52"/>
        <v/>
      </c>
      <c r="FJ48" s="100" t="str">
        <f t="shared" si="52"/>
        <v/>
      </c>
      <c r="FK48" s="100" t="str">
        <f t="shared" si="52"/>
        <v/>
      </c>
      <c r="FL48" s="100" t="str">
        <f t="shared" si="52"/>
        <v/>
      </c>
      <c r="FM48" s="100" t="str">
        <f t="shared" si="52"/>
        <v/>
      </c>
      <c r="FN48" s="100" t="str">
        <f t="shared" si="52"/>
        <v/>
      </c>
      <c r="FO48" s="100" t="str">
        <f t="shared" si="52"/>
        <v/>
      </c>
      <c r="FP48" s="100" t="str">
        <f t="shared" si="52"/>
        <v/>
      </c>
      <c r="FQ48" s="100" t="str">
        <f t="shared" si="52"/>
        <v/>
      </c>
      <c r="FR48" s="100" t="str">
        <f t="shared" si="52"/>
        <v/>
      </c>
      <c r="FS48" s="100" t="str">
        <f t="shared" si="52"/>
        <v/>
      </c>
      <c r="FT48" s="100" t="str">
        <f t="shared" si="52"/>
        <v/>
      </c>
      <c r="FU48" s="100" t="str">
        <f t="shared" si="52"/>
        <v/>
      </c>
      <c r="FV48" s="100" t="str">
        <f t="shared" si="52"/>
        <v/>
      </c>
      <c r="FW48" s="100" t="str">
        <f t="shared" si="52"/>
        <v/>
      </c>
      <c r="FX48" s="100" t="str">
        <f t="shared" si="52"/>
        <v/>
      </c>
      <c r="FY48" s="100" t="str">
        <f t="shared" si="52"/>
        <v/>
      </c>
      <c r="FZ48" s="100" t="str">
        <f t="shared" si="52"/>
        <v/>
      </c>
      <c r="GA48" s="100" t="str">
        <f t="shared" si="52"/>
        <v/>
      </c>
      <c r="GB48" s="100" t="str">
        <f t="shared" si="52"/>
        <v/>
      </c>
      <c r="GC48" s="100" t="str">
        <f t="shared" si="52"/>
        <v/>
      </c>
      <c r="GD48" s="100" t="str">
        <f t="shared" si="52"/>
        <v/>
      </c>
      <c r="GE48" s="100" t="str">
        <f t="shared" si="52"/>
        <v/>
      </c>
      <c r="GF48" s="100" t="str">
        <f t="shared" si="52"/>
        <v/>
      </c>
      <c r="GG48" s="100" t="str">
        <f t="shared" si="52"/>
        <v/>
      </c>
      <c r="GH48" s="100" t="str">
        <f t="shared" si="52"/>
        <v/>
      </c>
      <c r="GI48" s="100" t="str">
        <f t="shared" si="52"/>
        <v/>
      </c>
      <c r="GJ48" s="100" t="str">
        <f t="shared" si="52"/>
        <v/>
      </c>
      <c r="GK48" s="100" t="str">
        <f t="shared" si="52"/>
        <v/>
      </c>
      <c r="GL48" s="100" t="str">
        <f t="shared" si="52"/>
        <v/>
      </c>
      <c r="GM48" s="100" t="str">
        <f t="shared" si="52"/>
        <v/>
      </c>
      <c r="GN48" s="100" t="str">
        <f t="shared" si="52"/>
        <v/>
      </c>
      <c r="GO48" s="100" t="str">
        <f t="shared" si="52"/>
        <v/>
      </c>
      <c r="GP48" s="100" t="str">
        <f t="shared" si="52"/>
        <v/>
      </c>
      <c r="GQ48" s="100" t="str">
        <f t="shared" si="52"/>
        <v/>
      </c>
      <c r="GR48" s="100" t="str">
        <f t="shared" si="52"/>
        <v/>
      </c>
      <c r="GS48" s="100" t="str">
        <f t="shared" si="52"/>
        <v/>
      </c>
      <c r="GT48" s="100" t="str">
        <f t="shared" si="52"/>
        <v/>
      </c>
      <c r="GU48" s="100" t="str">
        <f t="shared" si="52"/>
        <v/>
      </c>
      <c r="GV48" s="100" t="str">
        <f t="shared" si="52"/>
        <v/>
      </c>
      <c r="GW48" s="100" t="str">
        <f t="shared" si="52"/>
        <v/>
      </c>
      <c r="GX48" s="100" t="str">
        <f t="shared" si="52"/>
        <v/>
      </c>
      <c r="GY48" s="100" t="str">
        <f t="shared" si="52"/>
        <v/>
      </c>
      <c r="GZ48" s="100" t="str">
        <f t="shared" si="52"/>
        <v/>
      </c>
      <c r="HA48" s="100" t="str">
        <f t="shared" si="52"/>
        <v/>
      </c>
      <c r="HB48" s="100" t="str">
        <f t="shared" si="52"/>
        <v/>
      </c>
      <c r="HC48" s="100" t="str">
        <f t="shared" si="52"/>
        <v/>
      </c>
      <c r="HD48" s="100" t="str">
        <f t="shared" si="52"/>
        <v/>
      </c>
      <c r="HE48" s="100" t="str">
        <f t="shared" si="52"/>
        <v/>
      </c>
      <c r="HF48" s="100" t="str">
        <f t="shared" si="52"/>
        <v/>
      </c>
      <c r="HG48" s="100" t="str">
        <f t="shared" si="52"/>
        <v/>
      </c>
      <c r="HH48" s="100" t="str">
        <f t="shared" si="52"/>
        <v/>
      </c>
      <c r="HI48" s="100" t="str">
        <f t="shared" si="52"/>
        <v/>
      </c>
      <c r="HJ48" s="100" t="str">
        <f t="shared" si="52"/>
        <v/>
      </c>
      <c r="HK48" s="100" t="str">
        <f t="shared" si="52"/>
        <v/>
      </c>
      <c r="HL48" s="100" t="str">
        <f t="shared" si="52"/>
        <v/>
      </c>
      <c r="HM48" s="100" t="str">
        <f t="shared" si="52"/>
        <v/>
      </c>
      <c r="HN48" s="100" t="str">
        <f t="shared" si="52"/>
        <v/>
      </c>
      <c r="HO48" s="100" t="str">
        <f t="shared" ref="HO48:HR54" si="53">IF($B48=HO$12,$O48,"")</f>
        <v/>
      </c>
      <c r="HP48" s="100" t="str">
        <f t="shared" si="53"/>
        <v/>
      </c>
      <c r="HQ48" s="100" t="str">
        <f t="shared" si="53"/>
        <v/>
      </c>
      <c r="HR48" s="122" t="str">
        <f t="shared" si="53"/>
        <v/>
      </c>
    </row>
    <row r="49" spans="1:226" ht="11.15" customHeight="1" x14ac:dyDescent="0.25">
      <c r="A49" s="32"/>
      <c r="B49" s="33"/>
      <c r="C49" s="34" t="str">
        <f>IF(A49=0,"",VLOOKUP(A49,[3]CO!$A$3:$F$5311,2,0))</f>
        <v/>
      </c>
      <c r="D49" s="139"/>
      <c r="E49" s="35"/>
      <c r="F49" s="112"/>
      <c r="G49" s="36" t="str">
        <f>IF(A49=0,"",VLOOKUP(A49,[3]CO!$A$3:$F$5311,3,0))</f>
        <v/>
      </c>
      <c r="H49" s="102"/>
      <c r="I49" s="37"/>
      <c r="J49" s="37"/>
      <c r="K49" s="37"/>
      <c r="L49" s="37"/>
      <c r="M49" s="38" t="str">
        <f t="shared" si="44"/>
        <v/>
      </c>
      <c r="N49" s="38" t="str">
        <f>IF(B49=0,"",IF(H49="M",HLOOKUP(B49,$Y$12:$DT$13,2),IF(A49=0,"",VLOOKUP(A49,[3]CO!$A$3:$F$5311,4,0))))</f>
        <v/>
      </c>
      <c r="O49" s="38" t="str">
        <f t="shared" si="11"/>
        <v/>
      </c>
      <c r="P49" s="39"/>
      <c r="Q49" s="40" t="str">
        <f t="shared" si="45"/>
        <v/>
      </c>
      <c r="R49" s="41" t="str">
        <f t="shared" si="46"/>
        <v/>
      </c>
      <c r="S49" s="105"/>
      <c r="T49" s="60" t="str">
        <f>IF(A49=0,"",VLOOKUP(A49,[3]CO!$A$3:$F$5302,5,0))</f>
        <v/>
      </c>
      <c r="U49" s="61">
        <f t="shared" si="12"/>
        <v>0</v>
      </c>
      <c r="V49" s="30"/>
      <c r="W49" s="31"/>
      <c r="X49" s="31"/>
      <c r="Y49" s="71" t="str">
        <f t="shared" si="30"/>
        <v/>
      </c>
      <c r="Z49" s="62" t="str">
        <f t="shared" si="30"/>
        <v/>
      </c>
      <c r="AA49" s="62" t="str">
        <f t="shared" si="30"/>
        <v/>
      </c>
      <c r="AB49" s="62" t="str">
        <f t="shared" si="30"/>
        <v/>
      </c>
      <c r="AC49" s="62" t="str">
        <f t="shared" si="30"/>
        <v/>
      </c>
      <c r="AD49" s="62" t="str">
        <f t="shared" si="30"/>
        <v/>
      </c>
      <c r="AE49" s="62" t="str">
        <f t="shared" si="30"/>
        <v/>
      </c>
      <c r="AF49" s="62" t="str">
        <f t="shared" si="30"/>
        <v/>
      </c>
      <c r="AG49" s="62" t="str">
        <f t="shared" si="30"/>
        <v/>
      </c>
      <c r="AH49" s="62" t="str">
        <f t="shared" si="30"/>
        <v/>
      </c>
      <c r="AI49" s="62" t="str">
        <f t="shared" si="30"/>
        <v/>
      </c>
      <c r="AJ49" s="62" t="str">
        <f t="shared" si="30"/>
        <v/>
      </c>
      <c r="AK49" s="62" t="str">
        <f t="shared" si="30"/>
        <v/>
      </c>
      <c r="AL49" s="62" t="str">
        <f t="shared" si="30"/>
        <v/>
      </c>
      <c r="AM49" s="62" t="str">
        <f t="shared" si="30"/>
        <v/>
      </c>
      <c r="AN49" s="62" t="str">
        <f t="shared" si="30"/>
        <v/>
      </c>
      <c r="AO49" s="62" t="str">
        <f t="shared" si="47"/>
        <v/>
      </c>
      <c r="AP49" s="62" t="str">
        <f t="shared" si="47"/>
        <v/>
      </c>
      <c r="AQ49" s="62" t="str">
        <f t="shared" si="47"/>
        <v/>
      </c>
      <c r="AR49" s="62" t="str">
        <f t="shared" si="47"/>
        <v/>
      </c>
      <c r="AS49" s="62" t="str">
        <f t="shared" si="47"/>
        <v/>
      </c>
      <c r="AT49" s="62" t="str">
        <f t="shared" si="47"/>
        <v/>
      </c>
      <c r="AU49" s="62" t="str">
        <f t="shared" si="47"/>
        <v/>
      </c>
      <c r="AV49" s="62" t="str">
        <f t="shared" si="47"/>
        <v/>
      </c>
      <c r="AW49" s="62" t="str">
        <f t="shared" si="47"/>
        <v/>
      </c>
      <c r="AX49" s="62" t="str">
        <f t="shared" si="47"/>
        <v/>
      </c>
      <c r="AY49" s="62" t="str">
        <f t="shared" si="47"/>
        <v/>
      </c>
      <c r="AZ49" s="62" t="str">
        <f t="shared" si="47"/>
        <v/>
      </c>
      <c r="BA49" s="62" t="str">
        <f t="shared" si="47"/>
        <v/>
      </c>
      <c r="BB49" s="62" t="str">
        <f t="shared" si="47"/>
        <v/>
      </c>
      <c r="BC49" s="62" t="str">
        <f t="shared" si="47"/>
        <v/>
      </c>
      <c r="BD49" s="62" t="str">
        <f t="shared" si="47"/>
        <v/>
      </c>
      <c r="BE49" s="62" t="str">
        <f t="shared" si="48"/>
        <v/>
      </c>
      <c r="BF49" s="62" t="str">
        <f t="shared" si="48"/>
        <v/>
      </c>
      <c r="BG49" s="62" t="str">
        <f t="shared" si="48"/>
        <v/>
      </c>
      <c r="BH49" s="62" t="str">
        <f t="shared" si="48"/>
        <v/>
      </c>
      <c r="BI49" s="62" t="str">
        <f t="shared" si="48"/>
        <v/>
      </c>
      <c r="BJ49" s="62" t="str">
        <f t="shared" si="48"/>
        <v/>
      </c>
      <c r="BK49" s="62" t="str">
        <f t="shared" si="48"/>
        <v/>
      </c>
      <c r="BL49" s="62" t="str">
        <f t="shared" si="48"/>
        <v/>
      </c>
      <c r="BM49" s="62" t="str">
        <f t="shared" si="48"/>
        <v/>
      </c>
      <c r="BN49" s="62" t="str">
        <f t="shared" si="48"/>
        <v/>
      </c>
      <c r="BO49" s="62" t="str">
        <f t="shared" si="48"/>
        <v/>
      </c>
      <c r="BP49" s="62" t="str">
        <f t="shared" si="48"/>
        <v/>
      </c>
      <c r="BQ49" s="62" t="str">
        <f t="shared" si="48"/>
        <v/>
      </c>
      <c r="BR49" s="62" t="str">
        <f t="shared" si="48"/>
        <v/>
      </c>
      <c r="BS49" s="62" t="str">
        <f t="shared" si="48"/>
        <v/>
      </c>
      <c r="BT49" s="62" t="str">
        <f t="shared" si="48"/>
        <v/>
      </c>
      <c r="BU49" s="62" t="str">
        <f t="shared" si="48"/>
        <v/>
      </c>
      <c r="BV49" s="62" t="str">
        <f t="shared" si="48"/>
        <v/>
      </c>
      <c r="BW49" s="62" t="str">
        <f t="shared" si="48"/>
        <v/>
      </c>
      <c r="BX49" s="62" t="str">
        <f t="shared" si="48"/>
        <v/>
      </c>
      <c r="BY49" s="62" t="str">
        <f t="shared" si="48"/>
        <v/>
      </c>
      <c r="BZ49" s="62" t="str">
        <f t="shared" si="48"/>
        <v/>
      </c>
      <c r="CA49" s="62" t="str">
        <f t="shared" si="48"/>
        <v/>
      </c>
      <c r="CB49" s="62" t="str">
        <f t="shared" si="48"/>
        <v/>
      </c>
      <c r="CC49" s="62" t="str">
        <f t="shared" si="48"/>
        <v/>
      </c>
      <c r="CD49" s="62" t="str">
        <f t="shared" si="48"/>
        <v/>
      </c>
      <c r="CE49" s="62" t="str">
        <f t="shared" si="48"/>
        <v/>
      </c>
      <c r="CF49" s="62" t="str">
        <f t="shared" si="48"/>
        <v/>
      </c>
      <c r="CG49" s="62" t="str">
        <f t="shared" si="48"/>
        <v/>
      </c>
      <c r="CH49" s="62" t="str">
        <f t="shared" si="48"/>
        <v/>
      </c>
      <c r="CI49" s="62" t="str">
        <f t="shared" si="48"/>
        <v/>
      </c>
      <c r="CJ49" s="62" t="str">
        <f t="shared" si="48"/>
        <v/>
      </c>
      <c r="CK49" s="62" t="str">
        <f t="shared" si="48"/>
        <v/>
      </c>
      <c r="CL49" s="62" t="str">
        <f t="shared" si="48"/>
        <v/>
      </c>
      <c r="CM49" s="62" t="str">
        <f t="shared" si="48"/>
        <v/>
      </c>
      <c r="CN49" s="62" t="str">
        <f t="shared" si="48"/>
        <v/>
      </c>
      <c r="CO49" s="62" t="str">
        <f t="shared" si="48"/>
        <v/>
      </c>
      <c r="CP49" s="62" t="str">
        <f t="shared" si="48"/>
        <v/>
      </c>
      <c r="CQ49" s="62" t="str">
        <f t="shared" si="48"/>
        <v/>
      </c>
      <c r="CR49" s="62" t="str">
        <f t="shared" si="48"/>
        <v/>
      </c>
      <c r="CS49" s="62" t="str">
        <f t="shared" si="48"/>
        <v/>
      </c>
      <c r="CT49" s="62" t="str">
        <f t="shared" si="48"/>
        <v/>
      </c>
      <c r="CU49" s="62" t="str">
        <f t="shared" si="48"/>
        <v/>
      </c>
      <c r="CV49" s="62" t="str">
        <f t="shared" si="48"/>
        <v/>
      </c>
      <c r="CW49" s="62" t="str">
        <f t="shared" si="48"/>
        <v/>
      </c>
      <c r="CX49" s="62" t="str">
        <f t="shared" si="48"/>
        <v/>
      </c>
      <c r="CY49" s="62" t="str">
        <f t="shared" si="48"/>
        <v/>
      </c>
      <c r="CZ49" s="62" t="str">
        <f t="shared" si="48"/>
        <v/>
      </c>
      <c r="DA49" s="62" t="str">
        <f t="shared" si="48"/>
        <v/>
      </c>
      <c r="DB49" s="62" t="str">
        <f t="shared" si="48"/>
        <v/>
      </c>
      <c r="DC49" s="62" t="str">
        <f t="shared" si="48"/>
        <v/>
      </c>
      <c r="DD49" s="62" t="str">
        <f t="shared" si="48"/>
        <v/>
      </c>
      <c r="DE49" s="62" t="str">
        <f t="shared" si="48"/>
        <v/>
      </c>
      <c r="DF49" s="62" t="str">
        <f t="shared" si="48"/>
        <v/>
      </c>
      <c r="DG49" s="62" t="str">
        <f t="shared" si="48"/>
        <v/>
      </c>
      <c r="DH49" s="62" t="str">
        <f t="shared" si="48"/>
        <v/>
      </c>
      <c r="DI49" s="62" t="str">
        <f t="shared" si="48"/>
        <v/>
      </c>
      <c r="DJ49" s="62" t="str">
        <f t="shared" si="48"/>
        <v/>
      </c>
      <c r="DK49" s="62" t="str">
        <f t="shared" si="48"/>
        <v/>
      </c>
      <c r="DL49" s="62" t="str">
        <f t="shared" si="48"/>
        <v/>
      </c>
      <c r="DM49" s="62" t="str">
        <f t="shared" si="48"/>
        <v/>
      </c>
      <c r="DN49" s="62" t="str">
        <f t="shared" si="48"/>
        <v/>
      </c>
      <c r="DO49" s="62" t="str">
        <f t="shared" si="48"/>
        <v/>
      </c>
      <c r="DP49" s="62" t="str">
        <f t="shared" si="48"/>
        <v/>
      </c>
      <c r="DQ49" s="62" t="str">
        <f t="shared" si="49"/>
        <v/>
      </c>
      <c r="DR49" s="62" t="str">
        <f t="shared" si="49"/>
        <v/>
      </c>
      <c r="DS49" s="62" t="str">
        <f t="shared" si="49"/>
        <v/>
      </c>
      <c r="DT49" s="117" t="str">
        <f t="shared" si="49"/>
        <v/>
      </c>
      <c r="DU49" s="61"/>
      <c r="DV49" s="31"/>
      <c r="DW49" s="68" t="str">
        <f t="shared" si="50"/>
        <v/>
      </c>
      <c r="DX49" s="57" t="str">
        <f t="shared" si="50"/>
        <v/>
      </c>
      <c r="DY49" s="57" t="str">
        <f t="shared" si="50"/>
        <v/>
      </c>
      <c r="DZ49" s="57" t="str">
        <f t="shared" si="50"/>
        <v/>
      </c>
      <c r="EA49" s="57" t="str">
        <f t="shared" si="50"/>
        <v/>
      </c>
      <c r="EB49" s="57" t="str">
        <f t="shared" si="50"/>
        <v/>
      </c>
      <c r="EC49" s="57" t="str">
        <f t="shared" si="50"/>
        <v/>
      </c>
      <c r="ED49" s="57" t="str">
        <f t="shared" si="50"/>
        <v/>
      </c>
      <c r="EE49" s="57" t="str">
        <f t="shared" si="50"/>
        <v/>
      </c>
      <c r="EF49" s="57" t="str">
        <f t="shared" si="50"/>
        <v/>
      </c>
      <c r="EG49" s="57" t="str">
        <f t="shared" si="50"/>
        <v/>
      </c>
      <c r="EH49" s="57" t="str">
        <f t="shared" si="50"/>
        <v/>
      </c>
      <c r="EI49" s="57" t="str">
        <f t="shared" si="50"/>
        <v/>
      </c>
      <c r="EJ49" s="57" t="str">
        <f t="shared" si="50"/>
        <v/>
      </c>
      <c r="EK49" s="57" t="str">
        <f t="shared" si="50"/>
        <v/>
      </c>
      <c r="EL49" s="57" t="str">
        <f t="shared" si="50"/>
        <v/>
      </c>
      <c r="EM49" s="57" t="str">
        <f t="shared" si="51"/>
        <v/>
      </c>
      <c r="EN49" s="57" t="str">
        <f t="shared" si="51"/>
        <v/>
      </c>
      <c r="EO49" s="57" t="str">
        <f t="shared" si="51"/>
        <v/>
      </c>
      <c r="EP49" s="57" t="str">
        <f t="shared" si="51"/>
        <v/>
      </c>
      <c r="EQ49" s="57" t="str">
        <f t="shared" si="51"/>
        <v/>
      </c>
      <c r="ER49" s="57" t="str">
        <f t="shared" si="51"/>
        <v/>
      </c>
      <c r="ES49" s="57" t="str">
        <f t="shared" si="51"/>
        <v/>
      </c>
      <c r="ET49" s="57" t="str">
        <f t="shared" si="51"/>
        <v/>
      </c>
      <c r="EU49" s="57" t="str">
        <f t="shared" si="51"/>
        <v/>
      </c>
      <c r="EV49" s="57" t="str">
        <f t="shared" si="51"/>
        <v/>
      </c>
      <c r="EW49" s="57" t="str">
        <f t="shared" si="51"/>
        <v/>
      </c>
      <c r="EX49" s="57" t="str">
        <f t="shared" si="51"/>
        <v/>
      </c>
      <c r="EY49" s="57" t="str">
        <f t="shared" si="51"/>
        <v/>
      </c>
      <c r="EZ49" s="57" t="str">
        <f t="shared" si="51"/>
        <v/>
      </c>
      <c r="FA49" s="57" t="str">
        <f t="shared" si="51"/>
        <v/>
      </c>
      <c r="FB49" s="57" t="str">
        <f t="shared" si="51"/>
        <v/>
      </c>
      <c r="FC49" s="57" t="str">
        <f t="shared" si="52"/>
        <v/>
      </c>
      <c r="FD49" s="57" t="str">
        <f t="shared" si="52"/>
        <v/>
      </c>
      <c r="FE49" s="57" t="str">
        <f t="shared" si="52"/>
        <v/>
      </c>
      <c r="FF49" s="57" t="str">
        <f t="shared" si="52"/>
        <v/>
      </c>
      <c r="FG49" s="57" t="str">
        <f t="shared" si="52"/>
        <v/>
      </c>
      <c r="FH49" s="57" t="str">
        <f t="shared" si="52"/>
        <v/>
      </c>
      <c r="FI49" s="57" t="str">
        <f t="shared" si="52"/>
        <v/>
      </c>
      <c r="FJ49" s="57" t="str">
        <f t="shared" si="52"/>
        <v/>
      </c>
      <c r="FK49" s="57" t="str">
        <f t="shared" si="52"/>
        <v/>
      </c>
      <c r="FL49" s="57" t="str">
        <f t="shared" si="52"/>
        <v/>
      </c>
      <c r="FM49" s="57" t="str">
        <f t="shared" si="52"/>
        <v/>
      </c>
      <c r="FN49" s="57" t="str">
        <f t="shared" si="52"/>
        <v/>
      </c>
      <c r="FO49" s="57" t="str">
        <f t="shared" si="52"/>
        <v/>
      </c>
      <c r="FP49" s="57" t="str">
        <f t="shared" si="52"/>
        <v/>
      </c>
      <c r="FQ49" s="57" t="str">
        <f t="shared" si="52"/>
        <v/>
      </c>
      <c r="FR49" s="57" t="str">
        <f t="shared" si="52"/>
        <v/>
      </c>
      <c r="FS49" s="57" t="str">
        <f t="shared" si="52"/>
        <v/>
      </c>
      <c r="FT49" s="57" t="str">
        <f t="shared" si="52"/>
        <v/>
      </c>
      <c r="FU49" s="57" t="str">
        <f t="shared" si="52"/>
        <v/>
      </c>
      <c r="FV49" s="57" t="str">
        <f t="shared" si="52"/>
        <v/>
      </c>
      <c r="FW49" s="57" t="str">
        <f t="shared" si="52"/>
        <v/>
      </c>
      <c r="FX49" s="57" t="str">
        <f t="shared" si="52"/>
        <v/>
      </c>
      <c r="FY49" s="57" t="str">
        <f t="shared" si="52"/>
        <v/>
      </c>
      <c r="FZ49" s="57" t="str">
        <f t="shared" si="52"/>
        <v/>
      </c>
      <c r="GA49" s="57" t="str">
        <f t="shared" si="52"/>
        <v/>
      </c>
      <c r="GB49" s="57" t="str">
        <f t="shared" si="52"/>
        <v/>
      </c>
      <c r="GC49" s="57" t="str">
        <f t="shared" si="52"/>
        <v/>
      </c>
      <c r="GD49" s="57" t="str">
        <f t="shared" si="52"/>
        <v/>
      </c>
      <c r="GE49" s="57" t="str">
        <f t="shared" si="52"/>
        <v/>
      </c>
      <c r="GF49" s="57" t="str">
        <f t="shared" si="52"/>
        <v/>
      </c>
      <c r="GG49" s="57" t="str">
        <f t="shared" si="52"/>
        <v/>
      </c>
      <c r="GH49" s="57" t="str">
        <f t="shared" si="52"/>
        <v/>
      </c>
      <c r="GI49" s="57" t="str">
        <f t="shared" si="52"/>
        <v/>
      </c>
      <c r="GJ49" s="57" t="str">
        <f t="shared" si="52"/>
        <v/>
      </c>
      <c r="GK49" s="57" t="str">
        <f t="shared" si="52"/>
        <v/>
      </c>
      <c r="GL49" s="57" t="str">
        <f t="shared" si="52"/>
        <v/>
      </c>
      <c r="GM49" s="57" t="str">
        <f t="shared" si="52"/>
        <v/>
      </c>
      <c r="GN49" s="57" t="str">
        <f t="shared" si="52"/>
        <v/>
      </c>
      <c r="GO49" s="57" t="str">
        <f t="shared" si="52"/>
        <v/>
      </c>
      <c r="GP49" s="57" t="str">
        <f t="shared" si="52"/>
        <v/>
      </c>
      <c r="GQ49" s="57" t="str">
        <f t="shared" si="52"/>
        <v/>
      </c>
      <c r="GR49" s="57" t="str">
        <f t="shared" si="52"/>
        <v/>
      </c>
      <c r="GS49" s="57" t="str">
        <f t="shared" si="52"/>
        <v/>
      </c>
      <c r="GT49" s="57" t="str">
        <f t="shared" si="52"/>
        <v/>
      </c>
      <c r="GU49" s="57" t="str">
        <f t="shared" si="52"/>
        <v/>
      </c>
      <c r="GV49" s="57" t="str">
        <f t="shared" si="52"/>
        <v/>
      </c>
      <c r="GW49" s="57" t="str">
        <f t="shared" si="52"/>
        <v/>
      </c>
      <c r="GX49" s="57" t="str">
        <f t="shared" si="52"/>
        <v/>
      </c>
      <c r="GY49" s="57" t="str">
        <f t="shared" si="52"/>
        <v/>
      </c>
      <c r="GZ49" s="57" t="str">
        <f t="shared" si="52"/>
        <v/>
      </c>
      <c r="HA49" s="57" t="str">
        <f t="shared" si="52"/>
        <v/>
      </c>
      <c r="HB49" s="57" t="str">
        <f t="shared" si="52"/>
        <v/>
      </c>
      <c r="HC49" s="57" t="str">
        <f t="shared" si="52"/>
        <v/>
      </c>
      <c r="HD49" s="57" t="str">
        <f t="shared" si="52"/>
        <v/>
      </c>
      <c r="HE49" s="57" t="str">
        <f t="shared" si="52"/>
        <v/>
      </c>
      <c r="HF49" s="57" t="str">
        <f t="shared" si="52"/>
        <v/>
      </c>
      <c r="HG49" s="57" t="str">
        <f t="shared" si="52"/>
        <v/>
      </c>
      <c r="HH49" s="57" t="str">
        <f t="shared" si="52"/>
        <v/>
      </c>
      <c r="HI49" s="57" t="str">
        <f t="shared" si="52"/>
        <v/>
      </c>
      <c r="HJ49" s="57" t="str">
        <f t="shared" si="52"/>
        <v/>
      </c>
      <c r="HK49" s="57" t="str">
        <f t="shared" si="52"/>
        <v/>
      </c>
      <c r="HL49" s="57" t="str">
        <f t="shared" si="52"/>
        <v/>
      </c>
      <c r="HM49" s="57" t="str">
        <f t="shared" si="52"/>
        <v/>
      </c>
      <c r="HN49" s="57" t="str">
        <f t="shared" si="52"/>
        <v/>
      </c>
      <c r="HO49" s="57" t="str">
        <f t="shared" si="53"/>
        <v/>
      </c>
      <c r="HP49" s="57" t="str">
        <f t="shared" si="53"/>
        <v/>
      </c>
      <c r="HQ49" s="57" t="str">
        <f t="shared" si="53"/>
        <v/>
      </c>
      <c r="HR49" s="123" t="str">
        <f t="shared" si="53"/>
        <v/>
      </c>
    </row>
    <row r="50" spans="1:226" ht="11.15" customHeight="1" x14ac:dyDescent="0.25">
      <c r="A50" s="32"/>
      <c r="B50" s="33"/>
      <c r="C50" s="34" t="str">
        <f>IF(A50=0,"",VLOOKUP(A50,[3]CO!$A$3:$F$5311,2,0))</f>
        <v/>
      </c>
      <c r="D50" s="35"/>
      <c r="E50" s="35"/>
      <c r="F50" s="112"/>
      <c r="G50" s="36" t="str">
        <f>IF(A50=0,"",VLOOKUP(A50,[3]CO!$A$3:$F$5311,3,0))</f>
        <v/>
      </c>
      <c r="H50" s="102"/>
      <c r="I50" s="37"/>
      <c r="J50" s="37"/>
      <c r="K50" s="37"/>
      <c r="L50" s="37"/>
      <c r="M50" s="38" t="str">
        <f t="shared" si="44"/>
        <v/>
      </c>
      <c r="N50" s="38" t="str">
        <f>IF(B50=0,"",IF(H50="M",HLOOKUP(B50,$Y$12:$DT$13,2),IF(A50=0,"",VLOOKUP(A50,[3]CO!$A$3:$F$5311,4,0))))</f>
        <v/>
      </c>
      <c r="O50" s="38" t="str">
        <f t="shared" si="11"/>
        <v/>
      </c>
      <c r="P50" s="39"/>
      <c r="Q50" s="40" t="str">
        <f t="shared" si="45"/>
        <v/>
      </c>
      <c r="R50" s="41" t="str">
        <f t="shared" si="46"/>
        <v/>
      </c>
      <c r="S50" s="105"/>
      <c r="T50" s="60" t="str">
        <f>IF(A50=0,"",VLOOKUP(A50,[3]CO!$A$3:$F$5302,5,0))</f>
        <v/>
      </c>
      <c r="U50" s="61">
        <f t="shared" si="12"/>
        <v>0</v>
      </c>
      <c r="V50" s="30"/>
      <c r="W50" s="31"/>
      <c r="X50" s="31"/>
      <c r="Y50" s="71" t="str">
        <f t="shared" si="30"/>
        <v/>
      </c>
      <c r="Z50" s="62" t="str">
        <f t="shared" si="30"/>
        <v/>
      </c>
      <c r="AA50" s="62" t="str">
        <f t="shared" si="30"/>
        <v/>
      </c>
      <c r="AB50" s="62" t="str">
        <f t="shared" si="30"/>
        <v/>
      </c>
      <c r="AC50" s="62" t="str">
        <f t="shared" si="30"/>
        <v/>
      </c>
      <c r="AD50" s="62" t="str">
        <f t="shared" si="30"/>
        <v/>
      </c>
      <c r="AE50" s="62" t="str">
        <f t="shared" si="30"/>
        <v/>
      </c>
      <c r="AF50" s="62" t="str">
        <f t="shared" si="30"/>
        <v/>
      </c>
      <c r="AG50" s="62" t="str">
        <f t="shared" si="30"/>
        <v/>
      </c>
      <c r="AH50" s="62" t="str">
        <f t="shared" si="30"/>
        <v/>
      </c>
      <c r="AI50" s="62" t="str">
        <f t="shared" si="30"/>
        <v/>
      </c>
      <c r="AJ50" s="62" t="str">
        <f t="shared" si="30"/>
        <v/>
      </c>
      <c r="AK50" s="62" t="str">
        <f t="shared" si="30"/>
        <v/>
      </c>
      <c r="AL50" s="62" t="str">
        <f t="shared" si="30"/>
        <v/>
      </c>
      <c r="AM50" s="62" t="str">
        <f t="shared" si="30"/>
        <v/>
      </c>
      <c r="AN50" s="62" t="str">
        <f t="shared" si="30"/>
        <v/>
      </c>
      <c r="AO50" s="62" t="str">
        <f t="shared" si="47"/>
        <v/>
      </c>
      <c r="AP50" s="62" t="str">
        <f t="shared" si="47"/>
        <v/>
      </c>
      <c r="AQ50" s="62" t="str">
        <f t="shared" si="47"/>
        <v/>
      </c>
      <c r="AR50" s="62" t="str">
        <f t="shared" si="47"/>
        <v/>
      </c>
      <c r="AS50" s="62" t="str">
        <f t="shared" si="47"/>
        <v/>
      </c>
      <c r="AT50" s="62" t="str">
        <f t="shared" si="47"/>
        <v/>
      </c>
      <c r="AU50" s="62" t="str">
        <f t="shared" si="47"/>
        <v/>
      </c>
      <c r="AV50" s="62" t="str">
        <f t="shared" si="47"/>
        <v/>
      </c>
      <c r="AW50" s="62" t="str">
        <f t="shared" si="47"/>
        <v/>
      </c>
      <c r="AX50" s="62" t="str">
        <f t="shared" si="47"/>
        <v/>
      </c>
      <c r="AY50" s="62" t="str">
        <f t="shared" si="47"/>
        <v/>
      </c>
      <c r="AZ50" s="62" t="str">
        <f t="shared" si="47"/>
        <v/>
      </c>
      <c r="BA50" s="62" t="str">
        <f t="shared" si="47"/>
        <v/>
      </c>
      <c r="BB50" s="62" t="str">
        <f t="shared" si="47"/>
        <v/>
      </c>
      <c r="BC50" s="62" t="str">
        <f t="shared" si="47"/>
        <v/>
      </c>
      <c r="BD50" s="62" t="str">
        <f t="shared" si="47"/>
        <v/>
      </c>
      <c r="BE50" s="62" t="str">
        <f t="shared" si="48"/>
        <v/>
      </c>
      <c r="BF50" s="62" t="str">
        <f t="shared" si="48"/>
        <v/>
      </c>
      <c r="BG50" s="62" t="str">
        <f t="shared" si="48"/>
        <v/>
      </c>
      <c r="BH50" s="62" t="str">
        <f t="shared" si="48"/>
        <v/>
      </c>
      <c r="BI50" s="62" t="str">
        <f t="shared" si="48"/>
        <v/>
      </c>
      <c r="BJ50" s="62" t="str">
        <f t="shared" si="48"/>
        <v/>
      </c>
      <c r="BK50" s="62" t="str">
        <f t="shared" si="48"/>
        <v/>
      </c>
      <c r="BL50" s="62" t="str">
        <f t="shared" si="48"/>
        <v/>
      </c>
      <c r="BM50" s="62" t="str">
        <f t="shared" si="48"/>
        <v/>
      </c>
      <c r="BN50" s="62" t="str">
        <f t="shared" si="48"/>
        <v/>
      </c>
      <c r="BO50" s="62" t="str">
        <f t="shared" si="48"/>
        <v/>
      </c>
      <c r="BP50" s="62" t="str">
        <f t="shared" si="48"/>
        <v/>
      </c>
      <c r="BQ50" s="62" t="str">
        <f t="shared" si="48"/>
        <v/>
      </c>
      <c r="BR50" s="62" t="str">
        <f t="shared" si="48"/>
        <v/>
      </c>
      <c r="BS50" s="62" t="str">
        <f t="shared" si="48"/>
        <v/>
      </c>
      <c r="BT50" s="62" t="str">
        <f t="shared" si="48"/>
        <v/>
      </c>
      <c r="BU50" s="62" t="str">
        <f t="shared" si="48"/>
        <v/>
      </c>
      <c r="BV50" s="62" t="str">
        <f t="shared" si="48"/>
        <v/>
      </c>
      <c r="BW50" s="62" t="str">
        <f t="shared" si="48"/>
        <v/>
      </c>
      <c r="BX50" s="62" t="str">
        <f t="shared" si="48"/>
        <v/>
      </c>
      <c r="BY50" s="62" t="str">
        <f t="shared" si="48"/>
        <v/>
      </c>
      <c r="BZ50" s="62" t="str">
        <f t="shared" si="48"/>
        <v/>
      </c>
      <c r="CA50" s="62" t="str">
        <f t="shared" si="48"/>
        <v/>
      </c>
      <c r="CB50" s="62" t="str">
        <f t="shared" si="48"/>
        <v/>
      </c>
      <c r="CC50" s="62" t="str">
        <f t="shared" si="48"/>
        <v/>
      </c>
      <c r="CD50" s="62" t="str">
        <f t="shared" si="48"/>
        <v/>
      </c>
      <c r="CE50" s="62" t="str">
        <f t="shared" si="48"/>
        <v/>
      </c>
      <c r="CF50" s="62" t="str">
        <f t="shared" si="48"/>
        <v/>
      </c>
      <c r="CG50" s="62" t="str">
        <f t="shared" si="48"/>
        <v/>
      </c>
      <c r="CH50" s="62" t="str">
        <f t="shared" si="48"/>
        <v/>
      </c>
      <c r="CI50" s="62" t="str">
        <f t="shared" si="48"/>
        <v/>
      </c>
      <c r="CJ50" s="62" t="str">
        <f t="shared" si="48"/>
        <v/>
      </c>
      <c r="CK50" s="62" t="str">
        <f t="shared" si="48"/>
        <v/>
      </c>
      <c r="CL50" s="62" t="str">
        <f t="shared" si="48"/>
        <v/>
      </c>
      <c r="CM50" s="62" t="str">
        <f t="shared" si="48"/>
        <v/>
      </c>
      <c r="CN50" s="62" t="str">
        <f t="shared" si="48"/>
        <v/>
      </c>
      <c r="CO50" s="62" t="str">
        <f t="shared" si="48"/>
        <v/>
      </c>
      <c r="CP50" s="62" t="str">
        <f t="shared" si="48"/>
        <v/>
      </c>
      <c r="CQ50" s="62" t="str">
        <f t="shared" si="48"/>
        <v/>
      </c>
      <c r="CR50" s="62" t="str">
        <f t="shared" si="48"/>
        <v/>
      </c>
      <c r="CS50" s="62" t="str">
        <f t="shared" si="48"/>
        <v/>
      </c>
      <c r="CT50" s="62" t="str">
        <f t="shared" si="48"/>
        <v/>
      </c>
      <c r="CU50" s="62" t="str">
        <f t="shared" si="48"/>
        <v/>
      </c>
      <c r="CV50" s="62" t="str">
        <f t="shared" si="48"/>
        <v/>
      </c>
      <c r="CW50" s="62" t="str">
        <f t="shared" si="48"/>
        <v/>
      </c>
      <c r="CX50" s="62" t="str">
        <f t="shared" si="48"/>
        <v/>
      </c>
      <c r="CY50" s="62" t="str">
        <f t="shared" si="48"/>
        <v/>
      </c>
      <c r="CZ50" s="62" t="str">
        <f t="shared" si="48"/>
        <v/>
      </c>
      <c r="DA50" s="62" t="str">
        <f t="shared" si="48"/>
        <v/>
      </c>
      <c r="DB50" s="62" t="str">
        <f t="shared" si="48"/>
        <v/>
      </c>
      <c r="DC50" s="62" t="str">
        <f t="shared" si="48"/>
        <v/>
      </c>
      <c r="DD50" s="62" t="str">
        <f t="shared" si="48"/>
        <v/>
      </c>
      <c r="DE50" s="62" t="str">
        <f t="shared" si="48"/>
        <v/>
      </c>
      <c r="DF50" s="62" t="str">
        <f t="shared" si="48"/>
        <v/>
      </c>
      <c r="DG50" s="62" t="str">
        <f t="shared" si="48"/>
        <v/>
      </c>
      <c r="DH50" s="62" t="str">
        <f t="shared" si="48"/>
        <v/>
      </c>
      <c r="DI50" s="62" t="str">
        <f t="shared" si="48"/>
        <v/>
      </c>
      <c r="DJ50" s="62" t="str">
        <f t="shared" si="48"/>
        <v/>
      </c>
      <c r="DK50" s="62" t="str">
        <f t="shared" si="48"/>
        <v/>
      </c>
      <c r="DL50" s="62" t="str">
        <f t="shared" si="48"/>
        <v/>
      </c>
      <c r="DM50" s="62" t="str">
        <f t="shared" si="48"/>
        <v/>
      </c>
      <c r="DN50" s="62" t="str">
        <f t="shared" si="48"/>
        <v/>
      </c>
      <c r="DO50" s="62" t="str">
        <f t="shared" si="48"/>
        <v/>
      </c>
      <c r="DP50" s="62" t="str">
        <f t="shared" si="48"/>
        <v/>
      </c>
      <c r="DQ50" s="62" t="str">
        <f t="shared" si="49"/>
        <v/>
      </c>
      <c r="DR50" s="62" t="str">
        <f t="shared" si="49"/>
        <v/>
      </c>
      <c r="DS50" s="62" t="str">
        <f t="shared" si="49"/>
        <v/>
      </c>
      <c r="DT50" s="117" t="str">
        <f t="shared" si="49"/>
        <v/>
      </c>
      <c r="DU50" s="61"/>
      <c r="DV50" s="31"/>
      <c r="DW50" s="68" t="str">
        <f t="shared" si="50"/>
        <v/>
      </c>
      <c r="DX50" s="57" t="str">
        <f t="shared" si="50"/>
        <v/>
      </c>
      <c r="DY50" s="57" t="str">
        <f t="shared" si="50"/>
        <v/>
      </c>
      <c r="DZ50" s="57" t="str">
        <f t="shared" si="50"/>
        <v/>
      </c>
      <c r="EA50" s="57" t="str">
        <f t="shared" si="50"/>
        <v/>
      </c>
      <c r="EB50" s="57" t="str">
        <f t="shared" si="50"/>
        <v/>
      </c>
      <c r="EC50" s="57" t="str">
        <f t="shared" si="50"/>
        <v/>
      </c>
      <c r="ED50" s="57" t="str">
        <f t="shared" si="50"/>
        <v/>
      </c>
      <c r="EE50" s="57" t="str">
        <f t="shared" si="50"/>
        <v/>
      </c>
      <c r="EF50" s="57" t="str">
        <f t="shared" si="50"/>
        <v/>
      </c>
      <c r="EG50" s="57" t="str">
        <f t="shared" si="50"/>
        <v/>
      </c>
      <c r="EH50" s="57" t="str">
        <f t="shared" si="50"/>
        <v/>
      </c>
      <c r="EI50" s="57" t="str">
        <f t="shared" si="50"/>
        <v/>
      </c>
      <c r="EJ50" s="57" t="str">
        <f t="shared" si="50"/>
        <v/>
      </c>
      <c r="EK50" s="57" t="str">
        <f t="shared" si="50"/>
        <v/>
      </c>
      <c r="EL50" s="57" t="str">
        <f t="shared" si="50"/>
        <v/>
      </c>
      <c r="EM50" s="57" t="str">
        <f t="shared" si="51"/>
        <v/>
      </c>
      <c r="EN50" s="57" t="str">
        <f t="shared" si="51"/>
        <v/>
      </c>
      <c r="EO50" s="57" t="str">
        <f t="shared" si="51"/>
        <v/>
      </c>
      <c r="EP50" s="57" t="str">
        <f t="shared" si="51"/>
        <v/>
      </c>
      <c r="EQ50" s="57" t="str">
        <f t="shared" si="51"/>
        <v/>
      </c>
      <c r="ER50" s="57" t="str">
        <f t="shared" si="51"/>
        <v/>
      </c>
      <c r="ES50" s="57" t="str">
        <f t="shared" si="51"/>
        <v/>
      </c>
      <c r="ET50" s="57" t="str">
        <f t="shared" si="51"/>
        <v/>
      </c>
      <c r="EU50" s="57" t="str">
        <f t="shared" si="51"/>
        <v/>
      </c>
      <c r="EV50" s="57" t="str">
        <f t="shared" si="51"/>
        <v/>
      </c>
      <c r="EW50" s="57" t="str">
        <f t="shared" si="51"/>
        <v/>
      </c>
      <c r="EX50" s="57" t="str">
        <f t="shared" si="51"/>
        <v/>
      </c>
      <c r="EY50" s="57" t="str">
        <f t="shared" si="51"/>
        <v/>
      </c>
      <c r="EZ50" s="57" t="str">
        <f t="shared" si="51"/>
        <v/>
      </c>
      <c r="FA50" s="57" t="str">
        <f t="shared" si="51"/>
        <v/>
      </c>
      <c r="FB50" s="57" t="str">
        <f t="shared" si="51"/>
        <v/>
      </c>
      <c r="FC50" s="57" t="str">
        <f t="shared" si="52"/>
        <v/>
      </c>
      <c r="FD50" s="57" t="str">
        <f t="shared" si="52"/>
        <v/>
      </c>
      <c r="FE50" s="57" t="str">
        <f t="shared" si="52"/>
        <v/>
      </c>
      <c r="FF50" s="57" t="str">
        <f t="shared" si="52"/>
        <v/>
      </c>
      <c r="FG50" s="57" t="str">
        <f t="shared" si="52"/>
        <v/>
      </c>
      <c r="FH50" s="57" t="str">
        <f t="shared" si="52"/>
        <v/>
      </c>
      <c r="FI50" s="57" t="str">
        <f t="shared" si="52"/>
        <v/>
      </c>
      <c r="FJ50" s="57" t="str">
        <f t="shared" si="52"/>
        <v/>
      </c>
      <c r="FK50" s="57" t="str">
        <f t="shared" si="52"/>
        <v/>
      </c>
      <c r="FL50" s="57" t="str">
        <f t="shared" si="52"/>
        <v/>
      </c>
      <c r="FM50" s="57" t="str">
        <f t="shared" si="52"/>
        <v/>
      </c>
      <c r="FN50" s="57" t="str">
        <f t="shared" si="52"/>
        <v/>
      </c>
      <c r="FO50" s="57" t="str">
        <f t="shared" si="52"/>
        <v/>
      </c>
      <c r="FP50" s="57" t="str">
        <f t="shared" si="52"/>
        <v/>
      </c>
      <c r="FQ50" s="57" t="str">
        <f t="shared" si="52"/>
        <v/>
      </c>
      <c r="FR50" s="57" t="str">
        <f t="shared" si="52"/>
        <v/>
      </c>
      <c r="FS50" s="57" t="str">
        <f t="shared" si="52"/>
        <v/>
      </c>
      <c r="FT50" s="57" t="str">
        <f t="shared" si="52"/>
        <v/>
      </c>
      <c r="FU50" s="57" t="str">
        <f t="shared" si="52"/>
        <v/>
      </c>
      <c r="FV50" s="57" t="str">
        <f t="shared" si="52"/>
        <v/>
      </c>
      <c r="FW50" s="57" t="str">
        <f t="shared" si="52"/>
        <v/>
      </c>
      <c r="FX50" s="57" t="str">
        <f t="shared" si="52"/>
        <v/>
      </c>
      <c r="FY50" s="57" t="str">
        <f t="shared" si="52"/>
        <v/>
      </c>
      <c r="FZ50" s="57" t="str">
        <f t="shared" si="52"/>
        <v/>
      </c>
      <c r="GA50" s="57" t="str">
        <f t="shared" si="52"/>
        <v/>
      </c>
      <c r="GB50" s="57" t="str">
        <f t="shared" si="52"/>
        <v/>
      </c>
      <c r="GC50" s="57" t="str">
        <f t="shared" si="52"/>
        <v/>
      </c>
      <c r="GD50" s="57" t="str">
        <f t="shared" si="52"/>
        <v/>
      </c>
      <c r="GE50" s="57" t="str">
        <f t="shared" si="52"/>
        <v/>
      </c>
      <c r="GF50" s="57" t="str">
        <f t="shared" si="52"/>
        <v/>
      </c>
      <c r="GG50" s="57" t="str">
        <f t="shared" si="52"/>
        <v/>
      </c>
      <c r="GH50" s="57" t="str">
        <f t="shared" si="52"/>
        <v/>
      </c>
      <c r="GI50" s="57" t="str">
        <f t="shared" si="52"/>
        <v/>
      </c>
      <c r="GJ50" s="57" t="str">
        <f t="shared" si="52"/>
        <v/>
      </c>
      <c r="GK50" s="57" t="str">
        <f t="shared" si="52"/>
        <v/>
      </c>
      <c r="GL50" s="57" t="str">
        <f t="shared" si="52"/>
        <v/>
      </c>
      <c r="GM50" s="57" t="str">
        <f t="shared" si="52"/>
        <v/>
      </c>
      <c r="GN50" s="57" t="str">
        <f t="shared" si="52"/>
        <v/>
      </c>
      <c r="GO50" s="57" t="str">
        <f t="shared" si="52"/>
        <v/>
      </c>
      <c r="GP50" s="57" t="str">
        <f t="shared" si="52"/>
        <v/>
      </c>
      <c r="GQ50" s="57" t="str">
        <f t="shared" si="52"/>
        <v/>
      </c>
      <c r="GR50" s="57" t="str">
        <f t="shared" si="52"/>
        <v/>
      </c>
      <c r="GS50" s="57" t="str">
        <f t="shared" si="52"/>
        <v/>
      </c>
      <c r="GT50" s="57" t="str">
        <f t="shared" si="52"/>
        <v/>
      </c>
      <c r="GU50" s="57" t="str">
        <f t="shared" si="52"/>
        <v/>
      </c>
      <c r="GV50" s="57" t="str">
        <f t="shared" si="52"/>
        <v/>
      </c>
      <c r="GW50" s="57" t="str">
        <f t="shared" si="52"/>
        <v/>
      </c>
      <c r="GX50" s="57" t="str">
        <f t="shared" si="52"/>
        <v/>
      </c>
      <c r="GY50" s="57" t="str">
        <f t="shared" si="52"/>
        <v/>
      </c>
      <c r="GZ50" s="57" t="str">
        <f t="shared" si="52"/>
        <v/>
      </c>
      <c r="HA50" s="57" t="str">
        <f t="shared" si="52"/>
        <v/>
      </c>
      <c r="HB50" s="57" t="str">
        <f t="shared" si="52"/>
        <v/>
      </c>
      <c r="HC50" s="57" t="str">
        <f t="shared" si="52"/>
        <v/>
      </c>
      <c r="HD50" s="57" t="str">
        <f t="shared" si="52"/>
        <v/>
      </c>
      <c r="HE50" s="57" t="str">
        <f t="shared" si="52"/>
        <v/>
      </c>
      <c r="HF50" s="57" t="str">
        <f t="shared" si="52"/>
        <v/>
      </c>
      <c r="HG50" s="57" t="str">
        <f t="shared" si="52"/>
        <v/>
      </c>
      <c r="HH50" s="57" t="str">
        <f t="shared" si="52"/>
        <v/>
      </c>
      <c r="HI50" s="57" t="str">
        <f t="shared" si="52"/>
        <v/>
      </c>
      <c r="HJ50" s="57" t="str">
        <f t="shared" si="52"/>
        <v/>
      </c>
      <c r="HK50" s="57" t="str">
        <f t="shared" si="52"/>
        <v/>
      </c>
      <c r="HL50" s="57" t="str">
        <f t="shared" si="52"/>
        <v/>
      </c>
      <c r="HM50" s="57" t="str">
        <f t="shared" si="52"/>
        <v/>
      </c>
      <c r="HN50" s="57" t="str">
        <f t="shared" si="52"/>
        <v/>
      </c>
      <c r="HO50" s="57" t="str">
        <f t="shared" si="53"/>
        <v/>
      </c>
      <c r="HP50" s="57" t="str">
        <f t="shared" si="53"/>
        <v/>
      </c>
      <c r="HQ50" s="57" t="str">
        <f t="shared" si="53"/>
        <v/>
      </c>
      <c r="HR50" s="123" t="str">
        <f t="shared" si="53"/>
        <v/>
      </c>
    </row>
    <row r="51" spans="1:226" ht="11.15" customHeight="1" x14ac:dyDescent="0.25">
      <c r="A51" s="32"/>
      <c r="B51" s="33"/>
      <c r="C51" s="34" t="str">
        <f>IF(A51=0,"",VLOOKUP(A51,[3]CO!$A$3:$F$5311,2,0))</f>
        <v/>
      </c>
      <c r="D51" s="35"/>
      <c r="E51" s="35"/>
      <c r="F51" s="112"/>
      <c r="G51" s="36" t="str">
        <f>IF(A51=0,"",VLOOKUP(A51,[3]CO!$A$3:$F$5311,3,0))</f>
        <v/>
      </c>
      <c r="H51" s="102"/>
      <c r="I51" s="37"/>
      <c r="J51" s="37"/>
      <c r="K51" s="37"/>
      <c r="L51" s="37"/>
      <c r="M51" s="38" t="str">
        <f t="shared" si="44"/>
        <v/>
      </c>
      <c r="N51" s="38" t="str">
        <f>IF(B51=0,"",IF(H51="M",HLOOKUP(B51,$Y$12:$DT$13,2),IF(A51=0,"",VLOOKUP(A51,[3]CO!$A$3:$F$5311,4,0))))</f>
        <v/>
      </c>
      <c r="O51" s="38" t="str">
        <f t="shared" si="11"/>
        <v/>
      </c>
      <c r="P51" s="39"/>
      <c r="Q51" s="40" t="str">
        <f t="shared" si="45"/>
        <v/>
      </c>
      <c r="R51" s="41" t="str">
        <f t="shared" si="46"/>
        <v/>
      </c>
      <c r="S51" s="105"/>
      <c r="T51" s="60" t="str">
        <f>IF(A51=0,"",VLOOKUP(A51,[3]CO!$A$3:$F$5302,5,0))</f>
        <v/>
      </c>
      <c r="U51" s="61">
        <f t="shared" si="12"/>
        <v>0</v>
      </c>
      <c r="V51" s="30"/>
      <c r="W51" s="31"/>
      <c r="X51" s="31"/>
      <c r="Y51" s="71" t="str">
        <f t="shared" ref="Y51:AN54" si="54">IF($B51=Y$12,$U51,"")</f>
        <v/>
      </c>
      <c r="Z51" s="62" t="str">
        <f t="shared" si="54"/>
        <v/>
      </c>
      <c r="AA51" s="62" t="str">
        <f t="shared" si="54"/>
        <v/>
      </c>
      <c r="AB51" s="62" t="str">
        <f t="shared" si="54"/>
        <v/>
      </c>
      <c r="AC51" s="62" t="str">
        <f t="shared" si="54"/>
        <v/>
      </c>
      <c r="AD51" s="62" t="str">
        <f t="shared" si="54"/>
        <v/>
      </c>
      <c r="AE51" s="62" t="str">
        <f t="shared" si="54"/>
        <v/>
      </c>
      <c r="AF51" s="62" t="str">
        <f t="shared" si="54"/>
        <v/>
      </c>
      <c r="AG51" s="62" t="str">
        <f t="shared" si="54"/>
        <v/>
      </c>
      <c r="AH51" s="62" t="str">
        <f t="shared" si="54"/>
        <v/>
      </c>
      <c r="AI51" s="62" t="str">
        <f t="shared" si="54"/>
        <v/>
      </c>
      <c r="AJ51" s="62" t="str">
        <f t="shared" si="54"/>
        <v/>
      </c>
      <c r="AK51" s="62" t="str">
        <f t="shared" si="54"/>
        <v/>
      </c>
      <c r="AL51" s="62" t="str">
        <f t="shared" si="54"/>
        <v/>
      </c>
      <c r="AM51" s="62" t="str">
        <f t="shared" si="54"/>
        <v/>
      </c>
      <c r="AN51" s="62" t="str">
        <f t="shared" si="54"/>
        <v/>
      </c>
      <c r="AO51" s="62" t="str">
        <f t="shared" si="47"/>
        <v/>
      </c>
      <c r="AP51" s="62" t="str">
        <f t="shared" si="47"/>
        <v/>
      </c>
      <c r="AQ51" s="62" t="str">
        <f t="shared" si="47"/>
        <v/>
      </c>
      <c r="AR51" s="62" t="str">
        <f t="shared" si="47"/>
        <v/>
      </c>
      <c r="AS51" s="62" t="str">
        <f t="shared" si="47"/>
        <v/>
      </c>
      <c r="AT51" s="62" t="str">
        <f t="shared" si="47"/>
        <v/>
      </c>
      <c r="AU51" s="62" t="str">
        <f t="shared" si="47"/>
        <v/>
      </c>
      <c r="AV51" s="62" t="str">
        <f t="shared" si="47"/>
        <v/>
      </c>
      <c r="AW51" s="62" t="str">
        <f t="shared" si="47"/>
        <v/>
      </c>
      <c r="AX51" s="62" t="str">
        <f t="shared" si="47"/>
        <v/>
      </c>
      <c r="AY51" s="62" t="str">
        <f t="shared" si="47"/>
        <v/>
      </c>
      <c r="AZ51" s="62" t="str">
        <f t="shared" si="47"/>
        <v/>
      </c>
      <c r="BA51" s="62" t="str">
        <f t="shared" si="47"/>
        <v/>
      </c>
      <c r="BB51" s="62" t="str">
        <f t="shared" si="47"/>
        <v/>
      </c>
      <c r="BC51" s="62" t="str">
        <f t="shared" si="47"/>
        <v/>
      </c>
      <c r="BD51" s="62" t="str">
        <f t="shared" si="47"/>
        <v/>
      </c>
      <c r="BE51" s="62" t="str">
        <f t="shared" si="48"/>
        <v/>
      </c>
      <c r="BF51" s="62" t="str">
        <f t="shared" si="48"/>
        <v/>
      </c>
      <c r="BG51" s="62" t="str">
        <f t="shared" si="48"/>
        <v/>
      </c>
      <c r="BH51" s="62" t="str">
        <f t="shared" si="48"/>
        <v/>
      </c>
      <c r="BI51" s="62" t="str">
        <f t="shared" si="48"/>
        <v/>
      </c>
      <c r="BJ51" s="62" t="str">
        <f t="shared" si="48"/>
        <v/>
      </c>
      <c r="BK51" s="62" t="str">
        <f t="shared" si="48"/>
        <v/>
      </c>
      <c r="BL51" s="62" t="str">
        <f t="shared" si="48"/>
        <v/>
      </c>
      <c r="BM51" s="62" t="str">
        <f t="shared" si="48"/>
        <v/>
      </c>
      <c r="BN51" s="62" t="str">
        <f t="shared" si="48"/>
        <v/>
      </c>
      <c r="BO51" s="62" t="str">
        <f t="shared" si="48"/>
        <v/>
      </c>
      <c r="BP51" s="62" t="str">
        <f t="shared" si="48"/>
        <v/>
      </c>
      <c r="BQ51" s="62" t="str">
        <f t="shared" si="48"/>
        <v/>
      </c>
      <c r="BR51" s="62" t="str">
        <f t="shared" si="48"/>
        <v/>
      </c>
      <c r="BS51" s="62" t="str">
        <f t="shared" si="48"/>
        <v/>
      </c>
      <c r="BT51" s="62" t="str">
        <f t="shared" si="48"/>
        <v/>
      </c>
      <c r="BU51" s="62" t="str">
        <f t="shared" si="48"/>
        <v/>
      </c>
      <c r="BV51" s="62" t="str">
        <f t="shared" si="48"/>
        <v/>
      </c>
      <c r="BW51" s="62" t="str">
        <f t="shared" si="48"/>
        <v/>
      </c>
      <c r="BX51" s="62" t="str">
        <f t="shared" si="48"/>
        <v/>
      </c>
      <c r="BY51" s="62" t="str">
        <f t="shared" si="48"/>
        <v/>
      </c>
      <c r="BZ51" s="62" t="str">
        <f t="shared" si="48"/>
        <v/>
      </c>
      <c r="CA51" s="62" t="str">
        <f t="shared" si="48"/>
        <v/>
      </c>
      <c r="CB51" s="62" t="str">
        <f t="shared" si="48"/>
        <v/>
      </c>
      <c r="CC51" s="62" t="str">
        <f t="shared" si="48"/>
        <v/>
      </c>
      <c r="CD51" s="62" t="str">
        <f t="shared" si="48"/>
        <v/>
      </c>
      <c r="CE51" s="62" t="str">
        <f t="shared" si="48"/>
        <v/>
      </c>
      <c r="CF51" s="62" t="str">
        <f t="shared" si="48"/>
        <v/>
      </c>
      <c r="CG51" s="62" t="str">
        <f t="shared" si="48"/>
        <v/>
      </c>
      <c r="CH51" s="62" t="str">
        <f t="shared" si="48"/>
        <v/>
      </c>
      <c r="CI51" s="62" t="str">
        <f t="shared" si="48"/>
        <v/>
      </c>
      <c r="CJ51" s="62" t="str">
        <f t="shared" si="48"/>
        <v/>
      </c>
      <c r="CK51" s="62" t="str">
        <f t="shared" si="48"/>
        <v/>
      </c>
      <c r="CL51" s="62" t="str">
        <f t="shared" si="48"/>
        <v/>
      </c>
      <c r="CM51" s="62" t="str">
        <f t="shared" si="48"/>
        <v/>
      </c>
      <c r="CN51" s="62" t="str">
        <f t="shared" si="48"/>
        <v/>
      </c>
      <c r="CO51" s="62" t="str">
        <f t="shared" si="48"/>
        <v/>
      </c>
      <c r="CP51" s="62" t="str">
        <f t="shared" si="48"/>
        <v/>
      </c>
      <c r="CQ51" s="62" t="str">
        <f t="shared" si="48"/>
        <v/>
      </c>
      <c r="CR51" s="62" t="str">
        <f t="shared" si="48"/>
        <v/>
      </c>
      <c r="CS51" s="62" t="str">
        <f t="shared" si="48"/>
        <v/>
      </c>
      <c r="CT51" s="62" t="str">
        <f t="shared" si="48"/>
        <v/>
      </c>
      <c r="CU51" s="62" t="str">
        <f t="shared" si="48"/>
        <v/>
      </c>
      <c r="CV51" s="62" t="str">
        <f t="shared" si="48"/>
        <v/>
      </c>
      <c r="CW51" s="62" t="str">
        <f t="shared" si="48"/>
        <v/>
      </c>
      <c r="CX51" s="62" t="str">
        <f t="shared" si="48"/>
        <v/>
      </c>
      <c r="CY51" s="62" t="str">
        <f t="shared" si="48"/>
        <v/>
      </c>
      <c r="CZ51" s="62" t="str">
        <f t="shared" si="48"/>
        <v/>
      </c>
      <c r="DA51" s="62" t="str">
        <f t="shared" si="48"/>
        <v/>
      </c>
      <c r="DB51" s="62" t="str">
        <f t="shared" si="48"/>
        <v/>
      </c>
      <c r="DC51" s="62" t="str">
        <f t="shared" si="48"/>
        <v/>
      </c>
      <c r="DD51" s="62" t="str">
        <f t="shared" si="48"/>
        <v/>
      </c>
      <c r="DE51" s="62" t="str">
        <f t="shared" si="48"/>
        <v/>
      </c>
      <c r="DF51" s="62" t="str">
        <f t="shared" si="48"/>
        <v/>
      </c>
      <c r="DG51" s="62" t="str">
        <f t="shared" si="48"/>
        <v/>
      </c>
      <c r="DH51" s="62" t="str">
        <f t="shared" si="48"/>
        <v/>
      </c>
      <c r="DI51" s="62" t="str">
        <f t="shared" si="48"/>
        <v/>
      </c>
      <c r="DJ51" s="62" t="str">
        <f t="shared" si="48"/>
        <v/>
      </c>
      <c r="DK51" s="62" t="str">
        <f t="shared" si="48"/>
        <v/>
      </c>
      <c r="DL51" s="62" t="str">
        <f t="shared" si="48"/>
        <v/>
      </c>
      <c r="DM51" s="62" t="str">
        <f t="shared" si="48"/>
        <v/>
      </c>
      <c r="DN51" s="62" t="str">
        <f t="shared" si="48"/>
        <v/>
      </c>
      <c r="DO51" s="62" t="str">
        <f t="shared" si="48"/>
        <v/>
      </c>
      <c r="DP51" s="62" t="str">
        <f t="shared" ref="DP51:DP52" si="55">IF($B51=DP$12,$U51,"")</f>
        <v/>
      </c>
      <c r="DQ51" s="62" t="str">
        <f t="shared" si="49"/>
        <v/>
      </c>
      <c r="DR51" s="62" t="str">
        <f t="shared" si="49"/>
        <v/>
      </c>
      <c r="DS51" s="62" t="str">
        <f t="shared" si="49"/>
        <v/>
      </c>
      <c r="DT51" s="117" t="str">
        <f t="shared" si="49"/>
        <v/>
      </c>
      <c r="DU51" s="61"/>
      <c r="DV51" s="31"/>
      <c r="DW51" s="68" t="str">
        <f t="shared" si="50"/>
        <v/>
      </c>
      <c r="DX51" s="57" t="str">
        <f t="shared" si="50"/>
        <v/>
      </c>
      <c r="DY51" s="57" t="str">
        <f t="shared" si="50"/>
        <v/>
      </c>
      <c r="DZ51" s="57" t="str">
        <f t="shared" si="50"/>
        <v/>
      </c>
      <c r="EA51" s="57" t="str">
        <f t="shared" si="50"/>
        <v/>
      </c>
      <c r="EB51" s="57" t="str">
        <f t="shared" si="50"/>
        <v/>
      </c>
      <c r="EC51" s="57" t="str">
        <f t="shared" si="50"/>
        <v/>
      </c>
      <c r="ED51" s="57" t="str">
        <f t="shared" si="50"/>
        <v/>
      </c>
      <c r="EE51" s="57" t="str">
        <f t="shared" si="50"/>
        <v/>
      </c>
      <c r="EF51" s="57" t="str">
        <f t="shared" si="50"/>
        <v/>
      </c>
      <c r="EG51" s="57" t="str">
        <f t="shared" si="50"/>
        <v/>
      </c>
      <c r="EH51" s="57" t="str">
        <f t="shared" si="50"/>
        <v/>
      </c>
      <c r="EI51" s="57" t="str">
        <f t="shared" si="50"/>
        <v/>
      </c>
      <c r="EJ51" s="57" t="str">
        <f t="shared" si="50"/>
        <v/>
      </c>
      <c r="EK51" s="57" t="str">
        <f t="shared" si="50"/>
        <v/>
      </c>
      <c r="EL51" s="57" t="str">
        <f t="shared" si="50"/>
        <v/>
      </c>
      <c r="EM51" s="57" t="str">
        <f t="shared" si="51"/>
        <v/>
      </c>
      <c r="EN51" s="57" t="str">
        <f t="shared" si="51"/>
        <v/>
      </c>
      <c r="EO51" s="57" t="str">
        <f t="shared" si="51"/>
        <v/>
      </c>
      <c r="EP51" s="57" t="str">
        <f t="shared" si="51"/>
        <v/>
      </c>
      <c r="EQ51" s="57" t="str">
        <f t="shared" si="51"/>
        <v/>
      </c>
      <c r="ER51" s="57" t="str">
        <f t="shared" si="51"/>
        <v/>
      </c>
      <c r="ES51" s="57" t="str">
        <f t="shared" si="51"/>
        <v/>
      </c>
      <c r="ET51" s="57" t="str">
        <f t="shared" si="51"/>
        <v/>
      </c>
      <c r="EU51" s="57" t="str">
        <f t="shared" si="51"/>
        <v/>
      </c>
      <c r="EV51" s="57" t="str">
        <f t="shared" si="51"/>
        <v/>
      </c>
      <c r="EW51" s="57" t="str">
        <f t="shared" si="51"/>
        <v/>
      </c>
      <c r="EX51" s="57" t="str">
        <f t="shared" si="51"/>
        <v/>
      </c>
      <c r="EY51" s="57" t="str">
        <f t="shared" si="51"/>
        <v/>
      </c>
      <c r="EZ51" s="57" t="str">
        <f t="shared" si="51"/>
        <v/>
      </c>
      <c r="FA51" s="57" t="str">
        <f t="shared" si="51"/>
        <v/>
      </c>
      <c r="FB51" s="57" t="str">
        <f t="shared" si="51"/>
        <v/>
      </c>
      <c r="FC51" s="57" t="str">
        <f t="shared" si="52"/>
        <v/>
      </c>
      <c r="FD51" s="57" t="str">
        <f t="shared" si="52"/>
        <v/>
      </c>
      <c r="FE51" s="57" t="str">
        <f t="shared" si="52"/>
        <v/>
      </c>
      <c r="FF51" s="57" t="str">
        <f t="shared" si="52"/>
        <v/>
      </c>
      <c r="FG51" s="57" t="str">
        <f t="shared" si="52"/>
        <v/>
      </c>
      <c r="FH51" s="57" t="str">
        <f t="shared" si="52"/>
        <v/>
      </c>
      <c r="FI51" s="57" t="str">
        <f t="shared" si="52"/>
        <v/>
      </c>
      <c r="FJ51" s="57" t="str">
        <f t="shared" si="52"/>
        <v/>
      </c>
      <c r="FK51" s="57" t="str">
        <f t="shared" si="52"/>
        <v/>
      </c>
      <c r="FL51" s="57" t="str">
        <f t="shared" si="52"/>
        <v/>
      </c>
      <c r="FM51" s="57" t="str">
        <f t="shared" si="52"/>
        <v/>
      </c>
      <c r="FN51" s="57" t="str">
        <f t="shared" si="52"/>
        <v/>
      </c>
      <c r="FO51" s="57" t="str">
        <f t="shared" si="52"/>
        <v/>
      </c>
      <c r="FP51" s="57" t="str">
        <f t="shared" si="52"/>
        <v/>
      </c>
      <c r="FQ51" s="57" t="str">
        <f t="shared" si="52"/>
        <v/>
      </c>
      <c r="FR51" s="57" t="str">
        <f t="shared" si="52"/>
        <v/>
      </c>
      <c r="FS51" s="57" t="str">
        <f t="shared" si="52"/>
        <v/>
      </c>
      <c r="FT51" s="57" t="str">
        <f t="shared" si="52"/>
        <v/>
      </c>
      <c r="FU51" s="57" t="str">
        <f t="shared" si="52"/>
        <v/>
      </c>
      <c r="FV51" s="57" t="str">
        <f t="shared" si="52"/>
        <v/>
      </c>
      <c r="FW51" s="57" t="str">
        <f t="shared" si="52"/>
        <v/>
      </c>
      <c r="FX51" s="57" t="str">
        <f t="shared" si="52"/>
        <v/>
      </c>
      <c r="FY51" s="57" t="str">
        <f t="shared" si="52"/>
        <v/>
      </c>
      <c r="FZ51" s="57" t="str">
        <f t="shared" si="52"/>
        <v/>
      </c>
      <c r="GA51" s="57" t="str">
        <f t="shared" si="52"/>
        <v/>
      </c>
      <c r="GB51" s="57" t="str">
        <f t="shared" si="52"/>
        <v/>
      </c>
      <c r="GC51" s="57" t="str">
        <f t="shared" si="52"/>
        <v/>
      </c>
      <c r="GD51" s="57" t="str">
        <f t="shared" si="52"/>
        <v/>
      </c>
      <c r="GE51" s="57" t="str">
        <f t="shared" si="52"/>
        <v/>
      </c>
      <c r="GF51" s="57" t="str">
        <f t="shared" si="52"/>
        <v/>
      </c>
      <c r="GG51" s="57" t="str">
        <f t="shared" si="52"/>
        <v/>
      </c>
      <c r="GH51" s="57" t="str">
        <f t="shared" si="52"/>
        <v/>
      </c>
      <c r="GI51" s="57" t="str">
        <f t="shared" si="52"/>
        <v/>
      </c>
      <c r="GJ51" s="57" t="str">
        <f t="shared" si="52"/>
        <v/>
      </c>
      <c r="GK51" s="57" t="str">
        <f t="shared" si="52"/>
        <v/>
      </c>
      <c r="GL51" s="57" t="str">
        <f t="shared" si="52"/>
        <v/>
      </c>
      <c r="GM51" s="57" t="str">
        <f t="shared" si="52"/>
        <v/>
      </c>
      <c r="GN51" s="57" t="str">
        <f t="shared" si="52"/>
        <v/>
      </c>
      <c r="GO51" s="57" t="str">
        <f t="shared" si="52"/>
        <v/>
      </c>
      <c r="GP51" s="57" t="str">
        <f t="shared" si="52"/>
        <v/>
      </c>
      <c r="GQ51" s="57" t="str">
        <f t="shared" si="52"/>
        <v/>
      </c>
      <c r="GR51" s="57" t="str">
        <f t="shared" si="52"/>
        <v/>
      </c>
      <c r="GS51" s="57" t="str">
        <f t="shared" si="52"/>
        <v/>
      </c>
      <c r="GT51" s="57" t="str">
        <f t="shared" si="52"/>
        <v/>
      </c>
      <c r="GU51" s="57" t="str">
        <f t="shared" si="52"/>
        <v/>
      </c>
      <c r="GV51" s="57" t="str">
        <f t="shared" si="52"/>
        <v/>
      </c>
      <c r="GW51" s="57" t="str">
        <f t="shared" si="52"/>
        <v/>
      </c>
      <c r="GX51" s="57" t="str">
        <f t="shared" si="52"/>
        <v/>
      </c>
      <c r="GY51" s="57" t="str">
        <f t="shared" si="52"/>
        <v/>
      </c>
      <c r="GZ51" s="57" t="str">
        <f t="shared" si="52"/>
        <v/>
      </c>
      <c r="HA51" s="57" t="str">
        <f t="shared" si="52"/>
        <v/>
      </c>
      <c r="HB51" s="57" t="str">
        <f t="shared" si="52"/>
        <v/>
      </c>
      <c r="HC51" s="57" t="str">
        <f t="shared" si="52"/>
        <v/>
      </c>
      <c r="HD51" s="57" t="str">
        <f t="shared" si="52"/>
        <v/>
      </c>
      <c r="HE51" s="57" t="str">
        <f t="shared" si="52"/>
        <v/>
      </c>
      <c r="HF51" s="57" t="str">
        <f t="shared" si="52"/>
        <v/>
      </c>
      <c r="HG51" s="57" t="str">
        <f t="shared" si="52"/>
        <v/>
      </c>
      <c r="HH51" s="57" t="str">
        <f t="shared" si="52"/>
        <v/>
      </c>
      <c r="HI51" s="57" t="str">
        <f t="shared" si="52"/>
        <v/>
      </c>
      <c r="HJ51" s="57" t="str">
        <f t="shared" si="52"/>
        <v/>
      </c>
      <c r="HK51" s="57" t="str">
        <f t="shared" si="52"/>
        <v/>
      </c>
      <c r="HL51" s="57" t="str">
        <f t="shared" si="52"/>
        <v/>
      </c>
      <c r="HM51" s="57" t="str">
        <f t="shared" si="52"/>
        <v/>
      </c>
      <c r="HN51" s="57" t="str">
        <f t="shared" ref="HN51:HN52" si="56">IF($B51=HN$12,$O51,"")</f>
        <v/>
      </c>
      <c r="HO51" s="57" t="str">
        <f t="shared" si="53"/>
        <v/>
      </c>
      <c r="HP51" s="57" t="str">
        <f t="shared" si="53"/>
        <v/>
      </c>
      <c r="HQ51" s="57" t="str">
        <f t="shared" si="53"/>
        <v/>
      </c>
      <c r="HR51" s="123" t="str">
        <f t="shared" si="53"/>
        <v/>
      </c>
    </row>
    <row r="52" spans="1:226" ht="11.15" customHeight="1" x14ac:dyDescent="0.25">
      <c r="A52" s="32"/>
      <c r="B52" s="33"/>
      <c r="C52" s="34" t="str">
        <f>IF(A52=0,"",VLOOKUP(A52,[3]CO!$A$3:$F$5311,2,0))</f>
        <v/>
      </c>
      <c r="D52" s="35"/>
      <c r="E52" s="35"/>
      <c r="F52" s="112"/>
      <c r="G52" s="36" t="str">
        <f>IF(A52=0,"",VLOOKUP(A52,[3]CO!$A$3:$F$5311,3,0))</f>
        <v/>
      </c>
      <c r="H52" s="102"/>
      <c r="I52" s="37"/>
      <c r="J52" s="37"/>
      <c r="K52" s="37"/>
      <c r="L52" s="37"/>
      <c r="M52" s="38" t="str">
        <f t="shared" si="44"/>
        <v/>
      </c>
      <c r="N52" s="38" t="str">
        <f>IF(B52=0,"",IF(H52="M",HLOOKUP(B52,$Y$12:$DT$13,2),IF(A52=0,"",VLOOKUP(A52,[3]CO!$A$3:$F$5311,4,0))))</f>
        <v/>
      </c>
      <c r="O52" s="38" t="str">
        <f t="shared" si="11"/>
        <v/>
      </c>
      <c r="P52" s="39"/>
      <c r="Q52" s="40" t="str">
        <f t="shared" si="45"/>
        <v/>
      </c>
      <c r="R52" s="41" t="str">
        <f t="shared" si="46"/>
        <v/>
      </c>
      <c r="S52" s="105"/>
      <c r="T52" s="60" t="str">
        <f>IF(A52=0,"",VLOOKUP(A52,[3]CO!$A$3:$F$5302,5,0))</f>
        <v/>
      </c>
      <c r="U52" s="61">
        <f t="shared" si="12"/>
        <v>0</v>
      </c>
      <c r="V52" s="30"/>
      <c r="W52" s="31"/>
      <c r="X52" s="31"/>
      <c r="Y52" s="71" t="str">
        <f t="shared" si="54"/>
        <v/>
      </c>
      <c r="Z52" s="62" t="str">
        <f t="shared" si="54"/>
        <v/>
      </c>
      <c r="AA52" s="62" t="str">
        <f t="shared" si="54"/>
        <v/>
      </c>
      <c r="AB52" s="62" t="str">
        <f t="shared" si="54"/>
        <v/>
      </c>
      <c r="AC52" s="62" t="str">
        <f t="shared" si="54"/>
        <v/>
      </c>
      <c r="AD52" s="62" t="str">
        <f t="shared" si="54"/>
        <v/>
      </c>
      <c r="AE52" s="62" t="str">
        <f t="shared" si="54"/>
        <v/>
      </c>
      <c r="AF52" s="62" t="str">
        <f t="shared" si="54"/>
        <v/>
      </c>
      <c r="AG52" s="62" t="str">
        <f t="shared" si="54"/>
        <v/>
      </c>
      <c r="AH52" s="62" t="str">
        <f t="shared" si="54"/>
        <v/>
      </c>
      <c r="AI52" s="62" t="str">
        <f t="shared" si="54"/>
        <v/>
      </c>
      <c r="AJ52" s="62" t="str">
        <f t="shared" si="54"/>
        <v/>
      </c>
      <c r="AK52" s="62" t="str">
        <f t="shared" si="54"/>
        <v/>
      </c>
      <c r="AL52" s="62" t="str">
        <f t="shared" si="54"/>
        <v/>
      </c>
      <c r="AM52" s="62" t="str">
        <f t="shared" si="54"/>
        <v/>
      </c>
      <c r="AN52" s="62" t="str">
        <f t="shared" si="54"/>
        <v/>
      </c>
      <c r="AO52" s="62" t="str">
        <f t="shared" si="47"/>
        <v/>
      </c>
      <c r="AP52" s="62" t="str">
        <f t="shared" si="47"/>
        <v/>
      </c>
      <c r="AQ52" s="62" t="str">
        <f t="shared" si="47"/>
        <v/>
      </c>
      <c r="AR52" s="62" t="str">
        <f t="shared" si="47"/>
        <v/>
      </c>
      <c r="AS52" s="62" t="str">
        <f t="shared" si="47"/>
        <v/>
      </c>
      <c r="AT52" s="62" t="str">
        <f t="shared" si="47"/>
        <v/>
      </c>
      <c r="AU52" s="62" t="str">
        <f t="shared" si="47"/>
        <v/>
      </c>
      <c r="AV52" s="62" t="str">
        <f t="shared" si="47"/>
        <v/>
      </c>
      <c r="AW52" s="62" t="str">
        <f t="shared" si="47"/>
        <v/>
      </c>
      <c r="AX52" s="62" t="str">
        <f t="shared" si="47"/>
        <v/>
      </c>
      <c r="AY52" s="62" t="str">
        <f t="shared" si="47"/>
        <v/>
      </c>
      <c r="AZ52" s="62" t="str">
        <f t="shared" si="47"/>
        <v/>
      </c>
      <c r="BA52" s="62" t="str">
        <f t="shared" si="47"/>
        <v/>
      </c>
      <c r="BB52" s="62" t="str">
        <f t="shared" si="47"/>
        <v/>
      </c>
      <c r="BC52" s="62" t="str">
        <f t="shared" si="47"/>
        <v/>
      </c>
      <c r="BD52" s="62" t="str">
        <f t="shared" si="47"/>
        <v/>
      </c>
      <c r="BE52" s="62" t="str">
        <f t="shared" ref="BE52:DP54" si="57">IF($B52=BE$12,$U52,"")</f>
        <v/>
      </c>
      <c r="BF52" s="62" t="str">
        <f t="shared" si="57"/>
        <v/>
      </c>
      <c r="BG52" s="62" t="str">
        <f t="shared" si="57"/>
        <v/>
      </c>
      <c r="BH52" s="62" t="str">
        <f t="shared" si="57"/>
        <v/>
      </c>
      <c r="BI52" s="62" t="str">
        <f t="shared" si="57"/>
        <v/>
      </c>
      <c r="BJ52" s="62" t="str">
        <f t="shared" si="57"/>
        <v/>
      </c>
      <c r="BK52" s="62" t="str">
        <f t="shared" si="57"/>
        <v/>
      </c>
      <c r="BL52" s="62" t="str">
        <f t="shared" si="57"/>
        <v/>
      </c>
      <c r="BM52" s="62" t="str">
        <f t="shared" si="57"/>
        <v/>
      </c>
      <c r="BN52" s="62" t="str">
        <f t="shared" si="57"/>
        <v/>
      </c>
      <c r="BO52" s="62" t="str">
        <f t="shared" si="57"/>
        <v/>
      </c>
      <c r="BP52" s="62" t="str">
        <f t="shared" si="57"/>
        <v/>
      </c>
      <c r="BQ52" s="62" t="str">
        <f t="shared" si="57"/>
        <v/>
      </c>
      <c r="BR52" s="62" t="str">
        <f t="shared" si="57"/>
        <v/>
      </c>
      <c r="BS52" s="62" t="str">
        <f t="shared" si="57"/>
        <v/>
      </c>
      <c r="BT52" s="62" t="str">
        <f t="shared" si="57"/>
        <v/>
      </c>
      <c r="BU52" s="62" t="str">
        <f t="shared" si="57"/>
        <v/>
      </c>
      <c r="BV52" s="62" t="str">
        <f t="shared" si="57"/>
        <v/>
      </c>
      <c r="BW52" s="62" t="str">
        <f t="shared" si="57"/>
        <v/>
      </c>
      <c r="BX52" s="62" t="str">
        <f t="shared" si="57"/>
        <v/>
      </c>
      <c r="BY52" s="62" t="str">
        <f t="shared" si="57"/>
        <v/>
      </c>
      <c r="BZ52" s="62" t="str">
        <f t="shared" si="57"/>
        <v/>
      </c>
      <c r="CA52" s="62" t="str">
        <f t="shared" si="57"/>
        <v/>
      </c>
      <c r="CB52" s="62" t="str">
        <f t="shared" si="57"/>
        <v/>
      </c>
      <c r="CC52" s="62" t="str">
        <f t="shared" si="57"/>
        <v/>
      </c>
      <c r="CD52" s="62" t="str">
        <f t="shared" si="57"/>
        <v/>
      </c>
      <c r="CE52" s="62" t="str">
        <f t="shared" si="57"/>
        <v/>
      </c>
      <c r="CF52" s="62" t="str">
        <f t="shared" si="57"/>
        <v/>
      </c>
      <c r="CG52" s="62" t="str">
        <f t="shared" si="57"/>
        <v/>
      </c>
      <c r="CH52" s="62" t="str">
        <f t="shared" si="57"/>
        <v/>
      </c>
      <c r="CI52" s="62" t="str">
        <f t="shared" si="57"/>
        <v/>
      </c>
      <c r="CJ52" s="62" t="str">
        <f t="shared" si="57"/>
        <v/>
      </c>
      <c r="CK52" s="62" t="str">
        <f t="shared" si="57"/>
        <v/>
      </c>
      <c r="CL52" s="62" t="str">
        <f t="shared" si="57"/>
        <v/>
      </c>
      <c r="CM52" s="62" t="str">
        <f t="shared" si="57"/>
        <v/>
      </c>
      <c r="CN52" s="62" t="str">
        <f t="shared" si="57"/>
        <v/>
      </c>
      <c r="CO52" s="62" t="str">
        <f t="shared" si="57"/>
        <v/>
      </c>
      <c r="CP52" s="62" t="str">
        <f t="shared" si="57"/>
        <v/>
      </c>
      <c r="CQ52" s="62" t="str">
        <f t="shared" si="57"/>
        <v/>
      </c>
      <c r="CR52" s="62" t="str">
        <f t="shared" si="57"/>
        <v/>
      </c>
      <c r="CS52" s="62" t="str">
        <f t="shared" si="57"/>
        <v/>
      </c>
      <c r="CT52" s="62" t="str">
        <f t="shared" si="57"/>
        <v/>
      </c>
      <c r="CU52" s="62" t="str">
        <f t="shared" si="57"/>
        <v/>
      </c>
      <c r="CV52" s="62" t="str">
        <f t="shared" si="57"/>
        <v/>
      </c>
      <c r="CW52" s="62" t="str">
        <f t="shared" si="57"/>
        <v/>
      </c>
      <c r="CX52" s="62" t="str">
        <f t="shared" si="57"/>
        <v/>
      </c>
      <c r="CY52" s="62" t="str">
        <f t="shared" si="57"/>
        <v/>
      </c>
      <c r="CZ52" s="62" t="str">
        <f t="shared" si="57"/>
        <v/>
      </c>
      <c r="DA52" s="62" t="str">
        <f t="shared" si="57"/>
        <v/>
      </c>
      <c r="DB52" s="62" t="str">
        <f t="shared" si="57"/>
        <v/>
      </c>
      <c r="DC52" s="62" t="str">
        <f t="shared" si="57"/>
        <v/>
      </c>
      <c r="DD52" s="62" t="str">
        <f t="shared" si="57"/>
        <v/>
      </c>
      <c r="DE52" s="62" t="str">
        <f t="shared" si="57"/>
        <v/>
      </c>
      <c r="DF52" s="62" t="str">
        <f t="shared" si="57"/>
        <v/>
      </c>
      <c r="DG52" s="62" t="str">
        <f t="shared" si="57"/>
        <v/>
      </c>
      <c r="DH52" s="62" t="str">
        <f t="shared" si="57"/>
        <v/>
      </c>
      <c r="DI52" s="62" t="str">
        <f t="shared" si="57"/>
        <v/>
      </c>
      <c r="DJ52" s="62" t="str">
        <f t="shared" si="57"/>
        <v/>
      </c>
      <c r="DK52" s="62" t="str">
        <f t="shared" si="57"/>
        <v/>
      </c>
      <c r="DL52" s="62" t="str">
        <f t="shared" si="57"/>
        <v/>
      </c>
      <c r="DM52" s="62" t="str">
        <f t="shared" si="57"/>
        <v/>
      </c>
      <c r="DN52" s="62" t="str">
        <f t="shared" si="57"/>
        <v/>
      </c>
      <c r="DO52" s="62" t="str">
        <f t="shared" si="57"/>
        <v/>
      </c>
      <c r="DP52" s="62" t="str">
        <f t="shared" si="55"/>
        <v/>
      </c>
      <c r="DQ52" s="62" t="str">
        <f t="shared" si="49"/>
        <v/>
      </c>
      <c r="DR52" s="62" t="str">
        <f t="shared" si="49"/>
        <v/>
      </c>
      <c r="DS52" s="62" t="str">
        <f t="shared" si="49"/>
        <v/>
      </c>
      <c r="DT52" s="117" t="str">
        <f t="shared" si="49"/>
        <v/>
      </c>
      <c r="DU52" s="61"/>
      <c r="DV52" s="31"/>
      <c r="DW52" s="68" t="str">
        <f t="shared" si="50"/>
        <v/>
      </c>
      <c r="DX52" s="57" t="str">
        <f t="shared" si="50"/>
        <v/>
      </c>
      <c r="DY52" s="57" t="str">
        <f t="shared" si="50"/>
        <v/>
      </c>
      <c r="DZ52" s="57" t="str">
        <f t="shared" si="50"/>
        <v/>
      </c>
      <c r="EA52" s="57" t="str">
        <f t="shared" si="50"/>
        <v/>
      </c>
      <c r="EB52" s="57" t="str">
        <f t="shared" si="50"/>
        <v/>
      </c>
      <c r="EC52" s="57" t="str">
        <f t="shared" si="50"/>
        <v/>
      </c>
      <c r="ED52" s="57" t="str">
        <f t="shared" si="50"/>
        <v/>
      </c>
      <c r="EE52" s="57" t="str">
        <f t="shared" si="50"/>
        <v/>
      </c>
      <c r="EF52" s="57" t="str">
        <f t="shared" si="50"/>
        <v/>
      </c>
      <c r="EG52" s="57" t="str">
        <f t="shared" si="50"/>
        <v/>
      </c>
      <c r="EH52" s="57" t="str">
        <f t="shared" si="50"/>
        <v/>
      </c>
      <c r="EI52" s="57" t="str">
        <f t="shared" si="50"/>
        <v/>
      </c>
      <c r="EJ52" s="57" t="str">
        <f t="shared" si="50"/>
        <v/>
      </c>
      <c r="EK52" s="57" t="str">
        <f t="shared" si="50"/>
        <v/>
      </c>
      <c r="EL52" s="57" t="str">
        <f t="shared" si="50"/>
        <v/>
      </c>
      <c r="EM52" s="57" t="str">
        <f t="shared" si="51"/>
        <v/>
      </c>
      <c r="EN52" s="57" t="str">
        <f t="shared" si="51"/>
        <v/>
      </c>
      <c r="EO52" s="57" t="str">
        <f t="shared" si="51"/>
        <v/>
      </c>
      <c r="EP52" s="57" t="str">
        <f t="shared" si="51"/>
        <v/>
      </c>
      <c r="EQ52" s="57" t="str">
        <f t="shared" si="51"/>
        <v/>
      </c>
      <c r="ER52" s="57" t="str">
        <f t="shared" si="51"/>
        <v/>
      </c>
      <c r="ES52" s="57" t="str">
        <f t="shared" si="51"/>
        <v/>
      </c>
      <c r="ET52" s="57" t="str">
        <f t="shared" si="51"/>
        <v/>
      </c>
      <c r="EU52" s="57" t="str">
        <f t="shared" si="51"/>
        <v/>
      </c>
      <c r="EV52" s="57" t="str">
        <f t="shared" si="51"/>
        <v/>
      </c>
      <c r="EW52" s="57" t="str">
        <f t="shared" si="51"/>
        <v/>
      </c>
      <c r="EX52" s="57" t="str">
        <f t="shared" si="51"/>
        <v/>
      </c>
      <c r="EY52" s="57" t="str">
        <f t="shared" si="51"/>
        <v/>
      </c>
      <c r="EZ52" s="57" t="str">
        <f t="shared" si="51"/>
        <v/>
      </c>
      <c r="FA52" s="57" t="str">
        <f t="shared" si="51"/>
        <v/>
      </c>
      <c r="FB52" s="57" t="str">
        <f t="shared" si="51"/>
        <v/>
      </c>
      <c r="FC52" s="57" t="str">
        <f t="shared" ref="FC52:HN54" si="58">IF($B52=FC$12,$O52,"")</f>
        <v/>
      </c>
      <c r="FD52" s="57" t="str">
        <f t="shared" si="58"/>
        <v/>
      </c>
      <c r="FE52" s="57" t="str">
        <f t="shared" si="58"/>
        <v/>
      </c>
      <c r="FF52" s="57" t="str">
        <f t="shared" si="58"/>
        <v/>
      </c>
      <c r="FG52" s="57" t="str">
        <f t="shared" si="58"/>
        <v/>
      </c>
      <c r="FH52" s="57" t="str">
        <f t="shared" si="58"/>
        <v/>
      </c>
      <c r="FI52" s="57" t="str">
        <f t="shared" si="58"/>
        <v/>
      </c>
      <c r="FJ52" s="57" t="str">
        <f t="shared" si="58"/>
        <v/>
      </c>
      <c r="FK52" s="57" t="str">
        <f t="shared" si="58"/>
        <v/>
      </c>
      <c r="FL52" s="57" t="str">
        <f t="shared" si="58"/>
        <v/>
      </c>
      <c r="FM52" s="57" t="str">
        <f t="shared" si="58"/>
        <v/>
      </c>
      <c r="FN52" s="57" t="str">
        <f t="shared" si="58"/>
        <v/>
      </c>
      <c r="FO52" s="57" t="str">
        <f t="shared" si="58"/>
        <v/>
      </c>
      <c r="FP52" s="57" t="str">
        <f t="shared" si="58"/>
        <v/>
      </c>
      <c r="FQ52" s="57" t="str">
        <f t="shared" si="58"/>
        <v/>
      </c>
      <c r="FR52" s="57" t="str">
        <f t="shared" si="58"/>
        <v/>
      </c>
      <c r="FS52" s="57" t="str">
        <f t="shared" si="58"/>
        <v/>
      </c>
      <c r="FT52" s="57" t="str">
        <f t="shared" si="58"/>
        <v/>
      </c>
      <c r="FU52" s="57" t="str">
        <f t="shared" si="58"/>
        <v/>
      </c>
      <c r="FV52" s="57" t="str">
        <f t="shared" si="58"/>
        <v/>
      </c>
      <c r="FW52" s="57" t="str">
        <f t="shared" si="58"/>
        <v/>
      </c>
      <c r="FX52" s="57" t="str">
        <f t="shared" si="58"/>
        <v/>
      </c>
      <c r="FY52" s="57" t="str">
        <f t="shared" si="58"/>
        <v/>
      </c>
      <c r="FZ52" s="57" t="str">
        <f t="shared" si="58"/>
        <v/>
      </c>
      <c r="GA52" s="57" t="str">
        <f t="shared" si="58"/>
        <v/>
      </c>
      <c r="GB52" s="57" t="str">
        <f t="shared" si="58"/>
        <v/>
      </c>
      <c r="GC52" s="57" t="str">
        <f t="shared" si="58"/>
        <v/>
      </c>
      <c r="GD52" s="57" t="str">
        <f t="shared" si="58"/>
        <v/>
      </c>
      <c r="GE52" s="57" t="str">
        <f t="shared" si="58"/>
        <v/>
      </c>
      <c r="GF52" s="57" t="str">
        <f t="shared" si="58"/>
        <v/>
      </c>
      <c r="GG52" s="57" t="str">
        <f t="shared" si="58"/>
        <v/>
      </c>
      <c r="GH52" s="57" t="str">
        <f t="shared" si="58"/>
        <v/>
      </c>
      <c r="GI52" s="57" t="str">
        <f t="shared" si="58"/>
        <v/>
      </c>
      <c r="GJ52" s="57" t="str">
        <f t="shared" si="58"/>
        <v/>
      </c>
      <c r="GK52" s="57" t="str">
        <f t="shared" si="58"/>
        <v/>
      </c>
      <c r="GL52" s="57" t="str">
        <f t="shared" si="58"/>
        <v/>
      </c>
      <c r="GM52" s="57" t="str">
        <f t="shared" si="58"/>
        <v/>
      </c>
      <c r="GN52" s="57" t="str">
        <f t="shared" si="58"/>
        <v/>
      </c>
      <c r="GO52" s="57" t="str">
        <f t="shared" si="58"/>
        <v/>
      </c>
      <c r="GP52" s="57" t="str">
        <f t="shared" si="58"/>
        <v/>
      </c>
      <c r="GQ52" s="57" t="str">
        <f t="shared" si="58"/>
        <v/>
      </c>
      <c r="GR52" s="57" t="str">
        <f t="shared" si="58"/>
        <v/>
      </c>
      <c r="GS52" s="57" t="str">
        <f t="shared" si="58"/>
        <v/>
      </c>
      <c r="GT52" s="57" t="str">
        <f t="shared" si="58"/>
        <v/>
      </c>
      <c r="GU52" s="57" t="str">
        <f t="shared" si="58"/>
        <v/>
      </c>
      <c r="GV52" s="57" t="str">
        <f t="shared" si="58"/>
        <v/>
      </c>
      <c r="GW52" s="57" t="str">
        <f t="shared" si="58"/>
        <v/>
      </c>
      <c r="GX52" s="57" t="str">
        <f t="shared" si="58"/>
        <v/>
      </c>
      <c r="GY52" s="57" t="str">
        <f t="shared" si="58"/>
        <v/>
      </c>
      <c r="GZ52" s="57" t="str">
        <f t="shared" si="58"/>
        <v/>
      </c>
      <c r="HA52" s="57" t="str">
        <f t="shared" si="58"/>
        <v/>
      </c>
      <c r="HB52" s="57" t="str">
        <f t="shared" si="58"/>
        <v/>
      </c>
      <c r="HC52" s="57" t="str">
        <f t="shared" si="58"/>
        <v/>
      </c>
      <c r="HD52" s="57" t="str">
        <f t="shared" si="58"/>
        <v/>
      </c>
      <c r="HE52" s="57" t="str">
        <f t="shared" si="58"/>
        <v/>
      </c>
      <c r="HF52" s="57" t="str">
        <f t="shared" si="58"/>
        <v/>
      </c>
      <c r="HG52" s="57" t="str">
        <f t="shared" si="58"/>
        <v/>
      </c>
      <c r="HH52" s="57" t="str">
        <f t="shared" si="58"/>
        <v/>
      </c>
      <c r="HI52" s="57" t="str">
        <f t="shared" si="58"/>
        <v/>
      </c>
      <c r="HJ52" s="57" t="str">
        <f t="shared" si="58"/>
        <v/>
      </c>
      <c r="HK52" s="57" t="str">
        <f t="shared" si="58"/>
        <v/>
      </c>
      <c r="HL52" s="57" t="str">
        <f t="shared" si="58"/>
        <v/>
      </c>
      <c r="HM52" s="57" t="str">
        <f t="shared" si="58"/>
        <v/>
      </c>
      <c r="HN52" s="57" t="str">
        <f t="shared" si="56"/>
        <v/>
      </c>
      <c r="HO52" s="57" t="str">
        <f t="shared" si="53"/>
        <v/>
      </c>
      <c r="HP52" s="57" t="str">
        <f t="shared" si="53"/>
        <v/>
      </c>
      <c r="HQ52" s="57" t="str">
        <f t="shared" si="53"/>
        <v/>
      </c>
      <c r="HR52" s="123" t="str">
        <f t="shared" si="53"/>
        <v/>
      </c>
    </row>
    <row r="53" spans="1:226" ht="11.15" customHeight="1" x14ac:dyDescent="0.25">
      <c r="A53" s="32"/>
      <c r="B53" s="33"/>
      <c r="C53" s="34" t="str">
        <f>IF(A53=0,"",VLOOKUP(A53,[3]CO!$A$3:$F$5311,2,0))</f>
        <v/>
      </c>
      <c r="D53" s="35"/>
      <c r="E53" s="35"/>
      <c r="F53" s="112"/>
      <c r="G53" s="36" t="str">
        <f>IF(A53=0,"",VLOOKUP(A53,[3]CO!$A$3:$F$5311,3,0))</f>
        <v/>
      </c>
      <c r="H53" s="102"/>
      <c r="I53" s="37"/>
      <c r="J53" s="37"/>
      <c r="K53" s="37"/>
      <c r="L53" s="37"/>
      <c r="M53" s="38" t="str">
        <f t="shared" si="44"/>
        <v/>
      </c>
      <c r="N53" s="38" t="str">
        <f>IF(B53=0,"",IF(H53="M",HLOOKUP(B53,$Y$12:$DT$13,2),IF(A53=0,"",VLOOKUP(A53,[3]CO!$A$3:$F$5311,4,0))))</f>
        <v/>
      </c>
      <c r="O53" s="38" t="str">
        <f t="shared" si="11"/>
        <v/>
      </c>
      <c r="P53" s="39"/>
      <c r="Q53" s="40" t="str">
        <f t="shared" si="45"/>
        <v/>
      </c>
      <c r="R53" s="41" t="str">
        <f t="shared" si="46"/>
        <v/>
      </c>
      <c r="S53" s="105"/>
      <c r="T53" s="60" t="str">
        <f>IF(A53=0,"",VLOOKUP(A53,[3]CO!$A$3:$F$5302,5,0))</f>
        <v/>
      </c>
      <c r="U53" s="61">
        <f t="shared" si="12"/>
        <v>0</v>
      </c>
      <c r="V53" s="30"/>
      <c r="W53" s="31"/>
      <c r="X53" s="31"/>
      <c r="Y53" s="71" t="str">
        <f t="shared" si="54"/>
        <v/>
      </c>
      <c r="Z53" s="62" t="str">
        <f t="shared" si="54"/>
        <v/>
      </c>
      <c r="AA53" s="62" t="str">
        <f t="shared" si="54"/>
        <v/>
      </c>
      <c r="AB53" s="62" t="str">
        <f t="shared" si="54"/>
        <v/>
      </c>
      <c r="AC53" s="62" t="str">
        <f t="shared" si="54"/>
        <v/>
      </c>
      <c r="AD53" s="62" t="str">
        <f t="shared" si="54"/>
        <v/>
      </c>
      <c r="AE53" s="62" t="str">
        <f t="shared" si="54"/>
        <v/>
      </c>
      <c r="AF53" s="62" t="str">
        <f t="shared" si="54"/>
        <v/>
      </c>
      <c r="AG53" s="62" t="str">
        <f t="shared" si="54"/>
        <v/>
      </c>
      <c r="AH53" s="62" t="str">
        <f t="shared" si="54"/>
        <v/>
      </c>
      <c r="AI53" s="62" t="str">
        <f t="shared" si="54"/>
        <v/>
      </c>
      <c r="AJ53" s="62" t="str">
        <f t="shared" si="54"/>
        <v/>
      </c>
      <c r="AK53" s="62" t="str">
        <f t="shared" si="54"/>
        <v/>
      </c>
      <c r="AL53" s="62" t="str">
        <f t="shared" si="54"/>
        <v/>
      </c>
      <c r="AM53" s="62" t="str">
        <f t="shared" si="54"/>
        <v/>
      </c>
      <c r="AN53" s="62" t="str">
        <f t="shared" si="54"/>
        <v/>
      </c>
      <c r="AO53" s="62" t="str">
        <f t="shared" si="47"/>
        <v/>
      </c>
      <c r="AP53" s="62" t="str">
        <f t="shared" si="47"/>
        <v/>
      </c>
      <c r="AQ53" s="62" t="str">
        <f t="shared" si="47"/>
        <v/>
      </c>
      <c r="AR53" s="62" t="str">
        <f t="shared" si="47"/>
        <v/>
      </c>
      <c r="AS53" s="62" t="str">
        <f t="shared" si="47"/>
        <v/>
      </c>
      <c r="AT53" s="62" t="str">
        <f t="shared" si="47"/>
        <v/>
      </c>
      <c r="AU53" s="62" t="str">
        <f t="shared" si="47"/>
        <v/>
      </c>
      <c r="AV53" s="62" t="str">
        <f t="shared" si="47"/>
        <v/>
      </c>
      <c r="AW53" s="62" t="str">
        <f t="shared" si="47"/>
        <v/>
      </c>
      <c r="AX53" s="62" t="str">
        <f t="shared" si="47"/>
        <v/>
      </c>
      <c r="AY53" s="62" t="str">
        <f t="shared" si="47"/>
        <v/>
      </c>
      <c r="AZ53" s="62" t="str">
        <f t="shared" si="47"/>
        <v/>
      </c>
      <c r="BA53" s="62" t="str">
        <f t="shared" si="47"/>
        <v/>
      </c>
      <c r="BB53" s="62" t="str">
        <f t="shared" si="47"/>
        <v/>
      </c>
      <c r="BC53" s="62" t="str">
        <f t="shared" si="47"/>
        <v/>
      </c>
      <c r="BD53" s="62" t="str">
        <f t="shared" si="47"/>
        <v/>
      </c>
      <c r="BE53" s="62" t="str">
        <f t="shared" si="57"/>
        <v/>
      </c>
      <c r="BF53" s="62" t="str">
        <f t="shared" si="57"/>
        <v/>
      </c>
      <c r="BG53" s="62" t="str">
        <f t="shared" si="57"/>
        <v/>
      </c>
      <c r="BH53" s="62" t="str">
        <f t="shared" si="57"/>
        <v/>
      </c>
      <c r="BI53" s="62" t="str">
        <f t="shared" si="57"/>
        <v/>
      </c>
      <c r="BJ53" s="62" t="str">
        <f t="shared" si="57"/>
        <v/>
      </c>
      <c r="BK53" s="62" t="str">
        <f t="shared" si="57"/>
        <v/>
      </c>
      <c r="BL53" s="62" t="str">
        <f t="shared" si="57"/>
        <v/>
      </c>
      <c r="BM53" s="62" t="str">
        <f t="shared" si="57"/>
        <v/>
      </c>
      <c r="BN53" s="62" t="str">
        <f t="shared" si="57"/>
        <v/>
      </c>
      <c r="BO53" s="62" t="str">
        <f t="shared" si="57"/>
        <v/>
      </c>
      <c r="BP53" s="62" t="str">
        <f t="shared" si="57"/>
        <v/>
      </c>
      <c r="BQ53" s="62" t="str">
        <f t="shared" si="57"/>
        <v/>
      </c>
      <c r="BR53" s="62" t="str">
        <f t="shared" si="57"/>
        <v/>
      </c>
      <c r="BS53" s="62" t="str">
        <f t="shared" si="57"/>
        <v/>
      </c>
      <c r="BT53" s="62" t="str">
        <f t="shared" si="57"/>
        <v/>
      </c>
      <c r="BU53" s="62" t="str">
        <f t="shared" si="57"/>
        <v/>
      </c>
      <c r="BV53" s="62" t="str">
        <f t="shared" si="57"/>
        <v/>
      </c>
      <c r="BW53" s="62" t="str">
        <f t="shared" si="57"/>
        <v/>
      </c>
      <c r="BX53" s="62" t="str">
        <f t="shared" si="57"/>
        <v/>
      </c>
      <c r="BY53" s="62" t="str">
        <f t="shared" si="57"/>
        <v/>
      </c>
      <c r="BZ53" s="62" t="str">
        <f t="shared" si="57"/>
        <v/>
      </c>
      <c r="CA53" s="62" t="str">
        <f t="shared" si="57"/>
        <v/>
      </c>
      <c r="CB53" s="62" t="str">
        <f t="shared" si="57"/>
        <v/>
      </c>
      <c r="CC53" s="62" t="str">
        <f t="shared" si="57"/>
        <v/>
      </c>
      <c r="CD53" s="62" t="str">
        <f t="shared" si="57"/>
        <v/>
      </c>
      <c r="CE53" s="62" t="str">
        <f t="shared" si="57"/>
        <v/>
      </c>
      <c r="CF53" s="62" t="str">
        <f t="shared" si="57"/>
        <v/>
      </c>
      <c r="CG53" s="62" t="str">
        <f t="shared" si="57"/>
        <v/>
      </c>
      <c r="CH53" s="62" t="str">
        <f t="shared" si="57"/>
        <v/>
      </c>
      <c r="CI53" s="62" t="str">
        <f t="shared" si="57"/>
        <v/>
      </c>
      <c r="CJ53" s="62" t="str">
        <f t="shared" si="57"/>
        <v/>
      </c>
      <c r="CK53" s="62" t="str">
        <f t="shared" si="57"/>
        <v/>
      </c>
      <c r="CL53" s="62" t="str">
        <f t="shared" si="57"/>
        <v/>
      </c>
      <c r="CM53" s="62" t="str">
        <f t="shared" si="57"/>
        <v/>
      </c>
      <c r="CN53" s="62" t="str">
        <f t="shared" si="57"/>
        <v/>
      </c>
      <c r="CO53" s="62" t="str">
        <f t="shared" si="57"/>
        <v/>
      </c>
      <c r="CP53" s="62" t="str">
        <f t="shared" si="57"/>
        <v/>
      </c>
      <c r="CQ53" s="62" t="str">
        <f t="shared" si="57"/>
        <v/>
      </c>
      <c r="CR53" s="62" t="str">
        <f t="shared" si="57"/>
        <v/>
      </c>
      <c r="CS53" s="62" t="str">
        <f t="shared" si="57"/>
        <v/>
      </c>
      <c r="CT53" s="62" t="str">
        <f t="shared" si="57"/>
        <v/>
      </c>
      <c r="CU53" s="62" t="str">
        <f t="shared" si="57"/>
        <v/>
      </c>
      <c r="CV53" s="62" t="str">
        <f t="shared" si="57"/>
        <v/>
      </c>
      <c r="CW53" s="62" t="str">
        <f t="shared" si="57"/>
        <v/>
      </c>
      <c r="CX53" s="62" t="str">
        <f t="shared" si="57"/>
        <v/>
      </c>
      <c r="CY53" s="62" t="str">
        <f t="shared" si="57"/>
        <v/>
      </c>
      <c r="CZ53" s="62" t="str">
        <f t="shared" si="57"/>
        <v/>
      </c>
      <c r="DA53" s="62" t="str">
        <f t="shared" si="57"/>
        <v/>
      </c>
      <c r="DB53" s="62" t="str">
        <f t="shared" si="57"/>
        <v/>
      </c>
      <c r="DC53" s="62" t="str">
        <f t="shared" si="57"/>
        <v/>
      </c>
      <c r="DD53" s="62" t="str">
        <f t="shared" si="57"/>
        <v/>
      </c>
      <c r="DE53" s="62" t="str">
        <f t="shared" si="57"/>
        <v/>
      </c>
      <c r="DF53" s="62" t="str">
        <f t="shared" si="57"/>
        <v/>
      </c>
      <c r="DG53" s="62" t="str">
        <f t="shared" si="57"/>
        <v/>
      </c>
      <c r="DH53" s="62" t="str">
        <f t="shared" si="57"/>
        <v/>
      </c>
      <c r="DI53" s="62" t="str">
        <f t="shared" si="57"/>
        <v/>
      </c>
      <c r="DJ53" s="62" t="str">
        <f t="shared" si="57"/>
        <v/>
      </c>
      <c r="DK53" s="62" t="str">
        <f t="shared" si="57"/>
        <v/>
      </c>
      <c r="DL53" s="62" t="str">
        <f t="shared" si="57"/>
        <v/>
      </c>
      <c r="DM53" s="62" t="str">
        <f t="shared" si="57"/>
        <v/>
      </c>
      <c r="DN53" s="62" t="str">
        <f t="shared" si="57"/>
        <v/>
      </c>
      <c r="DO53" s="62" t="str">
        <f t="shared" si="57"/>
        <v/>
      </c>
      <c r="DP53" s="62" t="str">
        <f t="shared" si="57"/>
        <v/>
      </c>
      <c r="DQ53" s="62" t="str">
        <f t="shared" si="49"/>
        <v/>
      </c>
      <c r="DR53" s="62" t="str">
        <f t="shared" si="49"/>
        <v/>
      </c>
      <c r="DS53" s="62" t="str">
        <f t="shared" si="49"/>
        <v/>
      </c>
      <c r="DT53" s="117" t="str">
        <f t="shared" si="49"/>
        <v/>
      </c>
      <c r="DU53" s="61"/>
      <c r="DV53" s="31"/>
      <c r="DW53" s="68" t="str">
        <f t="shared" si="50"/>
        <v/>
      </c>
      <c r="DX53" s="57" t="str">
        <f t="shared" si="50"/>
        <v/>
      </c>
      <c r="DY53" s="57" t="str">
        <f t="shared" si="50"/>
        <v/>
      </c>
      <c r="DZ53" s="57" t="str">
        <f t="shared" si="50"/>
        <v/>
      </c>
      <c r="EA53" s="57" t="str">
        <f t="shared" si="50"/>
        <v/>
      </c>
      <c r="EB53" s="57" t="str">
        <f t="shared" si="50"/>
        <v/>
      </c>
      <c r="EC53" s="57" t="str">
        <f t="shared" si="50"/>
        <v/>
      </c>
      <c r="ED53" s="57" t="str">
        <f t="shared" si="50"/>
        <v/>
      </c>
      <c r="EE53" s="57" t="str">
        <f t="shared" si="50"/>
        <v/>
      </c>
      <c r="EF53" s="57" t="str">
        <f t="shared" si="50"/>
        <v/>
      </c>
      <c r="EG53" s="57" t="str">
        <f t="shared" si="50"/>
        <v/>
      </c>
      <c r="EH53" s="57" t="str">
        <f t="shared" si="50"/>
        <v/>
      </c>
      <c r="EI53" s="57" t="str">
        <f t="shared" si="50"/>
        <v/>
      </c>
      <c r="EJ53" s="57" t="str">
        <f t="shared" si="50"/>
        <v/>
      </c>
      <c r="EK53" s="57" t="str">
        <f t="shared" si="50"/>
        <v/>
      </c>
      <c r="EL53" s="57" t="str">
        <f t="shared" si="50"/>
        <v/>
      </c>
      <c r="EM53" s="57" t="str">
        <f t="shared" si="51"/>
        <v/>
      </c>
      <c r="EN53" s="57" t="str">
        <f t="shared" si="51"/>
        <v/>
      </c>
      <c r="EO53" s="57" t="str">
        <f t="shared" si="51"/>
        <v/>
      </c>
      <c r="EP53" s="57" t="str">
        <f t="shared" si="51"/>
        <v/>
      </c>
      <c r="EQ53" s="57" t="str">
        <f t="shared" si="51"/>
        <v/>
      </c>
      <c r="ER53" s="57" t="str">
        <f t="shared" si="51"/>
        <v/>
      </c>
      <c r="ES53" s="57" t="str">
        <f t="shared" si="51"/>
        <v/>
      </c>
      <c r="ET53" s="57" t="str">
        <f t="shared" si="51"/>
        <v/>
      </c>
      <c r="EU53" s="57" t="str">
        <f t="shared" si="51"/>
        <v/>
      </c>
      <c r="EV53" s="57" t="str">
        <f t="shared" si="51"/>
        <v/>
      </c>
      <c r="EW53" s="57" t="str">
        <f t="shared" si="51"/>
        <v/>
      </c>
      <c r="EX53" s="57" t="str">
        <f t="shared" si="51"/>
        <v/>
      </c>
      <c r="EY53" s="57" t="str">
        <f t="shared" si="51"/>
        <v/>
      </c>
      <c r="EZ53" s="57" t="str">
        <f t="shared" si="51"/>
        <v/>
      </c>
      <c r="FA53" s="57" t="str">
        <f t="shared" si="51"/>
        <v/>
      </c>
      <c r="FB53" s="57" t="str">
        <f t="shared" si="51"/>
        <v/>
      </c>
      <c r="FC53" s="57" t="str">
        <f t="shared" si="58"/>
        <v/>
      </c>
      <c r="FD53" s="57" t="str">
        <f t="shared" si="58"/>
        <v/>
      </c>
      <c r="FE53" s="57" t="str">
        <f t="shared" si="58"/>
        <v/>
      </c>
      <c r="FF53" s="57" t="str">
        <f t="shared" si="58"/>
        <v/>
      </c>
      <c r="FG53" s="57" t="str">
        <f t="shared" si="58"/>
        <v/>
      </c>
      <c r="FH53" s="57" t="str">
        <f t="shared" si="58"/>
        <v/>
      </c>
      <c r="FI53" s="57" t="str">
        <f t="shared" si="58"/>
        <v/>
      </c>
      <c r="FJ53" s="57" t="str">
        <f t="shared" si="58"/>
        <v/>
      </c>
      <c r="FK53" s="57" t="str">
        <f t="shared" si="58"/>
        <v/>
      </c>
      <c r="FL53" s="57" t="str">
        <f t="shared" si="58"/>
        <v/>
      </c>
      <c r="FM53" s="57" t="str">
        <f t="shared" si="58"/>
        <v/>
      </c>
      <c r="FN53" s="57" t="str">
        <f t="shared" si="58"/>
        <v/>
      </c>
      <c r="FO53" s="57" t="str">
        <f t="shared" si="58"/>
        <v/>
      </c>
      <c r="FP53" s="57" t="str">
        <f t="shared" si="58"/>
        <v/>
      </c>
      <c r="FQ53" s="57" t="str">
        <f t="shared" si="58"/>
        <v/>
      </c>
      <c r="FR53" s="57" t="str">
        <f t="shared" si="58"/>
        <v/>
      </c>
      <c r="FS53" s="57" t="str">
        <f t="shared" si="58"/>
        <v/>
      </c>
      <c r="FT53" s="57" t="str">
        <f t="shared" si="58"/>
        <v/>
      </c>
      <c r="FU53" s="57" t="str">
        <f t="shared" si="58"/>
        <v/>
      </c>
      <c r="FV53" s="57" t="str">
        <f t="shared" si="58"/>
        <v/>
      </c>
      <c r="FW53" s="57" t="str">
        <f t="shared" si="58"/>
        <v/>
      </c>
      <c r="FX53" s="57" t="str">
        <f t="shared" si="58"/>
        <v/>
      </c>
      <c r="FY53" s="57" t="str">
        <f t="shared" si="58"/>
        <v/>
      </c>
      <c r="FZ53" s="57" t="str">
        <f t="shared" si="58"/>
        <v/>
      </c>
      <c r="GA53" s="57" t="str">
        <f t="shared" si="58"/>
        <v/>
      </c>
      <c r="GB53" s="57" t="str">
        <f t="shared" si="58"/>
        <v/>
      </c>
      <c r="GC53" s="57" t="str">
        <f t="shared" si="58"/>
        <v/>
      </c>
      <c r="GD53" s="57" t="str">
        <f t="shared" si="58"/>
        <v/>
      </c>
      <c r="GE53" s="57" t="str">
        <f t="shared" si="58"/>
        <v/>
      </c>
      <c r="GF53" s="57" t="str">
        <f t="shared" si="58"/>
        <v/>
      </c>
      <c r="GG53" s="57" t="str">
        <f t="shared" si="58"/>
        <v/>
      </c>
      <c r="GH53" s="57" t="str">
        <f t="shared" si="58"/>
        <v/>
      </c>
      <c r="GI53" s="57" t="str">
        <f t="shared" si="58"/>
        <v/>
      </c>
      <c r="GJ53" s="57" t="str">
        <f t="shared" si="58"/>
        <v/>
      </c>
      <c r="GK53" s="57" t="str">
        <f t="shared" si="58"/>
        <v/>
      </c>
      <c r="GL53" s="57" t="str">
        <f t="shared" si="58"/>
        <v/>
      </c>
      <c r="GM53" s="57" t="str">
        <f t="shared" si="58"/>
        <v/>
      </c>
      <c r="GN53" s="57" t="str">
        <f t="shared" si="58"/>
        <v/>
      </c>
      <c r="GO53" s="57" t="str">
        <f t="shared" si="58"/>
        <v/>
      </c>
      <c r="GP53" s="57" t="str">
        <f t="shared" si="58"/>
        <v/>
      </c>
      <c r="GQ53" s="57" t="str">
        <f t="shared" si="58"/>
        <v/>
      </c>
      <c r="GR53" s="57" t="str">
        <f t="shared" si="58"/>
        <v/>
      </c>
      <c r="GS53" s="57" t="str">
        <f t="shared" si="58"/>
        <v/>
      </c>
      <c r="GT53" s="57" t="str">
        <f t="shared" si="58"/>
        <v/>
      </c>
      <c r="GU53" s="57" t="str">
        <f t="shared" si="58"/>
        <v/>
      </c>
      <c r="GV53" s="57" t="str">
        <f t="shared" si="58"/>
        <v/>
      </c>
      <c r="GW53" s="57" t="str">
        <f t="shared" si="58"/>
        <v/>
      </c>
      <c r="GX53" s="57" t="str">
        <f t="shared" si="58"/>
        <v/>
      </c>
      <c r="GY53" s="57" t="str">
        <f t="shared" si="58"/>
        <v/>
      </c>
      <c r="GZ53" s="57" t="str">
        <f t="shared" si="58"/>
        <v/>
      </c>
      <c r="HA53" s="57" t="str">
        <f t="shared" si="58"/>
        <v/>
      </c>
      <c r="HB53" s="57" t="str">
        <f t="shared" si="58"/>
        <v/>
      </c>
      <c r="HC53" s="57" t="str">
        <f t="shared" si="58"/>
        <v/>
      </c>
      <c r="HD53" s="57" t="str">
        <f t="shared" si="58"/>
        <v/>
      </c>
      <c r="HE53" s="57" t="str">
        <f t="shared" si="58"/>
        <v/>
      </c>
      <c r="HF53" s="57" t="str">
        <f t="shared" si="58"/>
        <v/>
      </c>
      <c r="HG53" s="57" t="str">
        <f t="shared" si="58"/>
        <v/>
      </c>
      <c r="HH53" s="57" t="str">
        <f t="shared" si="58"/>
        <v/>
      </c>
      <c r="HI53" s="57" t="str">
        <f t="shared" si="58"/>
        <v/>
      </c>
      <c r="HJ53" s="57" t="str">
        <f t="shared" si="58"/>
        <v/>
      </c>
      <c r="HK53" s="57" t="str">
        <f t="shared" si="58"/>
        <v/>
      </c>
      <c r="HL53" s="57" t="str">
        <f t="shared" si="58"/>
        <v/>
      </c>
      <c r="HM53" s="57" t="str">
        <f t="shared" si="58"/>
        <v/>
      </c>
      <c r="HN53" s="57" t="str">
        <f t="shared" si="58"/>
        <v/>
      </c>
      <c r="HO53" s="57" t="str">
        <f t="shared" si="53"/>
        <v/>
      </c>
      <c r="HP53" s="57" t="str">
        <f t="shared" si="53"/>
        <v/>
      </c>
      <c r="HQ53" s="57" t="str">
        <f t="shared" si="53"/>
        <v/>
      </c>
      <c r="HR53" s="123" t="str">
        <f t="shared" si="53"/>
        <v/>
      </c>
    </row>
    <row r="54" spans="1:226" ht="11.15" customHeight="1" thickBot="1" x14ac:dyDescent="0.3">
      <c r="A54" s="42"/>
      <c r="B54" s="43"/>
      <c r="C54" s="44" t="str">
        <f>IF(A54=0,"",VLOOKUP(A54,[3]CO!$A$3:$F$5311,2,0))</f>
        <v/>
      </c>
      <c r="D54" s="45"/>
      <c r="E54" s="45"/>
      <c r="F54" s="114"/>
      <c r="G54" s="46" t="str">
        <f>IF(A54=0,"",VLOOKUP(A54,[3]CO!$A$3:$F$5311,3,0))</f>
        <v/>
      </c>
      <c r="H54" s="104"/>
      <c r="I54" s="47"/>
      <c r="J54" s="47"/>
      <c r="K54" s="47"/>
      <c r="L54" s="47"/>
      <c r="M54" s="48" t="str">
        <f>IF(L54=0,"",PRODUCT(I54:L54))</f>
        <v/>
      </c>
      <c r="N54" s="48" t="str">
        <f>IF(B54=0,"",IF(H54="M",HLOOKUP(B54,$Y$12:$DT$13,2),IF(A54=0,"",VLOOKUP(A54,[3]CO!$A$3:$F$5311,4,0))))</f>
        <v/>
      </c>
      <c r="O54" s="48" t="str">
        <f t="shared" si="11"/>
        <v/>
      </c>
      <c r="P54" s="43"/>
      <c r="Q54" s="49" t="str">
        <f t="shared" si="45"/>
        <v/>
      </c>
      <c r="R54" s="50" t="str">
        <f>IF(S54=0,"",IF(OR(G54="PEON",G54="OF",G54="JARD",G54="CARP",G54="MAESTRO",G54="SOLD",G54="BGRO",G54="CHOFER",G54="AYTE",G54="S.INTTE.",G54="ASEO",G54="P.PISOS",G54="VELADOR",G54="RESID",G54="PINTOR",G54="ELECT",G54="AZULE"),VLOOKUP(B54,P$14:Q$48,2),"")*S54)</f>
        <v/>
      </c>
      <c r="S54" s="105"/>
      <c r="T54" s="60" t="str">
        <f>IF(A54=0,"",VLOOKUP(A54,[3]CO!$A$3:$F$5302,5,0))</f>
        <v/>
      </c>
      <c r="U54" s="61">
        <f t="shared" si="12"/>
        <v>0</v>
      </c>
      <c r="V54" s="30"/>
      <c r="W54" s="30"/>
      <c r="X54" s="30"/>
      <c r="Y54" s="83" t="str">
        <f t="shared" si="54"/>
        <v/>
      </c>
      <c r="Z54" s="84" t="str">
        <f t="shared" si="54"/>
        <v/>
      </c>
      <c r="AA54" s="84" t="str">
        <f t="shared" si="54"/>
        <v/>
      </c>
      <c r="AB54" s="84" t="str">
        <f t="shared" si="54"/>
        <v/>
      </c>
      <c r="AC54" s="84" t="str">
        <f t="shared" si="54"/>
        <v/>
      </c>
      <c r="AD54" s="84" t="str">
        <f t="shared" si="54"/>
        <v/>
      </c>
      <c r="AE54" s="84" t="str">
        <f t="shared" si="54"/>
        <v/>
      </c>
      <c r="AF54" s="84" t="str">
        <f t="shared" si="54"/>
        <v/>
      </c>
      <c r="AG54" s="84" t="str">
        <f t="shared" si="54"/>
        <v/>
      </c>
      <c r="AH54" s="84" t="str">
        <f t="shared" si="54"/>
        <v/>
      </c>
      <c r="AI54" s="84" t="str">
        <f t="shared" si="54"/>
        <v/>
      </c>
      <c r="AJ54" s="84" t="str">
        <f t="shared" si="54"/>
        <v/>
      </c>
      <c r="AK54" s="84" t="str">
        <f t="shared" si="54"/>
        <v/>
      </c>
      <c r="AL54" s="84" t="str">
        <f t="shared" si="54"/>
        <v/>
      </c>
      <c r="AM54" s="84" t="str">
        <f t="shared" si="54"/>
        <v/>
      </c>
      <c r="AN54" s="84" t="str">
        <f t="shared" si="54"/>
        <v/>
      </c>
      <c r="AO54" s="84" t="str">
        <f t="shared" si="47"/>
        <v/>
      </c>
      <c r="AP54" s="84" t="str">
        <f t="shared" si="47"/>
        <v/>
      </c>
      <c r="AQ54" s="84" t="str">
        <f t="shared" si="47"/>
        <v/>
      </c>
      <c r="AR54" s="84" t="str">
        <f t="shared" si="47"/>
        <v/>
      </c>
      <c r="AS54" s="84" t="str">
        <f t="shared" si="47"/>
        <v/>
      </c>
      <c r="AT54" s="84" t="str">
        <f t="shared" si="47"/>
        <v/>
      </c>
      <c r="AU54" s="84" t="str">
        <f t="shared" si="47"/>
        <v/>
      </c>
      <c r="AV54" s="84" t="str">
        <f t="shared" si="47"/>
        <v/>
      </c>
      <c r="AW54" s="84" t="str">
        <f t="shared" si="47"/>
        <v/>
      </c>
      <c r="AX54" s="84" t="str">
        <f t="shared" si="47"/>
        <v/>
      </c>
      <c r="AY54" s="84" t="str">
        <f t="shared" si="47"/>
        <v/>
      </c>
      <c r="AZ54" s="84" t="str">
        <f t="shared" si="47"/>
        <v/>
      </c>
      <c r="BA54" s="84" t="str">
        <f t="shared" si="47"/>
        <v/>
      </c>
      <c r="BB54" s="84" t="str">
        <f t="shared" si="47"/>
        <v/>
      </c>
      <c r="BC54" s="84" t="str">
        <f t="shared" si="47"/>
        <v/>
      </c>
      <c r="BD54" s="84" t="str">
        <f t="shared" si="47"/>
        <v/>
      </c>
      <c r="BE54" s="84" t="str">
        <f t="shared" si="57"/>
        <v/>
      </c>
      <c r="BF54" s="84" t="str">
        <f t="shared" si="57"/>
        <v/>
      </c>
      <c r="BG54" s="84" t="str">
        <f t="shared" si="57"/>
        <v/>
      </c>
      <c r="BH54" s="84" t="str">
        <f t="shared" si="57"/>
        <v/>
      </c>
      <c r="BI54" s="84" t="str">
        <f t="shared" si="57"/>
        <v/>
      </c>
      <c r="BJ54" s="84" t="str">
        <f t="shared" si="57"/>
        <v/>
      </c>
      <c r="BK54" s="84" t="str">
        <f t="shared" si="57"/>
        <v/>
      </c>
      <c r="BL54" s="84" t="str">
        <f t="shared" si="57"/>
        <v/>
      </c>
      <c r="BM54" s="84" t="str">
        <f t="shared" si="57"/>
        <v/>
      </c>
      <c r="BN54" s="84" t="str">
        <f t="shared" si="57"/>
        <v/>
      </c>
      <c r="BO54" s="84" t="str">
        <f t="shared" si="57"/>
        <v/>
      </c>
      <c r="BP54" s="84" t="str">
        <f t="shared" si="57"/>
        <v/>
      </c>
      <c r="BQ54" s="84" t="str">
        <f t="shared" si="57"/>
        <v/>
      </c>
      <c r="BR54" s="84" t="str">
        <f t="shared" si="57"/>
        <v/>
      </c>
      <c r="BS54" s="84" t="str">
        <f t="shared" si="57"/>
        <v/>
      </c>
      <c r="BT54" s="84" t="str">
        <f t="shared" si="57"/>
        <v/>
      </c>
      <c r="BU54" s="84" t="str">
        <f t="shared" si="57"/>
        <v/>
      </c>
      <c r="BV54" s="84" t="str">
        <f t="shared" si="57"/>
        <v/>
      </c>
      <c r="BW54" s="84" t="str">
        <f t="shared" si="57"/>
        <v/>
      </c>
      <c r="BX54" s="84" t="str">
        <f t="shared" si="57"/>
        <v/>
      </c>
      <c r="BY54" s="84" t="str">
        <f t="shared" si="57"/>
        <v/>
      </c>
      <c r="BZ54" s="84" t="str">
        <f t="shared" si="57"/>
        <v/>
      </c>
      <c r="CA54" s="84" t="str">
        <f t="shared" si="57"/>
        <v/>
      </c>
      <c r="CB54" s="84" t="str">
        <f t="shared" si="57"/>
        <v/>
      </c>
      <c r="CC54" s="84" t="str">
        <f t="shared" si="57"/>
        <v/>
      </c>
      <c r="CD54" s="84" t="str">
        <f t="shared" si="57"/>
        <v/>
      </c>
      <c r="CE54" s="84" t="str">
        <f t="shared" si="57"/>
        <v/>
      </c>
      <c r="CF54" s="84" t="str">
        <f t="shared" si="57"/>
        <v/>
      </c>
      <c r="CG54" s="84" t="str">
        <f t="shared" si="57"/>
        <v/>
      </c>
      <c r="CH54" s="84" t="str">
        <f t="shared" si="57"/>
        <v/>
      </c>
      <c r="CI54" s="84" t="str">
        <f t="shared" si="57"/>
        <v/>
      </c>
      <c r="CJ54" s="84" t="str">
        <f t="shared" si="57"/>
        <v/>
      </c>
      <c r="CK54" s="84" t="str">
        <f t="shared" si="57"/>
        <v/>
      </c>
      <c r="CL54" s="84" t="str">
        <f t="shared" si="57"/>
        <v/>
      </c>
      <c r="CM54" s="84" t="str">
        <f t="shared" si="57"/>
        <v/>
      </c>
      <c r="CN54" s="84" t="str">
        <f t="shared" si="57"/>
        <v/>
      </c>
      <c r="CO54" s="84" t="str">
        <f t="shared" si="57"/>
        <v/>
      </c>
      <c r="CP54" s="84" t="str">
        <f t="shared" si="57"/>
        <v/>
      </c>
      <c r="CQ54" s="84" t="str">
        <f t="shared" si="57"/>
        <v/>
      </c>
      <c r="CR54" s="84" t="str">
        <f t="shared" si="57"/>
        <v/>
      </c>
      <c r="CS54" s="84" t="str">
        <f t="shared" si="57"/>
        <v/>
      </c>
      <c r="CT54" s="84" t="str">
        <f t="shared" si="57"/>
        <v/>
      </c>
      <c r="CU54" s="84" t="str">
        <f t="shared" si="57"/>
        <v/>
      </c>
      <c r="CV54" s="84" t="str">
        <f t="shared" si="57"/>
        <v/>
      </c>
      <c r="CW54" s="84" t="str">
        <f t="shared" si="57"/>
        <v/>
      </c>
      <c r="CX54" s="84" t="str">
        <f t="shared" si="57"/>
        <v/>
      </c>
      <c r="CY54" s="84" t="str">
        <f t="shared" si="57"/>
        <v/>
      </c>
      <c r="CZ54" s="84" t="str">
        <f t="shared" si="57"/>
        <v/>
      </c>
      <c r="DA54" s="84" t="str">
        <f t="shared" si="57"/>
        <v/>
      </c>
      <c r="DB54" s="84" t="str">
        <f t="shared" si="57"/>
        <v/>
      </c>
      <c r="DC54" s="84" t="str">
        <f t="shared" si="57"/>
        <v/>
      </c>
      <c r="DD54" s="84" t="str">
        <f t="shared" si="57"/>
        <v/>
      </c>
      <c r="DE54" s="84" t="str">
        <f t="shared" si="57"/>
        <v/>
      </c>
      <c r="DF54" s="84" t="str">
        <f t="shared" si="57"/>
        <v/>
      </c>
      <c r="DG54" s="84" t="str">
        <f t="shared" si="57"/>
        <v/>
      </c>
      <c r="DH54" s="84" t="str">
        <f t="shared" si="57"/>
        <v/>
      </c>
      <c r="DI54" s="84" t="str">
        <f t="shared" si="57"/>
        <v/>
      </c>
      <c r="DJ54" s="84" t="str">
        <f t="shared" si="57"/>
        <v/>
      </c>
      <c r="DK54" s="84" t="str">
        <f t="shared" si="57"/>
        <v/>
      </c>
      <c r="DL54" s="84" t="str">
        <f t="shared" si="57"/>
        <v/>
      </c>
      <c r="DM54" s="84" t="str">
        <f t="shared" si="57"/>
        <v/>
      </c>
      <c r="DN54" s="84" t="str">
        <f t="shared" si="57"/>
        <v/>
      </c>
      <c r="DO54" s="84" t="str">
        <f t="shared" si="57"/>
        <v/>
      </c>
      <c r="DP54" s="84" t="str">
        <f t="shared" si="57"/>
        <v/>
      </c>
      <c r="DQ54" s="84" t="str">
        <f t="shared" si="49"/>
        <v/>
      </c>
      <c r="DR54" s="84" t="str">
        <f t="shared" si="49"/>
        <v/>
      </c>
      <c r="DS54" s="84" t="str">
        <f t="shared" si="49"/>
        <v/>
      </c>
      <c r="DT54" s="118" t="str">
        <f t="shared" si="49"/>
        <v/>
      </c>
      <c r="DU54" s="61"/>
      <c r="DV54" s="27"/>
      <c r="DW54" s="85" t="str">
        <f t="shared" si="50"/>
        <v/>
      </c>
      <c r="DX54" s="86" t="str">
        <f t="shared" si="50"/>
        <v/>
      </c>
      <c r="DY54" s="86" t="str">
        <f t="shared" si="50"/>
        <v/>
      </c>
      <c r="DZ54" s="86" t="str">
        <f t="shared" si="50"/>
        <v/>
      </c>
      <c r="EA54" s="86" t="str">
        <f t="shared" si="50"/>
        <v/>
      </c>
      <c r="EB54" s="86" t="str">
        <f t="shared" si="50"/>
        <v/>
      </c>
      <c r="EC54" s="86" t="str">
        <f t="shared" si="50"/>
        <v/>
      </c>
      <c r="ED54" s="86" t="str">
        <f t="shared" si="50"/>
        <v/>
      </c>
      <c r="EE54" s="86" t="str">
        <f t="shared" si="50"/>
        <v/>
      </c>
      <c r="EF54" s="86" t="str">
        <f t="shared" si="50"/>
        <v/>
      </c>
      <c r="EG54" s="86" t="str">
        <f t="shared" si="50"/>
        <v/>
      </c>
      <c r="EH54" s="86" t="str">
        <f t="shared" si="50"/>
        <v/>
      </c>
      <c r="EI54" s="86" t="str">
        <f t="shared" si="50"/>
        <v/>
      </c>
      <c r="EJ54" s="86" t="str">
        <f t="shared" si="50"/>
        <v/>
      </c>
      <c r="EK54" s="86" t="str">
        <f t="shared" si="50"/>
        <v/>
      </c>
      <c r="EL54" s="86" t="str">
        <f t="shared" si="50"/>
        <v/>
      </c>
      <c r="EM54" s="86" t="str">
        <f t="shared" si="51"/>
        <v/>
      </c>
      <c r="EN54" s="86" t="str">
        <f t="shared" si="51"/>
        <v/>
      </c>
      <c r="EO54" s="86" t="str">
        <f t="shared" si="51"/>
        <v/>
      </c>
      <c r="EP54" s="86" t="str">
        <f t="shared" si="51"/>
        <v/>
      </c>
      <c r="EQ54" s="86" t="str">
        <f t="shared" si="51"/>
        <v/>
      </c>
      <c r="ER54" s="86" t="str">
        <f t="shared" si="51"/>
        <v/>
      </c>
      <c r="ES54" s="86" t="str">
        <f t="shared" si="51"/>
        <v/>
      </c>
      <c r="ET54" s="86" t="str">
        <f t="shared" si="51"/>
        <v/>
      </c>
      <c r="EU54" s="86" t="str">
        <f t="shared" si="51"/>
        <v/>
      </c>
      <c r="EV54" s="86" t="str">
        <f t="shared" si="51"/>
        <v/>
      </c>
      <c r="EW54" s="86" t="str">
        <f t="shared" si="51"/>
        <v/>
      </c>
      <c r="EX54" s="86" t="str">
        <f t="shared" si="51"/>
        <v/>
      </c>
      <c r="EY54" s="86" t="str">
        <f t="shared" si="51"/>
        <v/>
      </c>
      <c r="EZ54" s="86" t="str">
        <f t="shared" si="51"/>
        <v/>
      </c>
      <c r="FA54" s="86" t="str">
        <f t="shared" si="51"/>
        <v/>
      </c>
      <c r="FB54" s="86" t="str">
        <f t="shared" si="51"/>
        <v/>
      </c>
      <c r="FC54" s="86" t="str">
        <f t="shared" si="58"/>
        <v/>
      </c>
      <c r="FD54" s="86" t="str">
        <f t="shared" si="58"/>
        <v/>
      </c>
      <c r="FE54" s="86" t="str">
        <f t="shared" si="58"/>
        <v/>
      </c>
      <c r="FF54" s="86" t="str">
        <f t="shared" si="58"/>
        <v/>
      </c>
      <c r="FG54" s="86" t="str">
        <f t="shared" si="58"/>
        <v/>
      </c>
      <c r="FH54" s="86" t="str">
        <f t="shared" si="58"/>
        <v/>
      </c>
      <c r="FI54" s="86" t="str">
        <f t="shared" si="58"/>
        <v/>
      </c>
      <c r="FJ54" s="86" t="str">
        <f t="shared" si="58"/>
        <v/>
      </c>
      <c r="FK54" s="86" t="str">
        <f t="shared" si="58"/>
        <v/>
      </c>
      <c r="FL54" s="86" t="str">
        <f t="shared" si="58"/>
        <v/>
      </c>
      <c r="FM54" s="86" t="str">
        <f t="shared" si="58"/>
        <v/>
      </c>
      <c r="FN54" s="86" t="str">
        <f t="shared" si="58"/>
        <v/>
      </c>
      <c r="FO54" s="86" t="str">
        <f t="shared" si="58"/>
        <v/>
      </c>
      <c r="FP54" s="86" t="str">
        <f t="shared" si="58"/>
        <v/>
      </c>
      <c r="FQ54" s="86" t="str">
        <f t="shared" si="58"/>
        <v/>
      </c>
      <c r="FR54" s="86" t="str">
        <f t="shared" si="58"/>
        <v/>
      </c>
      <c r="FS54" s="86" t="str">
        <f t="shared" si="58"/>
        <v/>
      </c>
      <c r="FT54" s="86" t="str">
        <f t="shared" si="58"/>
        <v/>
      </c>
      <c r="FU54" s="86" t="str">
        <f t="shared" si="58"/>
        <v/>
      </c>
      <c r="FV54" s="86" t="str">
        <f t="shared" si="58"/>
        <v/>
      </c>
      <c r="FW54" s="86" t="str">
        <f t="shared" si="58"/>
        <v/>
      </c>
      <c r="FX54" s="86" t="str">
        <f t="shared" si="58"/>
        <v/>
      </c>
      <c r="FY54" s="86" t="str">
        <f t="shared" si="58"/>
        <v/>
      </c>
      <c r="FZ54" s="86" t="str">
        <f t="shared" si="58"/>
        <v/>
      </c>
      <c r="GA54" s="86" t="str">
        <f t="shared" si="58"/>
        <v/>
      </c>
      <c r="GB54" s="86" t="str">
        <f t="shared" si="58"/>
        <v/>
      </c>
      <c r="GC54" s="86" t="str">
        <f t="shared" si="58"/>
        <v/>
      </c>
      <c r="GD54" s="86" t="str">
        <f t="shared" si="58"/>
        <v/>
      </c>
      <c r="GE54" s="86" t="str">
        <f t="shared" si="58"/>
        <v/>
      </c>
      <c r="GF54" s="86" t="str">
        <f t="shared" si="58"/>
        <v/>
      </c>
      <c r="GG54" s="86" t="str">
        <f t="shared" si="58"/>
        <v/>
      </c>
      <c r="GH54" s="86" t="str">
        <f t="shared" si="58"/>
        <v/>
      </c>
      <c r="GI54" s="86" t="str">
        <f t="shared" si="58"/>
        <v/>
      </c>
      <c r="GJ54" s="86" t="str">
        <f t="shared" si="58"/>
        <v/>
      </c>
      <c r="GK54" s="86" t="str">
        <f t="shared" si="58"/>
        <v/>
      </c>
      <c r="GL54" s="86" t="str">
        <f t="shared" si="58"/>
        <v/>
      </c>
      <c r="GM54" s="86" t="str">
        <f t="shared" si="58"/>
        <v/>
      </c>
      <c r="GN54" s="86" t="str">
        <f t="shared" si="58"/>
        <v/>
      </c>
      <c r="GO54" s="86" t="str">
        <f t="shared" si="58"/>
        <v/>
      </c>
      <c r="GP54" s="86" t="str">
        <f t="shared" si="58"/>
        <v/>
      </c>
      <c r="GQ54" s="86" t="str">
        <f t="shared" si="58"/>
        <v/>
      </c>
      <c r="GR54" s="86" t="str">
        <f t="shared" si="58"/>
        <v/>
      </c>
      <c r="GS54" s="86" t="str">
        <f t="shared" si="58"/>
        <v/>
      </c>
      <c r="GT54" s="86" t="str">
        <f t="shared" si="58"/>
        <v/>
      </c>
      <c r="GU54" s="86" t="str">
        <f t="shared" si="58"/>
        <v/>
      </c>
      <c r="GV54" s="86" t="str">
        <f t="shared" si="58"/>
        <v/>
      </c>
      <c r="GW54" s="86" t="str">
        <f t="shared" si="58"/>
        <v/>
      </c>
      <c r="GX54" s="86" t="str">
        <f t="shared" si="58"/>
        <v/>
      </c>
      <c r="GY54" s="86" t="str">
        <f t="shared" si="58"/>
        <v/>
      </c>
      <c r="GZ54" s="86" t="str">
        <f t="shared" si="58"/>
        <v/>
      </c>
      <c r="HA54" s="86" t="str">
        <f t="shared" si="58"/>
        <v/>
      </c>
      <c r="HB54" s="86" t="str">
        <f t="shared" si="58"/>
        <v/>
      </c>
      <c r="HC54" s="86" t="str">
        <f t="shared" si="58"/>
        <v/>
      </c>
      <c r="HD54" s="86" t="str">
        <f t="shared" si="58"/>
        <v/>
      </c>
      <c r="HE54" s="86" t="str">
        <f t="shared" si="58"/>
        <v/>
      </c>
      <c r="HF54" s="86" t="str">
        <f t="shared" si="58"/>
        <v/>
      </c>
      <c r="HG54" s="86" t="str">
        <f t="shared" si="58"/>
        <v/>
      </c>
      <c r="HH54" s="86" t="str">
        <f t="shared" si="58"/>
        <v/>
      </c>
      <c r="HI54" s="86" t="str">
        <f t="shared" si="58"/>
        <v/>
      </c>
      <c r="HJ54" s="86" t="str">
        <f t="shared" si="58"/>
        <v/>
      </c>
      <c r="HK54" s="86" t="str">
        <f t="shared" si="58"/>
        <v/>
      </c>
      <c r="HL54" s="86" t="str">
        <f t="shared" si="58"/>
        <v/>
      </c>
      <c r="HM54" s="86" t="str">
        <f t="shared" si="58"/>
        <v/>
      </c>
      <c r="HN54" s="86" t="str">
        <f t="shared" si="58"/>
        <v/>
      </c>
      <c r="HO54" s="86" t="str">
        <f t="shared" si="53"/>
        <v/>
      </c>
      <c r="HP54" s="86" t="str">
        <f t="shared" si="53"/>
        <v/>
      </c>
      <c r="HQ54" s="86" t="str">
        <f t="shared" si="53"/>
        <v/>
      </c>
      <c r="HR54" s="124" t="str">
        <f t="shared" si="53"/>
        <v/>
      </c>
    </row>
    <row r="55" spans="1:226" ht="10" customHeight="1" x14ac:dyDescent="0.25">
      <c r="A55" s="51"/>
      <c r="B55" s="29"/>
      <c r="C55" s="29" t="str">
        <f>IF(A55=0,"",VLOOKUP(A55,#REF!,2,0))</f>
        <v/>
      </c>
      <c r="D55" s="29"/>
      <c r="E55" s="29"/>
      <c r="F55" s="29"/>
      <c r="G55" s="29"/>
      <c r="H55" s="29"/>
      <c r="I55" s="52"/>
      <c r="J55" s="52"/>
      <c r="K55" s="52"/>
      <c r="L55" s="52"/>
      <c r="M55" s="53"/>
      <c r="N55" s="53"/>
      <c r="O55" s="53"/>
      <c r="P55" s="29"/>
      <c r="Q55" s="29"/>
      <c r="R55" s="29"/>
      <c r="S55" s="105"/>
      <c r="T55" s="27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8"/>
      <c r="EU55" s="28"/>
      <c r="EV55" s="28"/>
    </row>
    <row r="56" spans="1:226" ht="13" x14ac:dyDescent="0.3">
      <c r="A56" s="51"/>
      <c r="B56" s="29"/>
      <c r="C56" s="29"/>
      <c r="D56" s="29"/>
      <c r="E56" s="29"/>
      <c r="F56" s="29"/>
      <c r="G56" s="29"/>
      <c r="H56" s="29"/>
      <c r="I56" s="52"/>
      <c r="J56" s="52"/>
      <c r="K56" s="52"/>
      <c r="L56" s="52"/>
      <c r="M56" s="53"/>
      <c r="N56" s="53"/>
      <c r="O56" s="54" t="s">
        <v>17</v>
      </c>
      <c r="P56" s="55"/>
      <c r="Q56" s="115">
        <f>SUM(Q48:Q54)</f>
        <v>0</v>
      </c>
      <c r="R56" s="115">
        <f>SUM(R48:R54)</f>
        <v>0</v>
      </c>
      <c r="S56" s="107"/>
      <c r="T56" s="27"/>
      <c r="U56" s="30"/>
      <c r="V56" s="30"/>
      <c r="W56" s="30"/>
      <c r="X56" s="30"/>
      <c r="EV56" s="28"/>
    </row>
    <row r="57" spans="1:226" x14ac:dyDescent="0.25">
      <c r="A57" s="51"/>
      <c r="B57" s="29"/>
      <c r="C57" s="29"/>
      <c r="D57" s="29"/>
      <c r="E57" s="29"/>
      <c r="F57" s="29"/>
      <c r="G57" s="29"/>
      <c r="H57" s="29"/>
      <c r="I57" s="52"/>
      <c r="J57" s="52"/>
      <c r="K57" s="52"/>
      <c r="L57" s="52"/>
      <c r="M57" s="53"/>
      <c r="N57" s="53"/>
      <c r="O57" s="53"/>
      <c r="P57" s="29"/>
      <c r="Q57" s="29"/>
      <c r="R57" s="29"/>
      <c r="S57" s="105"/>
      <c r="T57" s="27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8"/>
      <c r="EU57" s="28"/>
      <c r="EV57" s="28"/>
    </row>
    <row r="58" spans="1:226" x14ac:dyDescent="0.25">
      <c r="A58" s="51"/>
      <c r="B58" s="29"/>
      <c r="C58" s="29"/>
      <c r="D58" s="29"/>
      <c r="E58" s="29"/>
      <c r="F58" s="29"/>
      <c r="G58" s="29"/>
      <c r="H58" s="29"/>
      <c r="I58" s="52"/>
      <c r="J58" s="52"/>
      <c r="K58" s="52"/>
      <c r="L58" s="52"/>
      <c r="M58" s="53"/>
      <c r="N58" s="53"/>
      <c r="O58" s="54" t="s">
        <v>18</v>
      </c>
      <c r="P58" s="29"/>
      <c r="Q58" s="115">
        <f>Q31+Q44+Q56</f>
        <v>0</v>
      </c>
      <c r="R58" s="115"/>
      <c r="S58" s="105"/>
      <c r="T58" s="27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8"/>
      <c r="EU58" s="28"/>
      <c r="EV58" s="28"/>
    </row>
    <row r="59" spans="1:226" ht="10" customHeight="1" x14ac:dyDescent="0.25"/>
    <row r="60" spans="1:226" ht="10" customHeight="1" x14ac:dyDescent="0.25"/>
    <row r="61" spans="1:226" ht="10" customHeight="1" x14ac:dyDescent="0.25"/>
    <row r="62" spans="1:226" ht="10" customHeight="1" x14ac:dyDescent="0.25"/>
    <row r="63" spans="1:226" ht="10" customHeight="1" x14ac:dyDescent="0.25"/>
  </sheetData>
  <dataConsolidate/>
  <mergeCells count="10">
    <mergeCell ref="E1:Q1"/>
    <mergeCell ref="A2:C2"/>
    <mergeCell ref="E2:Q2"/>
    <mergeCell ref="E3:Q3"/>
    <mergeCell ref="A6:C8"/>
    <mergeCell ref="D6:E6"/>
    <mergeCell ref="P6:Q6"/>
    <mergeCell ref="D7:O7"/>
    <mergeCell ref="P7:Q7"/>
    <mergeCell ref="D8:O8"/>
  </mergeCells>
  <printOptions horizontalCentered="1"/>
  <pageMargins left="0.31496062992125984" right="0.31496062992125984" top="0.74803149606299213" bottom="1.1417322834645669" header="0.31496062992125984" footer="0.86614173228346458"/>
  <pageSetup scale="70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745" r:id="rId4" name="Button 1">
              <controlPr defaultSize="0" print="0" autoFill="0" autoPict="0" macro="[0]!New_Week">
                <anchor moveWithCells="1" sizeWithCells="1">
                  <from>
                    <xdr:col>17</xdr:col>
                    <xdr:colOff>0</xdr:colOff>
                    <xdr:row>5</xdr:row>
                    <xdr:rowOff>38100</xdr:rowOff>
                  </from>
                  <to>
                    <xdr:col>17</xdr:col>
                    <xdr:colOff>228600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6" r:id="rId5" name="Button 2">
              <controlPr defaultSize="0" print="0" autoFill="0" autoPict="0" macro="[0]!Abrir_Archivo">
                <anchor moveWithCells="1">
                  <from>
                    <xdr:col>7</xdr:col>
                    <xdr:colOff>12700</xdr:colOff>
                    <xdr:row>9</xdr:row>
                    <xdr:rowOff>12700</xdr:rowOff>
                  </from>
                  <to>
                    <xdr:col>8</xdr:col>
                    <xdr:colOff>355600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7" r:id="rId6" name="Button 3">
              <controlPr defaultSize="0" print="0" autoFill="0" autoPict="0" macro="[0]!Act_Progr">
                <anchor moveWithCells="1">
                  <from>
                    <xdr:col>17</xdr:col>
                    <xdr:colOff>0</xdr:colOff>
                    <xdr:row>9</xdr:row>
                    <xdr:rowOff>12700</xdr:rowOff>
                  </from>
                  <to>
                    <xdr:col>17</xdr:col>
                    <xdr:colOff>723900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015</vt:lpstr>
      <vt:lpstr>'015'!Print_Area</vt:lpstr>
      <vt:lpstr>'015'!Print_Titles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2023-03-18T17:44:54Z</cp:lastPrinted>
  <dcterms:created xsi:type="dcterms:W3CDTF">2015-06-05T14:18:37Z</dcterms:created>
  <dcterms:modified xsi:type="dcterms:W3CDTF">2023-03-29T00:12:36Z</dcterms:modified>
</cp:coreProperties>
</file>